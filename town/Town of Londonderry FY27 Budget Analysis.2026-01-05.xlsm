
<file path=[Content_Types].xml><?xml version="1.0" encoding="utf-8"?>
<Types xmlns="http://schemas.openxmlformats.org/package/2006/content-types">
  <Default Extension="bin" ContentType="application/vnd.openxmlformats-officedocument.spreadsheetml.printerSettings"/>
  <Default Extension="jpg" ContentType="image/jp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Sync\patrick\Documents\Londonderry\Budget-Committee\Public\londonderry\town\"/>
    </mc:Choice>
  </mc:AlternateContent>
  <xr:revisionPtr revIDLastSave="0" documentId="13_ncr:1_{7A167B02-2F2D-449F-BA72-08DC1669F36B}" xr6:coauthVersionLast="47" xr6:coauthVersionMax="47" xr10:uidLastSave="{00000000-0000-0000-0000-000000000000}"/>
  <bookViews>
    <workbookView xWindow="8256" yWindow="1440" windowWidth="35736" windowHeight="23268" tabRatio="723" activeTab="1" xr2:uid="{887CAA85-B415-43DD-9639-BE7CEF82D854}"/>
  </bookViews>
  <sheets>
    <sheet name="CPI" sheetId="73" r:id="rId1"/>
    <sheet name="Discretionaries" sheetId="75" r:id="rId2"/>
    <sheet name="Consolidated-Lines" sheetId="72" r:id="rId3"/>
    <sheet name="Pivot by Dept" sheetId="40" r:id="rId4"/>
    <sheet name="Pivot by Acct" sheetId="41" r:id="rId5"/>
    <sheet name="01 - Town Council - FY 2027" sheetId="42" r:id="rId6"/>
    <sheet name="02 - Town Manager - FY 2027" sheetId="43" r:id="rId7"/>
    <sheet name="03 - Human Resources - FY 2027" sheetId="44" r:id="rId8"/>
    <sheet name="04 - Budget Committee - FY 2027" sheetId="45" r:id="rId9"/>
    <sheet name="05 - Town Clerk - FY 2027" sheetId="46" r:id="rId10"/>
    <sheet name="08 - Finance - FY 2027" sheetId="47" r:id="rId11"/>
    <sheet name="09 - Assessing - FY 2027" sheetId="48" r:id="rId12"/>
    <sheet name="10 - IT - FY 2027" sheetId="49" r:id="rId13"/>
    <sheet name="12 - Legal - FY 2027" sheetId="50" r:id="rId14"/>
    <sheet name="15 - General Gov't - FY 2027" sheetId="51" r:id="rId15"/>
    <sheet name="16 - Cemetery - FY 2027" sheetId="52" r:id="rId16"/>
    <sheet name="17 - Insurance - FY 2027" sheetId="53" r:id="rId17"/>
    <sheet name="18 - Conservation - FY 2027" sheetId="54" r:id="rId18"/>
    <sheet name="20 - Police - FY 2027" sheetId="55" r:id="rId19"/>
    <sheet name="23 - Fire - FY 2027" sheetId="56" r:id="rId20"/>
    <sheet name="24 - Building - FY 2027" sheetId="57" r:id="rId21"/>
    <sheet name="26 - DPW - FY 2027" sheetId="58" r:id="rId22"/>
    <sheet name="27 - Solid Waste - FY 2027" sheetId="59" r:id="rId23"/>
    <sheet name="28 - General Assist - FY 2027" sheetId="60" r:id="rId24"/>
    <sheet name="29 - Cable - FY 2027" sheetId="61" r:id="rId25"/>
    <sheet name="30 - Recreation - FY 2027" sheetId="62" r:id="rId26"/>
    <sheet name="31 - Library - FY 2027" sheetId="63" r:id="rId27"/>
    <sheet name="32 - Senior Affairs - FY 2027" sheetId="64" r:id="rId28"/>
    <sheet name="33 - Planning - FY 2027" sheetId="65" r:id="rId29"/>
    <sheet name="Change Log" sheetId="74" r:id="rId30"/>
  </sheets>
  <functionGroups builtInGroupCount="19"/>
  <definedNames>
    <definedName name="_xleta.N" hidden="1" xlm="1">#NAME?</definedName>
    <definedName name="_xlnm.Print_Area" localSheetId="5">'01 - Town Council - FY 2027'!$A$1:$Q$33</definedName>
    <definedName name="_xlnm.Print_Area" localSheetId="6">'02 - Town Manager - FY 2027'!$A$1:$Q$44</definedName>
    <definedName name="_xlnm.Print_Area" localSheetId="7">'03 - Human Resources - FY 2027'!$A$1:$Q$52</definedName>
    <definedName name="_xlnm.Print_Area" localSheetId="8">'04 - Budget Committee - FY 2027'!$A$1:$Q$18</definedName>
    <definedName name="_xlnm.Print_Area" localSheetId="9">'05 - Town Clerk - FY 2027'!$A$1:$Q$80</definedName>
    <definedName name="_xlnm.Print_Area" localSheetId="10">'08 - Finance - FY 2027'!$A$1:$Q$53</definedName>
    <definedName name="_xlnm.Print_Area" localSheetId="11">'09 - Assessing - FY 2027'!$A$1:$Q$45</definedName>
    <definedName name="_xlnm.Print_Area" localSheetId="12">'10 - IT - FY 2027'!$A$1:$Q$45</definedName>
    <definedName name="_xlnm.Print_Area" localSheetId="13">'12 - Legal - FY 2027'!$A$1:$Q$31</definedName>
    <definedName name="_xlnm.Print_Area" localSheetId="14">'15 - General Gov''t - FY 2027'!$A$1:$Q$48</definedName>
    <definedName name="_xlnm.Print_Area" localSheetId="15">'16 - Cemetery - FY 2027'!$A$1:$Q$16</definedName>
    <definedName name="_xlnm.Print_Area" localSheetId="16">'17 - Insurance - FY 2027'!$A$1:$Q$23</definedName>
    <definedName name="_xlnm.Print_Area" localSheetId="17">'18 - Conservation - FY 2027'!$A$1:$Q$16</definedName>
    <definedName name="_xlnm.Print_Area" localSheetId="18">'20 - Police - FY 2027'!$A$1:$Q$183</definedName>
    <definedName name="_xlnm.Print_Area" localSheetId="19">'23 - Fire - FY 2027'!$A$1:$Q$155</definedName>
    <definedName name="_xlnm.Print_Area" localSheetId="20">'24 - Building - FY 2027'!$A$1:$Q$40</definedName>
    <definedName name="_xlnm.Print_Area" localSheetId="21">'26 - DPW - FY 2027'!$A$1:$Q$72</definedName>
    <definedName name="_xlnm.Print_Area" localSheetId="22">'27 - Solid Waste - FY 2027'!$A$1:$Q$41</definedName>
    <definedName name="_xlnm.Print_Area" localSheetId="23">'28 - General Assist - FY 2027'!$A$1:$Q$30</definedName>
    <definedName name="_xlnm.Print_Area" localSheetId="24">'29 - Cable - FY 2027'!$A$1:$Q$56</definedName>
    <definedName name="_xlnm.Print_Area" localSheetId="25">'30 - Recreation - FY 2027'!$A$1:$Q$48</definedName>
    <definedName name="_xlnm.Print_Area" localSheetId="26">'31 - Library - FY 2027'!$A$1:$Q$60</definedName>
    <definedName name="_xlnm.Print_Area" localSheetId="27">'32 - Senior Affairs - FY 2027'!$A$1:$Q$35</definedName>
    <definedName name="_xlnm.Print_Area" localSheetId="28">'33 - Planning - FY 2027'!$A$1:$Q$41</definedName>
    <definedName name="_xlnm.Print_Titles" localSheetId="5">'01 - Town Council - FY 2027'!$1:$4</definedName>
    <definedName name="_xlnm.Print_Titles" localSheetId="6">'02 - Town Manager - FY 2027'!$1:$4</definedName>
    <definedName name="_xlnm.Print_Titles" localSheetId="8">'04 - Budget Committee - FY 2027'!$1:$4</definedName>
    <definedName name="_xlnm.Print_Titles" localSheetId="9">'05 - Town Clerk - FY 2027'!$1:$4</definedName>
    <definedName name="_xlnm.Print_Titles" localSheetId="10">'08 - Finance - FY 2027'!$1:$4</definedName>
    <definedName name="_xlnm.Print_Titles" localSheetId="11">'09 - Assessing - FY 2027'!$1:$4</definedName>
    <definedName name="_xlnm.Print_Titles" localSheetId="12">'10 - IT - FY 2027'!$1:$4</definedName>
    <definedName name="_xlnm.Print_Titles" localSheetId="13">'12 - Legal - FY 2027'!$1:$4</definedName>
    <definedName name="_xlnm.Print_Titles" localSheetId="14">'15 - General Gov''t - FY 2027'!$1:$4</definedName>
    <definedName name="_xlnm.Print_Titles" localSheetId="15">'16 - Cemetery - FY 2027'!$1:$4</definedName>
    <definedName name="_xlnm.Print_Titles" localSheetId="16">'17 - Insurance - FY 2027'!$1:$4</definedName>
    <definedName name="_xlnm.Print_Titles" localSheetId="17">'18 - Conservation - FY 2027'!$1:$4</definedName>
    <definedName name="_xlnm.Print_Titles" localSheetId="18">'20 - Police - FY 2027'!$1:$7</definedName>
    <definedName name="_xlnm.Print_Titles" localSheetId="19">'23 - Fire - FY 2027'!$1:$7</definedName>
    <definedName name="_xlnm.Print_Titles" localSheetId="20">'24 - Building - FY 2027'!$1:$4</definedName>
    <definedName name="_xlnm.Print_Titles" localSheetId="21">'26 - DPW - FY 2027'!$1:$4</definedName>
    <definedName name="_xlnm.Print_Titles" localSheetId="22">'27 - Solid Waste - FY 2027'!$1:$4</definedName>
    <definedName name="_xlnm.Print_Titles" localSheetId="23">'28 - General Assist - FY 2027'!$1:$4</definedName>
    <definedName name="_xlnm.Print_Titles" localSheetId="24">'29 - Cable - FY 2027'!$1:$4</definedName>
    <definedName name="_xlnm.Print_Titles" localSheetId="25">'30 - Recreation - FY 2027'!$1:$4</definedName>
    <definedName name="_xlnm.Print_Titles" localSheetId="26">'31 - Library - FY 2027'!$1:$4</definedName>
    <definedName name="_xlnm.Print_Titles" localSheetId="27">'32 - Senior Affairs - FY 2027'!$1:$4</definedName>
    <definedName name="_xlnm.Print_Titles" localSheetId="28">'33 - Planning - FY 2027'!$1:$4</definedName>
  </definedNames>
  <calcPr calcId="191029"/>
  <pivotCaches>
    <pivotCache cacheId="0" r:id="rId3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2" i="72" l="1"/>
  <c r="AS2" i="72" s="1"/>
  <c r="AS537" i="72"/>
  <c r="AS536" i="72"/>
  <c r="AS535" i="72"/>
  <c r="AS534" i="72"/>
  <c r="AT534" i="72" s="1"/>
  <c r="AS533" i="72"/>
  <c r="AS532" i="72"/>
  <c r="AS531" i="72"/>
  <c r="AS530" i="72"/>
  <c r="AS529" i="72"/>
  <c r="AS528" i="72"/>
  <c r="AS527" i="72"/>
  <c r="AS526" i="72"/>
  <c r="AS525" i="72"/>
  <c r="AS524" i="72"/>
  <c r="AS523" i="72"/>
  <c r="AS522" i="72"/>
  <c r="AS521" i="72"/>
  <c r="AS520" i="72"/>
  <c r="AS519" i="72"/>
  <c r="AS518" i="72"/>
  <c r="AS517" i="72"/>
  <c r="AS516" i="72"/>
  <c r="AS515" i="72"/>
  <c r="AS514" i="72"/>
  <c r="AS513" i="72"/>
  <c r="AS512" i="72"/>
  <c r="AS511" i="72"/>
  <c r="AS510" i="72"/>
  <c r="AS509" i="72"/>
  <c r="AS508" i="72"/>
  <c r="AS507" i="72"/>
  <c r="AS506" i="72"/>
  <c r="AS505" i="72"/>
  <c r="AS504" i="72"/>
  <c r="AS503" i="72"/>
  <c r="AS502" i="72"/>
  <c r="AS501" i="72"/>
  <c r="AT501" i="72" s="1"/>
  <c r="AS500" i="72"/>
  <c r="AS499" i="72"/>
  <c r="AS498" i="72"/>
  <c r="AS497" i="72"/>
  <c r="AS496" i="72"/>
  <c r="AS495" i="72"/>
  <c r="AS494" i="72"/>
  <c r="AS493" i="72"/>
  <c r="AS492" i="72"/>
  <c r="AS491" i="72"/>
  <c r="AS490" i="72"/>
  <c r="AS489" i="72"/>
  <c r="AT489" i="72" s="1"/>
  <c r="AS488" i="72"/>
  <c r="AS487" i="72"/>
  <c r="AS486" i="72"/>
  <c r="AS485" i="72"/>
  <c r="AS484" i="72"/>
  <c r="AS483" i="72"/>
  <c r="AS482" i="72"/>
  <c r="AS481" i="72"/>
  <c r="AS480" i="72"/>
  <c r="AS479" i="72"/>
  <c r="AS478" i="72"/>
  <c r="AS477" i="72"/>
  <c r="AS476" i="72"/>
  <c r="AS475" i="72"/>
  <c r="AS474" i="72"/>
  <c r="AS473" i="72"/>
  <c r="AS472" i="72"/>
  <c r="AS471" i="72"/>
  <c r="AS470" i="72"/>
  <c r="AS469" i="72"/>
  <c r="AS468" i="72"/>
  <c r="AS467" i="72"/>
  <c r="AS466" i="72"/>
  <c r="AT466" i="72" s="1"/>
  <c r="AS465" i="72"/>
  <c r="AS464" i="72"/>
  <c r="AS463" i="72"/>
  <c r="AS462" i="72"/>
  <c r="AS461" i="72"/>
  <c r="AS460" i="72"/>
  <c r="AS459" i="72"/>
  <c r="AS458" i="72"/>
  <c r="AS457" i="72"/>
  <c r="AS456" i="72"/>
  <c r="AS455" i="72"/>
  <c r="AS454" i="72"/>
  <c r="AS453" i="72"/>
  <c r="AS452" i="72"/>
  <c r="AS451" i="72"/>
  <c r="AS450" i="72"/>
  <c r="AS449" i="72"/>
  <c r="AS448" i="72"/>
  <c r="AS447" i="72"/>
  <c r="AS446" i="72"/>
  <c r="AS445" i="72"/>
  <c r="AS444" i="72"/>
  <c r="AS443" i="72"/>
  <c r="AS442" i="72"/>
  <c r="AS441" i="72"/>
  <c r="AS440" i="72"/>
  <c r="AS439" i="72"/>
  <c r="AS438" i="72"/>
  <c r="AS437" i="72"/>
  <c r="AS436" i="72"/>
  <c r="AS435" i="72"/>
  <c r="AS434" i="72"/>
  <c r="AS433" i="72"/>
  <c r="AS432" i="72"/>
  <c r="AS431" i="72"/>
  <c r="AS430" i="72"/>
  <c r="AS429" i="72"/>
  <c r="AS428" i="72"/>
  <c r="AS427" i="72"/>
  <c r="AS426" i="72"/>
  <c r="AS425" i="72"/>
  <c r="AS424" i="72"/>
  <c r="AS423" i="72"/>
  <c r="AS422" i="72"/>
  <c r="AS421" i="72"/>
  <c r="AS420" i="72"/>
  <c r="AS419" i="72"/>
  <c r="AS418" i="72"/>
  <c r="AS417" i="72"/>
  <c r="AS416" i="72"/>
  <c r="AS415" i="72"/>
  <c r="AS414" i="72"/>
  <c r="AT414" i="72" s="1"/>
  <c r="AS413" i="72"/>
  <c r="AS412" i="72"/>
  <c r="AS411" i="72"/>
  <c r="AS410" i="72"/>
  <c r="AS409" i="72"/>
  <c r="AS408" i="72"/>
  <c r="AS407" i="72"/>
  <c r="AS406" i="72"/>
  <c r="AS405" i="72"/>
  <c r="AS404" i="72"/>
  <c r="AS403" i="72"/>
  <c r="AS402" i="72"/>
  <c r="AS401" i="72"/>
  <c r="AS400" i="72"/>
  <c r="AS399" i="72"/>
  <c r="AS398" i="72"/>
  <c r="AS397" i="72"/>
  <c r="AS396" i="72"/>
  <c r="AS395" i="72"/>
  <c r="AS394" i="72"/>
  <c r="AS393" i="72"/>
  <c r="AS392" i="72"/>
  <c r="AS391" i="72"/>
  <c r="AS390" i="72"/>
  <c r="AS389" i="72"/>
  <c r="AS388" i="72"/>
  <c r="AS387" i="72"/>
  <c r="AS386" i="72"/>
  <c r="AS385" i="72"/>
  <c r="AS384" i="72"/>
  <c r="AS383" i="72"/>
  <c r="AS382" i="72"/>
  <c r="AS381" i="72"/>
  <c r="AS380" i="72"/>
  <c r="AS379" i="72"/>
  <c r="AS378" i="72"/>
  <c r="AS377" i="72"/>
  <c r="AS376" i="72"/>
  <c r="AS375" i="72"/>
  <c r="AS374" i="72"/>
  <c r="AS373" i="72"/>
  <c r="AS372" i="72"/>
  <c r="AS371" i="72"/>
  <c r="AS370" i="72"/>
  <c r="AS369" i="72"/>
  <c r="AS368" i="72"/>
  <c r="AS367" i="72"/>
  <c r="AS366" i="72"/>
  <c r="AS365" i="72"/>
  <c r="AS364" i="72"/>
  <c r="AS363" i="72"/>
  <c r="AS362" i="72"/>
  <c r="AS361" i="72"/>
  <c r="AS360" i="72"/>
  <c r="AS359" i="72"/>
  <c r="AS358" i="72"/>
  <c r="AS357" i="72"/>
  <c r="AS356" i="72"/>
  <c r="AS355" i="72"/>
  <c r="AS354" i="72"/>
  <c r="AS353" i="72"/>
  <c r="AS352" i="72"/>
  <c r="AS351" i="72"/>
  <c r="AS350" i="72"/>
  <c r="AS349" i="72"/>
  <c r="AS348" i="72"/>
  <c r="AS347" i="72"/>
  <c r="AS346" i="72"/>
  <c r="AT346" i="72" s="1"/>
  <c r="AS345" i="72"/>
  <c r="AS344" i="72"/>
  <c r="AS343" i="72"/>
  <c r="AS342" i="72"/>
  <c r="AS341" i="72"/>
  <c r="AS340" i="72"/>
  <c r="AS339" i="72"/>
  <c r="AS338" i="72"/>
  <c r="AS337" i="72"/>
  <c r="AS336" i="72"/>
  <c r="AS335" i="72"/>
  <c r="AS334" i="72"/>
  <c r="AS333" i="72"/>
  <c r="AS332" i="72"/>
  <c r="AS331" i="72"/>
  <c r="AS330" i="72"/>
  <c r="AS329" i="72"/>
  <c r="AS328" i="72"/>
  <c r="AS327" i="72"/>
  <c r="AS326" i="72"/>
  <c r="AS325" i="72"/>
  <c r="AS324" i="72"/>
  <c r="AS323" i="72"/>
  <c r="AS322" i="72"/>
  <c r="AT322" i="72" s="1"/>
  <c r="AS321" i="72"/>
  <c r="AS320" i="72"/>
  <c r="AS319" i="72"/>
  <c r="AS318" i="72"/>
  <c r="AS317" i="72"/>
  <c r="AS316" i="72"/>
  <c r="AS315" i="72"/>
  <c r="AS314" i="72"/>
  <c r="AS313" i="72"/>
  <c r="AS312" i="72"/>
  <c r="AS311" i="72"/>
  <c r="AS310" i="72"/>
  <c r="AS309" i="72"/>
  <c r="AS308" i="72"/>
  <c r="AS307" i="72"/>
  <c r="AS306" i="72"/>
  <c r="AS305" i="72"/>
  <c r="AS304" i="72"/>
  <c r="AS303" i="72"/>
  <c r="AS302" i="72"/>
  <c r="AS301" i="72"/>
  <c r="AS300" i="72"/>
  <c r="AS299" i="72"/>
  <c r="AS298" i="72"/>
  <c r="AS297" i="72"/>
  <c r="AS296" i="72"/>
  <c r="AS295" i="72"/>
  <c r="AS294" i="72"/>
  <c r="AS293" i="72"/>
  <c r="AS292" i="72"/>
  <c r="AS291" i="72"/>
  <c r="AS290" i="72"/>
  <c r="AS289" i="72"/>
  <c r="AS288" i="72"/>
  <c r="AS287" i="72"/>
  <c r="AS286" i="72"/>
  <c r="AS285" i="72"/>
  <c r="AS284" i="72"/>
  <c r="AS283" i="72"/>
  <c r="AS282" i="72"/>
  <c r="AS281" i="72"/>
  <c r="AS280" i="72"/>
  <c r="AS279" i="72"/>
  <c r="AS278" i="72"/>
  <c r="AS277" i="72"/>
  <c r="AS276" i="72"/>
  <c r="AS275" i="72"/>
  <c r="AS274" i="72"/>
  <c r="AS273" i="72"/>
  <c r="AS272" i="72"/>
  <c r="AS271" i="72"/>
  <c r="AS270" i="72"/>
  <c r="AS269" i="72"/>
  <c r="AS268" i="72"/>
  <c r="AS267" i="72"/>
  <c r="AS266" i="72"/>
  <c r="AS265" i="72"/>
  <c r="AS264" i="72"/>
  <c r="AS263" i="72"/>
  <c r="AS262" i="72"/>
  <c r="AS261" i="72"/>
  <c r="AS260" i="72"/>
  <c r="AS259" i="72"/>
  <c r="AS258" i="72"/>
  <c r="AS257" i="72"/>
  <c r="AS256" i="72"/>
  <c r="AS255" i="72"/>
  <c r="AS254" i="72"/>
  <c r="AS253" i="72"/>
  <c r="AS252" i="72"/>
  <c r="AS251" i="72"/>
  <c r="AS250" i="72"/>
  <c r="AS249" i="72"/>
  <c r="AS248" i="72"/>
  <c r="AS247" i="72"/>
  <c r="AS246" i="72"/>
  <c r="AS245" i="72"/>
  <c r="AS244" i="72"/>
  <c r="AS243" i="72"/>
  <c r="AS242" i="72"/>
  <c r="AS241" i="72"/>
  <c r="AS240" i="72"/>
  <c r="AS239" i="72"/>
  <c r="AS238" i="72"/>
  <c r="AS237" i="72"/>
  <c r="AS236" i="72"/>
  <c r="AS235" i="72"/>
  <c r="AS234" i="72"/>
  <c r="AS233" i="72"/>
  <c r="AS232" i="72"/>
  <c r="AS231" i="72"/>
  <c r="AS230" i="72"/>
  <c r="AS229" i="72"/>
  <c r="AS228" i="72"/>
  <c r="AS227" i="72"/>
  <c r="AS226" i="72"/>
  <c r="AS225" i="72"/>
  <c r="AS224" i="72"/>
  <c r="AS223" i="72"/>
  <c r="AS222" i="72"/>
  <c r="AS221" i="72"/>
  <c r="AS220" i="72"/>
  <c r="AS219" i="72"/>
  <c r="AS218" i="72"/>
  <c r="AS217" i="72"/>
  <c r="AS216" i="72"/>
  <c r="AS215" i="72"/>
  <c r="AS214" i="72"/>
  <c r="AS213" i="72"/>
  <c r="AS212" i="72"/>
  <c r="AS211" i="72"/>
  <c r="AS210" i="72"/>
  <c r="AS209" i="72"/>
  <c r="AS208" i="72"/>
  <c r="AS207" i="72"/>
  <c r="AS206" i="72"/>
  <c r="AS205" i="72"/>
  <c r="AS204" i="72"/>
  <c r="AS203" i="72"/>
  <c r="AS202" i="72"/>
  <c r="AS201" i="72"/>
  <c r="AS200" i="72"/>
  <c r="AS199" i="72"/>
  <c r="AS198" i="72"/>
  <c r="AS197" i="72"/>
  <c r="AS196" i="72"/>
  <c r="AS195" i="72"/>
  <c r="AS194" i="72"/>
  <c r="AS193" i="72"/>
  <c r="AS192" i="72"/>
  <c r="AS191" i="72"/>
  <c r="AS190" i="72"/>
  <c r="AS189" i="72"/>
  <c r="AS188" i="72"/>
  <c r="AS187" i="72"/>
  <c r="AS186" i="72"/>
  <c r="AS185" i="72"/>
  <c r="AS184" i="72"/>
  <c r="AS183" i="72"/>
  <c r="AS182" i="72"/>
  <c r="AS181" i="72"/>
  <c r="AS180" i="72"/>
  <c r="AS179" i="72"/>
  <c r="AS178" i="72"/>
  <c r="AS177" i="72"/>
  <c r="AS176" i="72"/>
  <c r="AS175" i="72"/>
  <c r="AS174" i="72"/>
  <c r="AS173" i="72"/>
  <c r="AS172" i="72"/>
  <c r="AS171" i="72"/>
  <c r="AS170" i="72"/>
  <c r="AS169" i="72"/>
  <c r="AS168" i="72"/>
  <c r="AS167" i="72"/>
  <c r="AS166" i="72"/>
  <c r="AS165" i="72"/>
  <c r="AS164" i="72"/>
  <c r="AS163" i="72"/>
  <c r="AS162" i="72"/>
  <c r="AS161" i="72"/>
  <c r="AS160" i="72"/>
  <c r="AS159" i="72"/>
  <c r="AS158" i="72"/>
  <c r="AS157" i="72"/>
  <c r="AS156" i="72"/>
  <c r="AS155" i="72"/>
  <c r="AS154" i="72"/>
  <c r="AS153" i="72"/>
  <c r="AS152" i="72"/>
  <c r="AS151" i="72"/>
  <c r="AS150" i="72"/>
  <c r="AS149" i="72"/>
  <c r="AS148" i="72"/>
  <c r="AS147" i="72"/>
  <c r="AS146" i="72"/>
  <c r="AS145" i="72"/>
  <c r="AS144" i="72"/>
  <c r="AS143" i="72"/>
  <c r="AS142" i="72"/>
  <c r="AT142" i="72" s="1"/>
  <c r="AS141" i="72"/>
  <c r="AS140" i="72"/>
  <c r="AS139" i="72"/>
  <c r="AS138" i="72"/>
  <c r="AS137" i="72"/>
  <c r="AS136" i="72"/>
  <c r="AS135" i="72"/>
  <c r="AS134" i="72"/>
  <c r="AS133" i="72"/>
  <c r="AS132" i="72"/>
  <c r="AS131" i="72"/>
  <c r="AS130" i="72"/>
  <c r="AS129" i="72"/>
  <c r="AS128" i="72"/>
  <c r="AS127" i="72"/>
  <c r="AS126" i="72"/>
  <c r="AS125" i="72"/>
  <c r="AS124" i="72"/>
  <c r="AS123" i="72"/>
  <c r="AS122" i="72"/>
  <c r="AS121" i="72"/>
  <c r="AS120" i="72"/>
  <c r="AS119" i="72"/>
  <c r="AS118" i="72"/>
  <c r="AS117" i="72"/>
  <c r="AS116" i="72"/>
  <c r="AS115" i="72"/>
  <c r="AS114" i="72"/>
  <c r="AS113" i="72"/>
  <c r="AS112" i="72"/>
  <c r="AS111" i="72"/>
  <c r="AS110" i="72"/>
  <c r="AS109" i="72"/>
  <c r="AS108" i="72"/>
  <c r="AS107" i="72"/>
  <c r="AS106" i="72"/>
  <c r="AS105" i="72"/>
  <c r="AS104" i="72"/>
  <c r="AS103" i="72"/>
  <c r="AS102" i="72"/>
  <c r="AS101" i="72"/>
  <c r="AS100" i="72"/>
  <c r="AS99" i="72"/>
  <c r="AS98" i="72"/>
  <c r="AS97" i="72"/>
  <c r="AS96" i="72"/>
  <c r="AS95" i="72"/>
  <c r="AS94" i="72"/>
  <c r="AS93" i="72"/>
  <c r="AS92" i="72"/>
  <c r="AS91" i="72"/>
  <c r="AS90" i="72"/>
  <c r="AS89" i="72"/>
  <c r="AS88" i="72"/>
  <c r="AS87" i="72"/>
  <c r="AS86" i="72"/>
  <c r="AS85" i="72"/>
  <c r="AS84" i="72"/>
  <c r="AS83" i="72"/>
  <c r="AS82" i="72"/>
  <c r="AT82" i="72" s="1"/>
  <c r="AS81" i="72"/>
  <c r="AS80" i="72"/>
  <c r="AS79" i="72"/>
  <c r="AS78" i="72"/>
  <c r="AS77" i="72"/>
  <c r="AS76" i="72"/>
  <c r="AS75" i="72"/>
  <c r="AS74" i="72"/>
  <c r="AS73" i="72"/>
  <c r="AS72" i="72"/>
  <c r="AS71" i="72"/>
  <c r="AS70" i="72"/>
  <c r="AS69" i="72"/>
  <c r="AS68" i="72"/>
  <c r="AS67" i="72"/>
  <c r="AS66" i="72"/>
  <c r="AS65" i="72"/>
  <c r="AS64" i="72"/>
  <c r="AS63" i="72"/>
  <c r="AS62" i="72"/>
  <c r="AS61" i="72"/>
  <c r="AS60" i="72"/>
  <c r="AS59" i="72"/>
  <c r="AS58" i="72"/>
  <c r="AS57" i="72"/>
  <c r="AS56" i="72"/>
  <c r="AS55" i="72"/>
  <c r="AS54" i="72"/>
  <c r="AS53" i="72"/>
  <c r="AS52" i="72"/>
  <c r="AS51" i="72"/>
  <c r="AS50" i="72"/>
  <c r="AS49" i="72"/>
  <c r="AS48" i="72"/>
  <c r="AS47" i="72"/>
  <c r="AS46" i="72"/>
  <c r="AS45" i="72"/>
  <c r="AS44" i="72"/>
  <c r="AS43" i="72"/>
  <c r="AS42" i="72"/>
  <c r="AS41" i="72"/>
  <c r="AS40" i="72"/>
  <c r="AS39" i="72"/>
  <c r="AS38" i="72"/>
  <c r="AS37" i="72"/>
  <c r="AS36" i="72"/>
  <c r="AS35" i="72"/>
  <c r="AS34" i="72"/>
  <c r="AS33" i="72"/>
  <c r="AS32" i="72"/>
  <c r="AS31" i="72"/>
  <c r="AS30" i="72"/>
  <c r="AS29" i="72"/>
  <c r="AS28" i="72"/>
  <c r="AS27" i="72"/>
  <c r="AS26" i="72"/>
  <c r="AS25" i="72"/>
  <c r="AS24" i="72"/>
  <c r="AS23" i="72"/>
  <c r="AS22" i="72"/>
  <c r="AS21" i="72"/>
  <c r="AS20" i="72"/>
  <c r="AS19" i="72"/>
  <c r="AS18" i="72"/>
  <c r="AS17" i="72"/>
  <c r="AS16" i="72"/>
  <c r="AS15" i="72"/>
  <c r="AS14" i="72"/>
  <c r="AS13" i="72"/>
  <c r="AS12" i="72"/>
  <c r="AS11" i="72"/>
  <c r="AS10" i="72"/>
  <c r="AS9" i="72"/>
  <c r="AS8" i="72"/>
  <c r="AS7" i="72"/>
  <c r="AS6" i="72"/>
  <c r="AS5" i="72"/>
  <c r="AS4" i="72"/>
  <c r="AS3" i="72"/>
  <c r="AR3" i="72"/>
  <c r="AR4" i="72"/>
  <c r="AR5" i="72"/>
  <c r="AR6" i="72"/>
  <c r="AT6" i="72" s="1"/>
  <c r="AR7" i="72"/>
  <c r="AR8" i="72"/>
  <c r="AR9" i="72"/>
  <c r="AR10" i="72"/>
  <c r="AT9" i="72"/>
  <c r="AT8" i="72"/>
  <c r="AT7" i="72"/>
  <c r="AT537" i="72"/>
  <c r="AT536" i="72"/>
  <c r="AT535" i="72"/>
  <c r="AT533" i="72"/>
  <c r="AT532" i="72"/>
  <c r="AT531" i="72"/>
  <c r="AT530" i="72"/>
  <c r="AT529" i="72"/>
  <c r="AT528" i="72"/>
  <c r="AT527" i="72"/>
  <c r="AT526" i="72"/>
  <c r="AT525" i="72"/>
  <c r="AT524" i="72"/>
  <c r="AT523" i="72"/>
  <c r="AT522" i="72"/>
  <c r="AT521" i="72"/>
  <c r="AT520" i="72"/>
  <c r="AT519" i="72"/>
  <c r="AT518" i="72"/>
  <c r="AT517" i="72"/>
  <c r="AT516" i="72"/>
  <c r="AT515" i="72"/>
  <c r="AT514" i="72"/>
  <c r="AT513" i="72"/>
  <c r="AT512" i="72"/>
  <c r="AT511" i="72"/>
  <c r="AT510" i="72"/>
  <c r="AT509" i="72"/>
  <c r="AT508" i="72"/>
  <c r="AT507" i="72"/>
  <c r="AT506" i="72"/>
  <c r="AT505" i="72"/>
  <c r="AT504" i="72"/>
  <c r="AT503" i="72"/>
  <c r="AT502" i="72"/>
  <c r="AT500" i="72"/>
  <c r="AT499" i="72"/>
  <c r="AT498" i="72"/>
  <c r="AT497" i="72"/>
  <c r="AT496" i="72"/>
  <c r="AT495" i="72"/>
  <c r="AT494" i="72"/>
  <c r="AT493" i="72"/>
  <c r="AT492" i="72"/>
  <c r="AT491" i="72"/>
  <c r="AT490" i="72"/>
  <c r="AT488" i="72"/>
  <c r="AT487" i="72"/>
  <c r="AT486" i="72"/>
  <c r="AT485" i="72"/>
  <c r="AT484" i="72"/>
  <c r="AT483" i="72"/>
  <c r="AT482" i="72"/>
  <c r="AT481" i="72"/>
  <c r="AT480" i="72"/>
  <c r="AT479" i="72"/>
  <c r="AT478" i="72"/>
  <c r="AT477" i="72"/>
  <c r="AT476" i="72"/>
  <c r="AT475" i="72"/>
  <c r="AT474" i="72"/>
  <c r="AT473" i="72"/>
  <c r="AT472" i="72"/>
  <c r="AT471" i="72"/>
  <c r="AT470" i="72"/>
  <c r="AT469" i="72"/>
  <c r="AT468" i="72"/>
  <c r="AT467" i="72"/>
  <c r="AT465" i="72"/>
  <c r="AT464" i="72"/>
  <c r="AT463" i="72"/>
  <c r="AT462" i="72"/>
  <c r="AT461" i="72"/>
  <c r="AT460" i="72"/>
  <c r="AT459" i="72"/>
  <c r="AT458" i="72"/>
  <c r="AT457" i="72"/>
  <c r="AT456" i="72"/>
  <c r="AT455" i="72"/>
  <c r="AT454" i="72"/>
  <c r="AT453" i="72"/>
  <c r="AT452" i="72"/>
  <c r="AT451" i="72"/>
  <c r="AT450" i="72"/>
  <c r="AT449" i="72"/>
  <c r="AT448" i="72"/>
  <c r="AT447" i="72"/>
  <c r="AT446" i="72"/>
  <c r="AT445" i="72"/>
  <c r="AT444" i="72"/>
  <c r="AT443" i="72"/>
  <c r="AT442" i="72"/>
  <c r="AT441" i="72"/>
  <c r="AT440" i="72"/>
  <c r="AT439" i="72"/>
  <c r="AT438" i="72"/>
  <c r="AT437" i="72"/>
  <c r="AT436" i="72"/>
  <c r="AT435" i="72"/>
  <c r="AT434" i="72"/>
  <c r="AT433" i="72"/>
  <c r="AT432" i="72"/>
  <c r="AT431" i="72"/>
  <c r="AT430" i="72"/>
  <c r="AT429" i="72"/>
  <c r="AT428" i="72"/>
  <c r="AT427" i="72"/>
  <c r="AT426" i="72"/>
  <c r="AT425" i="72"/>
  <c r="AT424" i="72"/>
  <c r="AT423" i="72"/>
  <c r="AT422" i="72"/>
  <c r="AT421" i="72"/>
  <c r="AT420" i="72"/>
  <c r="AT419" i="72"/>
  <c r="AT418" i="72"/>
  <c r="AT417" i="72"/>
  <c r="AT416" i="72"/>
  <c r="AT415" i="72"/>
  <c r="AT413" i="72"/>
  <c r="AT412" i="72"/>
  <c r="AT411" i="72"/>
  <c r="AT410" i="72"/>
  <c r="AT409" i="72"/>
  <c r="AT408" i="72"/>
  <c r="AT407" i="72"/>
  <c r="AT406" i="72"/>
  <c r="AT405" i="72"/>
  <c r="AT404" i="72"/>
  <c r="AT403" i="72"/>
  <c r="AT402" i="72"/>
  <c r="AT401" i="72"/>
  <c r="AT400" i="72"/>
  <c r="AT399" i="72"/>
  <c r="AT398" i="72"/>
  <c r="AT397" i="72"/>
  <c r="AT396" i="72"/>
  <c r="AT395" i="72"/>
  <c r="AT394" i="72"/>
  <c r="AT393" i="72"/>
  <c r="AT392" i="72"/>
  <c r="AT391" i="72"/>
  <c r="AT390" i="72"/>
  <c r="AT389" i="72"/>
  <c r="AT388" i="72"/>
  <c r="AT387" i="72"/>
  <c r="AT386" i="72"/>
  <c r="AT385" i="72"/>
  <c r="AT384" i="72"/>
  <c r="AT383" i="72"/>
  <c r="AT382" i="72"/>
  <c r="AT381" i="72"/>
  <c r="AT380" i="72"/>
  <c r="AT379" i="72"/>
  <c r="AT378" i="72"/>
  <c r="AT377" i="72"/>
  <c r="AT376" i="72"/>
  <c r="AT375" i="72"/>
  <c r="AT374" i="72"/>
  <c r="AT373" i="72"/>
  <c r="AT372" i="72"/>
  <c r="AT371" i="72"/>
  <c r="AT370" i="72"/>
  <c r="AT369" i="72"/>
  <c r="AT368" i="72"/>
  <c r="AT367" i="72"/>
  <c r="AT366" i="72"/>
  <c r="AT365" i="72"/>
  <c r="AT364" i="72"/>
  <c r="AT363" i="72"/>
  <c r="AT362" i="72"/>
  <c r="AT361" i="72"/>
  <c r="AT360" i="72"/>
  <c r="AT359" i="72"/>
  <c r="AT358" i="72"/>
  <c r="AT357" i="72"/>
  <c r="AT356" i="72"/>
  <c r="AT355" i="72"/>
  <c r="AT354" i="72"/>
  <c r="AT353" i="72"/>
  <c r="AT352" i="72"/>
  <c r="AT351" i="72"/>
  <c r="AT350" i="72"/>
  <c r="AT349" i="72"/>
  <c r="AT348" i="72"/>
  <c r="AT347" i="72"/>
  <c r="AT345" i="72"/>
  <c r="AT344" i="72"/>
  <c r="AT343" i="72"/>
  <c r="AT342" i="72"/>
  <c r="AT341" i="72"/>
  <c r="AT340" i="72"/>
  <c r="AT339" i="72"/>
  <c r="AT338" i="72"/>
  <c r="AT337" i="72"/>
  <c r="AT336" i="72"/>
  <c r="AT335" i="72"/>
  <c r="AT334" i="72"/>
  <c r="AT333" i="72"/>
  <c r="AT332" i="72"/>
  <c r="AT331" i="72"/>
  <c r="AT330" i="72"/>
  <c r="AT329" i="72"/>
  <c r="AT328" i="72"/>
  <c r="AT327" i="72"/>
  <c r="AT326" i="72"/>
  <c r="AT325" i="72"/>
  <c r="AT324" i="72"/>
  <c r="AT323" i="72"/>
  <c r="AT321" i="72"/>
  <c r="AT320" i="72"/>
  <c r="AT319" i="72"/>
  <c r="AT318" i="72"/>
  <c r="AT317" i="72"/>
  <c r="AT316" i="72"/>
  <c r="AT315" i="72"/>
  <c r="AT314" i="72"/>
  <c r="AT313" i="72"/>
  <c r="AT312" i="72"/>
  <c r="AT311" i="72"/>
  <c r="AT310" i="72"/>
  <c r="AT309" i="72"/>
  <c r="AT308" i="72"/>
  <c r="AT307" i="72"/>
  <c r="AT306" i="72"/>
  <c r="AT305" i="72"/>
  <c r="AT304" i="72"/>
  <c r="AT303" i="72"/>
  <c r="AT302" i="72"/>
  <c r="AT301" i="72"/>
  <c r="AT300" i="72"/>
  <c r="AT299" i="72"/>
  <c r="AT298" i="72"/>
  <c r="AT297" i="72"/>
  <c r="AT296" i="72"/>
  <c r="AT295" i="72"/>
  <c r="AT294" i="72"/>
  <c r="AT293" i="72"/>
  <c r="AT292" i="72"/>
  <c r="AT291" i="72"/>
  <c r="AT290" i="72"/>
  <c r="AT289" i="72"/>
  <c r="AT288" i="72"/>
  <c r="AT287" i="72"/>
  <c r="AT286" i="72"/>
  <c r="AT285" i="72"/>
  <c r="AT284" i="72"/>
  <c r="AT283" i="72"/>
  <c r="AT282" i="72"/>
  <c r="AT281" i="72"/>
  <c r="AT280" i="72"/>
  <c r="AT279" i="72"/>
  <c r="AT278" i="72"/>
  <c r="AT277" i="72"/>
  <c r="AT276" i="72"/>
  <c r="AT275" i="72"/>
  <c r="AT274" i="72"/>
  <c r="AT273" i="72"/>
  <c r="AT272" i="72"/>
  <c r="AT271" i="72"/>
  <c r="AT270" i="72"/>
  <c r="AT269" i="72"/>
  <c r="AT268" i="72"/>
  <c r="AT267" i="72"/>
  <c r="AT266" i="72"/>
  <c r="AT265" i="72"/>
  <c r="AT264" i="72"/>
  <c r="AT263" i="72"/>
  <c r="AT262" i="72"/>
  <c r="AT261" i="72"/>
  <c r="AT260" i="72"/>
  <c r="AT259" i="72"/>
  <c r="AT258" i="72"/>
  <c r="AT257" i="72"/>
  <c r="AT256" i="72"/>
  <c r="AT255" i="72"/>
  <c r="AT254" i="72"/>
  <c r="AT253" i="72"/>
  <c r="AT252" i="72"/>
  <c r="AT251" i="72"/>
  <c r="AT250" i="72"/>
  <c r="AT249" i="72"/>
  <c r="AT248" i="72"/>
  <c r="AT247" i="72"/>
  <c r="AT246" i="72"/>
  <c r="AT245" i="72"/>
  <c r="AT244" i="72"/>
  <c r="AT243" i="72"/>
  <c r="AT242" i="72"/>
  <c r="AT241" i="72"/>
  <c r="AT240" i="72"/>
  <c r="AT239" i="72"/>
  <c r="AT238" i="72"/>
  <c r="AT237" i="72"/>
  <c r="AT236" i="72"/>
  <c r="AT235" i="72"/>
  <c r="AT234" i="72"/>
  <c r="AT233" i="72"/>
  <c r="AT232" i="72"/>
  <c r="AT231" i="72"/>
  <c r="AT230" i="72"/>
  <c r="AT229" i="72"/>
  <c r="AT228" i="72"/>
  <c r="AT227" i="72"/>
  <c r="AT226" i="72"/>
  <c r="AT225" i="72"/>
  <c r="AT224" i="72"/>
  <c r="AT223" i="72"/>
  <c r="AT222" i="72"/>
  <c r="AT221" i="72"/>
  <c r="AT220" i="72"/>
  <c r="AT219" i="72"/>
  <c r="AT218" i="72"/>
  <c r="AT217" i="72"/>
  <c r="AT216" i="72"/>
  <c r="AT215" i="72"/>
  <c r="AT214" i="72"/>
  <c r="AT213" i="72"/>
  <c r="AT212" i="72"/>
  <c r="AT211" i="72"/>
  <c r="AT210" i="72"/>
  <c r="AT209" i="72"/>
  <c r="AT208" i="72"/>
  <c r="AT207" i="72"/>
  <c r="AT206" i="72"/>
  <c r="AT205" i="72"/>
  <c r="AT204" i="72"/>
  <c r="AT203" i="72"/>
  <c r="AT202" i="72"/>
  <c r="AT201" i="72"/>
  <c r="AT200" i="72"/>
  <c r="AT199" i="72"/>
  <c r="AT198" i="72"/>
  <c r="AT197" i="72"/>
  <c r="AT196" i="72"/>
  <c r="AT195" i="72"/>
  <c r="AT194" i="72"/>
  <c r="AT193" i="72"/>
  <c r="AT192" i="72"/>
  <c r="AT191" i="72"/>
  <c r="AT190" i="72"/>
  <c r="AT189" i="72"/>
  <c r="AT188" i="72"/>
  <c r="AT187" i="72"/>
  <c r="AT186" i="72"/>
  <c r="AT185" i="72"/>
  <c r="AT184" i="72"/>
  <c r="AT183" i="72"/>
  <c r="AT182" i="72"/>
  <c r="AT181" i="72"/>
  <c r="AT180" i="72"/>
  <c r="AT179" i="72"/>
  <c r="AT178" i="72"/>
  <c r="AT177" i="72"/>
  <c r="AT176" i="72"/>
  <c r="AT175" i="72"/>
  <c r="AT174" i="72"/>
  <c r="AT173" i="72"/>
  <c r="AT172" i="72"/>
  <c r="AT171" i="72"/>
  <c r="AT170" i="72"/>
  <c r="AT169" i="72"/>
  <c r="AT168" i="72"/>
  <c r="AT167" i="72"/>
  <c r="AT166" i="72"/>
  <c r="AT165" i="72"/>
  <c r="AT164" i="72"/>
  <c r="AT163" i="72"/>
  <c r="AT162" i="72"/>
  <c r="AT161" i="72"/>
  <c r="AT160" i="72"/>
  <c r="AT159" i="72"/>
  <c r="AT158" i="72"/>
  <c r="AT157" i="72"/>
  <c r="AT156" i="72"/>
  <c r="AT155" i="72"/>
  <c r="AT154" i="72"/>
  <c r="AT153" i="72"/>
  <c r="AT152" i="72"/>
  <c r="AT151" i="72"/>
  <c r="AT150" i="72"/>
  <c r="AT149" i="72"/>
  <c r="AT148" i="72"/>
  <c r="AT147" i="72"/>
  <c r="AT146" i="72"/>
  <c r="AT145" i="72"/>
  <c r="AT144" i="72"/>
  <c r="AT143" i="72"/>
  <c r="AT141" i="72"/>
  <c r="AT140" i="72"/>
  <c r="AT139" i="72"/>
  <c r="AT138" i="72"/>
  <c r="AT137" i="72"/>
  <c r="AT136" i="72"/>
  <c r="AT135" i="72"/>
  <c r="AT134" i="72"/>
  <c r="AT133" i="72"/>
  <c r="AT132" i="72"/>
  <c r="AT131" i="72"/>
  <c r="AT130" i="72"/>
  <c r="AT129" i="72"/>
  <c r="AT128" i="72"/>
  <c r="AT127" i="72"/>
  <c r="AT126" i="72"/>
  <c r="AT125" i="72"/>
  <c r="AT124" i="72"/>
  <c r="AT123" i="72"/>
  <c r="AT122" i="72"/>
  <c r="AT121" i="72"/>
  <c r="AT120" i="72"/>
  <c r="AT119" i="72"/>
  <c r="AT118" i="72"/>
  <c r="AT117" i="72"/>
  <c r="AT116" i="72"/>
  <c r="AT115" i="72"/>
  <c r="AT114" i="72"/>
  <c r="AT113" i="72"/>
  <c r="AT112" i="72"/>
  <c r="AT111" i="72"/>
  <c r="AT110" i="72"/>
  <c r="AT109" i="72"/>
  <c r="AT108" i="72"/>
  <c r="AT107" i="72"/>
  <c r="AT106" i="72"/>
  <c r="AT105" i="72"/>
  <c r="AT104" i="72"/>
  <c r="AT103" i="72"/>
  <c r="AT102" i="72"/>
  <c r="AT101" i="72"/>
  <c r="AT100" i="72"/>
  <c r="AT99" i="72"/>
  <c r="AT98" i="72"/>
  <c r="AT97" i="72"/>
  <c r="AT96" i="72"/>
  <c r="AT95" i="72"/>
  <c r="AT94" i="72"/>
  <c r="AT93" i="72"/>
  <c r="AT92" i="72"/>
  <c r="AT91" i="72"/>
  <c r="AT90" i="72"/>
  <c r="AT89" i="72"/>
  <c r="AT88" i="72"/>
  <c r="AT87" i="72"/>
  <c r="AT86" i="72"/>
  <c r="AT85" i="72"/>
  <c r="AT84" i="72"/>
  <c r="AT83" i="72"/>
  <c r="AT81" i="72"/>
  <c r="AT80" i="72"/>
  <c r="AT79" i="72"/>
  <c r="AT78" i="72"/>
  <c r="AT77" i="72"/>
  <c r="AT76" i="72"/>
  <c r="AT75" i="72"/>
  <c r="AT74" i="72"/>
  <c r="AT73" i="72"/>
  <c r="AT72" i="72"/>
  <c r="AT71" i="72"/>
  <c r="AT70" i="72"/>
  <c r="AT69" i="72"/>
  <c r="AT68" i="72"/>
  <c r="AT67" i="72"/>
  <c r="AT66" i="72"/>
  <c r="AT65" i="72"/>
  <c r="AT64" i="72"/>
  <c r="AT63" i="72"/>
  <c r="AT62" i="72"/>
  <c r="AT61" i="72"/>
  <c r="AT60" i="72"/>
  <c r="AT59" i="72"/>
  <c r="AT58" i="72"/>
  <c r="AT57" i="72"/>
  <c r="AT56" i="72"/>
  <c r="AT55" i="72"/>
  <c r="AT54" i="72"/>
  <c r="AT53" i="72"/>
  <c r="AT52" i="72"/>
  <c r="AT51" i="72"/>
  <c r="AT50" i="72"/>
  <c r="AT49" i="72"/>
  <c r="AT48" i="72"/>
  <c r="AT47" i="72"/>
  <c r="AT46" i="72"/>
  <c r="AT45" i="72"/>
  <c r="AT44" i="72"/>
  <c r="AT43" i="72"/>
  <c r="AT42" i="72"/>
  <c r="AT41" i="72"/>
  <c r="AT40" i="72"/>
  <c r="AT39" i="72"/>
  <c r="AT38" i="72"/>
  <c r="AT37" i="72"/>
  <c r="AT36" i="72"/>
  <c r="AT35" i="72"/>
  <c r="AT34" i="72"/>
  <c r="AT33" i="72"/>
  <c r="AT32" i="72"/>
  <c r="AT31" i="72"/>
  <c r="AT30" i="72"/>
  <c r="AT29" i="72"/>
  <c r="AT28" i="72"/>
  <c r="AT27" i="72"/>
  <c r="AT26" i="72"/>
  <c r="AT25" i="72"/>
  <c r="AT24" i="72"/>
  <c r="AT23" i="72"/>
  <c r="AT22" i="72"/>
  <c r="AT21" i="72"/>
  <c r="AT20" i="72"/>
  <c r="AT19" i="72"/>
  <c r="AT18" i="72"/>
  <c r="AT17" i="72"/>
  <c r="AT16" i="72"/>
  <c r="AT15" i="72"/>
  <c r="AT14" i="72"/>
  <c r="AT13" i="72"/>
  <c r="AT12" i="72"/>
  <c r="AT11" i="72"/>
  <c r="AT5" i="72"/>
  <c r="AT4" i="72"/>
  <c r="AQ537" i="72"/>
  <c r="AQ536" i="72"/>
  <c r="AQ533" i="72"/>
  <c r="AQ529" i="72"/>
  <c r="AQ528" i="72"/>
  <c r="AQ527" i="72"/>
  <c r="AQ526" i="72"/>
  <c r="AQ525" i="72"/>
  <c r="AQ524" i="72"/>
  <c r="AQ523" i="72"/>
  <c r="AQ522" i="72"/>
  <c r="AQ521" i="72"/>
  <c r="AQ520" i="72"/>
  <c r="AQ518" i="72"/>
  <c r="AQ515" i="72"/>
  <c r="AQ514" i="72"/>
  <c r="AQ513" i="72"/>
  <c r="AQ512" i="72"/>
  <c r="AQ511" i="72"/>
  <c r="AQ510" i="72"/>
  <c r="AQ509" i="72"/>
  <c r="AQ508" i="72"/>
  <c r="AQ507" i="72"/>
  <c r="AQ506" i="72"/>
  <c r="AQ505" i="72"/>
  <c r="AQ504" i="72"/>
  <c r="AQ503" i="72"/>
  <c r="AQ502" i="72"/>
  <c r="AQ501" i="72"/>
  <c r="AQ500" i="72"/>
  <c r="AQ497" i="72"/>
  <c r="AQ494" i="72"/>
  <c r="AQ493" i="72"/>
  <c r="AQ490" i="72"/>
  <c r="AQ489" i="72"/>
  <c r="AQ488" i="72"/>
  <c r="AQ486" i="72"/>
  <c r="AQ485" i="72"/>
  <c r="AQ484" i="72"/>
  <c r="AQ483" i="72"/>
  <c r="AQ482" i="72"/>
  <c r="AQ481" i="72"/>
  <c r="AQ480" i="72"/>
  <c r="AQ479" i="72"/>
  <c r="AQ478" i="72"/>
  <c r="AQ477" i="72"/>
  <c r="AQ476" i="72"/>
  <c r="AQ475" i="72"/>
  <c r="AQ474" i="72"/>
  <c r="AQ472" i="72"/>
  <c r="AQ471" i="72"/>
  <c r="AQ469" i="72"/>
  <c r="AQ467" i="72"/>
  <c r="AQ465" i="72"/>
  <c r="AQ464" i="72"/>
  <c r="AQ463" i="72"/>
  <c r="AQ462" i="72"/>
  <c r="AQ461" i="72"/>
  <c r="AQ460" i="72"/>
  <c r="AQ459" i="72"/>
  <c r="AQ458" i="72"/>
  <c r="AQ457" i="72"/>
  <c r="AQ456" i="72"/>
  <c r="AQ454" i="72"/>
  <c r="AQ453" i="72"/>
  <c r="AQ452" i="72"/>
  <c r="AQ451" i="72"/>
  <c r="AQ450" i="72"/>
  <c r="AQ449" i="72"/>
  <c r="AQ447" i="72"/>
  <c r="AQ446" i="72"/>
  <c r="AQ445" i="72"/>
  <c r="AQ443" i="72"/>
  <c r="AQ442" i="72"/>
  <c r="AQ441" i="72"/>
  <c r="AQ440" i="72"/>
  <c r="AQ439" i="72"/>
  <c r="AQ438" i="72"/>
  <c r="AQ437" i="72"/>
  <c r="AQ436" i="72"/>
  <c r="AQ435" i="72"/>
  <c r="AQ434" i="72"/>
  <c r="AQ433" i="72"/>
  <c r="AQ432" i="72"/>
  <c r="AQ431" i="72"/>
  <c r="AQ430" i="72"/>
  <c r="AQ429" i="72"/>
  <c r="AQ428" i="72"/>
  <c r="AQ427" i="72"/>
  <c r="AQ426" i="72"/>
  <c r="AQ425" i="72"/>
  <c r="AQ424" i="72"/>
  <c r="AQ423" i="72"/>
  <c r="AQ422" i="72"/>
  <c r="AQ419" i="72"/>
  <c r="AQ418" i="72"/>
  <c r="AQ417" i="72"/>
  <c r="AQ415" i="72"/>
  <c r="AQ413" i="72"/>
  <c r="AQ410" i="72"/>
  <c r="AQ409" i="72"/>
  <c r="AQ408" i="72"/>
  <c r="AQ407" i="72"/>
  <c r="AQ406" i="72"/>
  <c r="AQ405" i="72"/>
  <c r="AQ404" i="72"/>
  <c r="AQ403" i="72"/>
  <c r="AQ402" i="72"/>
  <c r="AQ401" i="72"/>
  <c r="AQ399" i="72"/>
  <c r="AQ397" i="72"/>
  <c r="AQ396" i="72"/>
  <c r="AQ395" i="72"/>
  <c r="AQ394" i="72"/>
  <c r="AQ393" i="72"/>
  <c r="AQ392" i="72"/>
  <c r="AQ390" i="72"/>
  <c r="AQ389" i="72"/>
  <c r="AQ386" i="72"/>
  <c r="AQ384" i="72"/>
  <c r="AQ383" i="72"/>
  <c r="AQ382" i="72"/>
  <c r="AQ381" i="72"/>
  <c r="AQ380" i="72"/>
  <c r="AQ379" i="72"/>
  <c r="AQ378" i="72"/>
  <c r="AQ377" i="72"/>
  <c r="AQ376" i="72"/>
  <c r="AQ375" i="72"/>
  <c r="AQ374" i="72"/>
  <c r="AQ373" i="72"/>
  <c r="AQ372" i="72"/>
  <c r="AQ371" i="72"/>
  <c r="AQ370" i="72"/>
  <c r="AQ369" i="72"/>
  <c r="AQ368" i="72"/>
  <c r="AQ367" i="72"/>
  <c r="AQ365" i="72"/>
  <c r="AQ364" i="72"/>
  <c r="AQ360" i="72"/>
  <c r="AQ359" i="72"/>
  <c r="AQ358" i="72"/>
  <c r="AQ357" i="72"/>
  <c r="AQ356" i="72"/>
  <c r="AQ355" i="72"/>
  <c r="AQ354" i="72"/>
  <c r="AQ353" i="72"/>
  <c r="AQ352" i="72"/>
  <c r="AQ351" i="72"/>
  <c r="AQ350" i="72"/>
  <c r="AQ348" i="72"/>
  <c r="AQ347" i="72"/>
  <c r="AQ345" i="72"/>
  <c r="AQ344" i="72"/>
  <c r="AQ343" i="72"/>
  <c r="AQ342" i="72"/>
  <c r="AQ341" i="72"/>
  <c r="AQ340" i="72"/>
  <c r="AQ339" i="72"/>
  <c r="AQ338" i="72"/>
  <c r="AQ337" i="72"/>
  <c r="AQ335" i="72"/>
  <c r="AQ334" i="72"/>
  <c r="AQ333" i="72"/>
  <c r="AQ332" i="72"/>
  <c r="AQ331" i="72"/>
  <c r="AQ330" i="72"/>
  <c r="AQ329" i="72"/>
  <c r="AQ328" i="72"/>
  <c r="AQ327" i="72"/>
  <c r="AQ326" i="72"/>
  <c r="AQ323" i="72"/>
  <c r="AQ321" i="72"/>
  <c r="AQ320" i="72"/>
  <c r="AQ319" i="72"/>
  <c r="AQ318" i="72"/>
  <c r="AQ317" i="72"/>
  <c r="AQ316" i="72"/>
  <c r="AQ315" i="72"/>
  <c r="AQ314" i="72"/>
  <c r="AQ313" i="72"/>
  <c r="AQ312" i="72"/>
  <c r="AQ311" i="72"/>
  <c r="AQ310" i="72"/>
  <c r="AQ309" i="72"/>
  <c r="AQ308" i="72"/>
  <c r="AQ307" i="72"/>
  <c r="AQ306" i="72"/>
  <c r="AQ305" i="72"/>
  <c r="AQ304" i="72"/>
  <c r="AQ301" i="72"/>
  <c r="AQ300" i="72"/>
  <c r="AQ299" i="72"/>
  <c r="AQ298" i="72"/>
  <c r="AQ297" i="72"/>
  <c r="AQ296" i="72"/>
  <c r="AQ295" i="72"/>
  <c r="AQ294" i="72"/>
  <c r="AQ293" i="72"/>
  <c r="AQ292" i="72"/>
  <c r="AQ288" i="72"/>
  <c r="AQ287" i="72"/>
  <c r="AQ286" i="72"/>
  <c r="AQ285" i="72"/>
  <c r="AQ284" i="72"/>
  <c r="AQ283" i="72"/>
  <c r="AQ282" i="72"/>
  <c r="AQ281" i="72"/>
  <c r="AQ280" i="72"/>
  <c r="AQ279" i="72"/>
  <c r="AQ278" i="72"/>
  <c r="AQ277" i="72"/>
  <c r="AQ276" i="72"/>
  <c r="AQ275" i="72"/>
  <c r="AQ274" i="72"/>
  <c r="AQ273" i="72"/>
  <c r="AQ272" i="72"/>
  <c r="AQ271" i="72"/>
  <c r="AQ270" i="72"/>
  <c r="AQ269" i="72"/>
  <c r="AQ268" i="72"/>
  <c r="AQ267" i="72"/>
  <c r="AQ266" i="72"/>
  <c r="AQ265" i="72"/>
  <c r="AQ264" i="72"/>
  <c r="AQ261" i="72"/>
  <c r="AQ260" i="72"/>
  <c r="AQ259" i="72"/>
  <c r="AQ258" i="72"/>
  <c r="AQ257" i="72"/>
  <c r="AQ256" i="72"/>
  <c r="AQ255" i="72"/>
  <c r="AQ254" i="72"/>
  <c r="AQ253" i="72"/>
  <c r="AQ252" i="72"/>
  <c r="AQ251" i="72"/>
  <c r="AQ250" i="72"/>
  <c r="AQ249" i="72"/>
  <c r="AQ248" i="72"/>
  <c r="AQ247" i="72"/>
  <c r="AQ246" i="72"/>
  <c r="AQ245" i="72"/>
  <c r="AQ244" i="72"/>
  <c r="AQ243" i="72"/>
  <c r="AQ242" i="72"/>
  <c r="AQ241" i="72"/>
  <c r="AQ240" i="72"/>
  <c r="AQ239" i="72"/>
  <c r="AQ238" i="72"/>
  <c r="AQ237" i="72"/>
  <c r="AQ236" i="72"/>
  <c r="AQ235" i="72"/>
  <c r="AQ234" i="72"/>
  <c r="AQ233" i="72"/>
  <c r="AQ232" i="72"/>
  <c r="AQ231" i="72"/>
  <c r="AQ230" i="72"/>
  <c r="AQ229" i="72"/>
  <c r="AQ228" i="72"/>
  <c r="AQ225" i="72"/>
  <c r="AQ224" i="72"/>
  <c r="AQ223" i="72"/>
  <c r="AQ222" i="72"/>
  <c r="AQ221" i="72"/>
  <c r="AQ220" i="72"/>
  <c r="AQ219" i="72"/>
  <c r="AQ217" i="72"/>
  <c r="AQ215" i="72"/>
  <c r="AQ214" i="72"/>
  <c r="AQ213" i="72"/>
  <c r="AQ212" i="72"/>
  <c r="AQ211" i="72"/>
  <c r="AQ210" i="72"/>
  <c r="AQ209" i="72"/>
  <c r="AQ208" i="72"/>
  <c r="AQ207" i="72"/>
  <c r="AQ206" i="72"/>
  <c r="AQ205" i="72"/>
  <c r="AQ204" i="72"/>
  <c r="AQ203" i="72"/>
  <c r="AQ202" i="72"/>
  <c r="AQ201" i="72"/>
  <c r="AQ200" i="72"/>
  <c r="AQ198" i="72"/>
  <c r="AQ197" i="72"/>
  <c r="AQ196" i="72"/>
  <c r="AQ195" i="72"/>
  <c r="AQ194" i="72"/>
  <c r="AQ193" i="72"/>
  <c r="AQ192" i="72"/>
  <c r="AQ191" i="72"/>
  <c r="AQ190" i="72"/>
  <c r="AQ189" i="72"/>
  <c r="AQ188" i="72"/>
  <c r="AQ187" i="72"/>
  <c r="AQ186" i="72"/>
  <c r="AQ185" i="72"/>
  <c r="AQ184" i="72"/>
  <c r="AQ183" i="72"/>
  <c r="AQ182" i="72"/>
  <c r="AQ181" i="72"/>
  <c r="AQ179" i="72"/>
  <c r="AQ178" i="72"/>
  <c r="AQ177" i="72"/>
  <c r="AQ176" i="72"/>
  <c r="AQ174" i="72"/>
  <c r="AQ173" i="72"/>
  <c r="AQ172" i="72"/>
  <c r="AQ171" i="72"/>
  <c r="AQ169" i="72"/>
  <c r="AQ168" i="72"/>
  <c r="AQ167" i="72"/>
  <c r="AQ166" i="72"/>
  <c r="AQ165" i="72"/>
  <c r="AQ164" i="72"/>
  <c r="AQ161" i="72"/>
  <c r="AQ160" i="72"/>
  <c r="AQ159" i="72"/>
  <c r="AQ155" i="72"/>
  <c r="AQ153" i="72"/>
  <c r="AQ152" i="72"/>
  <c r="AQ151" i="72"/>
  <c r="AQ150" i="72"/>
  <c r="AQ149" i="72"/>
  <c r="AQ148" i="72"/>
  <c r="AQ147" i="72"/>
  <c r="AQ144" i="72"/>
  <c r="AQ143" i="72"/>
  <c r="AQ141" i="72"/>
  <c r="AQ140" i="72"/>
  <c r="AQ138" i="72"/>
  <c r="AQ137" i="72"/>
  <c r="AQ135" i="72"/>
  <c r="AQ134" i="72"/>
  <c r="AQ133" i="72"/>
  <c r="AQ132" i="72"/>
  <c r="AQ131" i="72"/>
  <c r="AQ130" i="72"/>
  <c r="AQ129" i="72"/>
  <c r="AQ128" i="72"/>
  <c r="AQ127" i="72"/>
  <c r="AQ126" i="72"/>
  <c r="AQ125" i="72"/>
  <c r="AQ122" i="72"/>
  <c r="AQ119" i="72"/>
  <c r="AQ118" i="72"/>
  <c r="AQ117" i="72"/>
  <c r="AQ116" i="72"/>
  <c r="AQ115" i="72"/>
  <c r="AQ114" i="72"/>
  <c r="AQ113" i="72"/>
  <c r="AQ112" i="72"/>
  <c r="AQ111" i="72"/>
  <c r="AQ110" i="72"/>
  <c r="AQ109" i="72"/>
  <c r="AQ107" i="72"/>
  <c r="AQ105" i="72"/>
  <c r="AQ104" i="72"/>
  <c r="AQ102" i="72"/>
  <c r="AQ101" i="72"/>
  <c r="AQ100" i="72"/>
  <c r="AQ99" i="72"/>
  <c r="AQ98" i="72"/>
  <c r="AQ97" i="72"/>
  <c r="AQ96" i="72"/>
  <c r="AQ95" i="72"/>
  <c r="AQ94" i="72"/>
  <c r="AQ93" i="72"/>
  <c r="AQ92" i="72"/>
  <c r="AQ91" i="72"/>
  <c r="AQ90" i="72"/>
  <c r="AQ89" i="72"/>
  <c r="AQ88" i="72"/>
  <c r="AQ87" i="72"/>
  <c r="AQ83" i="72"/>
  <c r="AQ81" i="72"/>
  <c r="AQ80" i="72"/>
  <c r="AQ79" i="72"/>
  <c r="AQ78" i="72"/>
  <c r="AQ77" i="72"/>
  <c r="AQ76" i="72"/>
  <c r="AQ75" i="72"/>
  <c r="AQ74" i="72"/>
  <c r="AQ73" i="72"/>
  <c r="AQ72" i="72"/>
  <c r="AQ71" i="72"/>
  <c r="AQ70" i="72"/>
  <c r="AQ69" i="72"/>
  <c r="AQ68" i="72"/>
  <c r="AQ66" i="72"/>
  <c r="AQ65" i="72"/>
  <c r="AQ64" i="72"/>
  <c r="AQ62" i="72"/>
  <c r="AQ61" i="72"/>
  <c r="AQ60" i="72"/>
  <c r="AQ58" i="72"/>
  <c r="AQ57" i="72"/>
  <c r="AQ56" i="72"/>
  <c r="AQ55" i="72"/>
  <c r="AQ54" i="72"/>
  <c r="AQ53" i="72"/>
  <c r="AQ52" i="72"/>
  <c r="AQ51" i="72"/>
  <c r="AQ50" i="72"/>
  <c r="AQ49" i="72"/>
  <c r="AQ48" i="72"/>
  <c r="AQ47" i="72"/>
  <c r="AQ46" i="72"/>
  <c r="AQ45" i="72"/>
  <c r="AQ44" i="72"/>
  <c r="AQ43" i="72"/>
  <c r="AQ42" i="72"/>
  <c r="AQ41" i="72"/>
  <c r="AQ40" i="72"/>
  <c r="AQ39" i="72"/>
  <c r="AQ38" i="72"/>
  <c r="AQ37" i="72"/>
  <c r="AQ36" i="72"/>
  <c r="AQ35" i="72"/>
  <c r="AQ34" i="72"/>
  <c r="AQ33" i="72"/>
  <c r="AQ32" i="72"/>
  <c r="AQ31" i="72"/>
  <c r="AQ30" i="72"/>
  <c r="AQ29" i="72"/>
  <c r="AQ28" i="72"/>
  <c r="AQ27" i="72"/>
  <c r="AQ23" i="72"/>
  <c r="AQ22" i="72"/>
  <c r="AQ21" i="72"/>
  <c r="AQ20" i="72"/>
  <c r="AQ19" i="72"/>
  <c r="AQ18" i="72"/>
  <c r="AQ17" i="72"/>
  <c r="AQ16" i="72"/>
  <c r="AQ15" i="72"/>
  <c r="AQ14" i="72"/>
  <c r="AQ13" i="72"/>
  <c r="AQ12" i="72"/>
  <c r="AQ11" i="72"/>
  <c r="AQ9" i="72"/>
  <c r="AQ8" i="72"/>
  <c r="AQ7" i="72"/>
  <c r="AQ6" i="72"/>
  <c r="AQ5" i="72"/>
  <c r="AQ4" i="72"/>
  <c r="AQ3" i="72"/>
  <c r="AQ2" i="72"/>
  <c r="AO537" i="72"/>
  <c r="AO536" i="72"/>
  <c r="AO535" i="72"/>
  <c r="AP535" i="72" s="1"/>
  <c r="AQ535" i="72" s="1"/>
  <c r="AO534" i="72"/>
  <c r="AP534" i="72" s="1"/>
  <c r="AQ534" i="72" s="1"/>
  <c r="AO533" i="72"/>
  <c r="AO532" i="72"/>
  <c r="AO531" i="72"/>
  <c r="AO530" i="72"/>
  <c r="AO529" i="72"/>
  <c r="AO528" i="72"/>
  <c r="AO527" i="72"/>
  <c r="AO526" i="72"/>
  <c r="AO525" i="72"/>
  <c r="AO524" i="72"/>
  <c r="AO523" i="72"/>
  <c r="AP523" i="72" s="1"/>
  <c r="AO522" i="72"/>
  <c r="AP522" i="72" s="1"/>
  <c r="AO521" i="72"/>
  <c r="AO520" i="72"/>
  <c r="AO519" i="72"/>
  <c r="AO518" i="72"/>
  <c r="AO517" i="72"/>
  <c r="AO516" i="72"/>
  <c r="AO515" i="72"/>
  <c r="AO514" i="72"/>
  <c r="AO513" i="72"/>
  <c r="AO512" i="72"/>
  <c r="AO511" i="72"/>
  <c r="AP511" i="72" s="1"/>
  <c r="AO510" i="72"/>
  <c r="AP510" i="72" s="1"/>
  <c r="AO509" i="72"/>
  <c r="AO508" i="72"/>
  <c r="AO507" i="72"/>
  <c r="AO506" i="72"/>
  <c r="AO505" i="72"/>
  <c r="AO504" i="72"/>
  <c r="AO503" i="72"/>
  <c r="AO502" i="72"/>
  <c r="AO501" i="72"/>
  <c r="AO500" i="72"/>
  <c r="AO499" i="72"/>
  <c r="AP499" i="72" s="1"/>
  <c r="AQ499" i="72" s="1"/>
  <c r="AO498" i="72"/>
  <c r="AP498" i="72" s="1"/>
  <c r="AQ498" i="72" s="1"/>
  <c r="AO497" i="72"/>
  <c r="AO496" i="72"/>
  <c r="AO495" i="72"/>
  <c r="AO494" i="72"/>
  <c r="AO493" i="72"/>
  <c r="AO492" i="72"/>
  <c r="AO491" i="72"/>
  <c r="AO490" i="72"/>
  <c r="AP490" i="72" s="1"/>
  <c r="AO489" i="72"/>
  <c r="AO488" i="72"/>
  <c r="AO487" i="72"/>
  <c r="AP487" i="72" s="1"/>
  <c r="AQ487" i="72" s="1"/>
  <c r="AO486" i="72"/>
  <c r="AP486" i="72" s="1"/>
  <c r="AO485" i="72"/>
  <c r="AO484" i="72"/>
  <c r="AO483" i="72"/>
  <c r="AO482" i="72"/>
  <c r="AO481" i="72"/>
  <c r="AO480" i="72"/>
  <c r="AO479" i="72"/>
  <c r="AO478" i="72"/>
  <c r="AP478" i="72" s="1"/>
  <c r="AO477" i="72"/>
  <c r="AO476" i="72"/>
  <c r="AO475" i="72"/>
  <c r="AP475" i="72" s="1"/>
  <c r="AO474" i="72"/>
  <c r="AP474" i="72" s="1"/>
  <c r="AO473" i="72"/>
  <c r="AO472" i="72"/>
  <c r="AO471" i="72"/>
  <c r="AO470" i="72"/>
  <c r="AO469" i="72"/>
  <c r="AO468" i="72"/>
  <c r="AO467" i="72"/>
  <c r="AO466" i="72"/>
  <c r="AP466" i="72" s="1"/>
  <c r="AQ466" i="72" s="1"/>
  <c r="AO465" i="72"/>
  <c r="AO464" i="72"/>
  <c r="AO463" i="72"/>
  <c r="AP463" i="72" s="1"/>
  <c r="AO462" i="72"/>
  <c r="AP462" i="72" s="1"/>
  <c r="AO461" i="72"/>
  <c r="AO460" i="72"/>
  <c r="AO459" i="72"/>
  <c r="AO458" i="72"/>
  <c r="AO457" i="72"/>
  <c r="AO456" i="72"/>
  <c r="AO455" i="72"/>
  <c r="AO454" i="72"/>
  <c r="AP454" i="72" s="1"/>
  <c r="AO453" i="72"/>
  <c r="AO452" i="72"/>
  <c r="AO451" i="72"/>
  <c r="AP451" i="72" s="1"/>
  <c r="AO450" i="72"/>
  <c r="AP450" i="72" s="1"/>
  <c r="AO449" i="72"/>
  <c r="AO448" i="72"/>
  <c r="AO447" i="72"/>
  <c r="AO446" i="72"/>
  <c r="AO445" i="72"/>
  <c r="AO444" i="72"/>
  <c r="AO443" i="72"/>
  <c r="AO442" i="72"/>
  <c r="AP442" i="72" s="1"/>
  <c r="AO441" i="72"/>
  <c r="AO440" i="72"/>
  <c r="AO439" i="72"/>
  <c r="AP439" i="72" s="1"/>
  <c r="AO438" i="72"/>
  <c r="AP438" i="72" s="1"/>
  <c r="AO437" i="72"/>
  <c r="AO436" i="72"/>
  <c r="AO435" i="72"/>
  <c r="AO434" i="72"/>
  <c r="AO433" i="72"/>
  <c r="AO432" i="72"/>
  <c r="AO431" i="72"/>
  <c r="AO430" i="72"/>
  <c r="AP430" i="72" s="1"/>
  <c r="AO429" i="72"/>
  <c r="AO428" i="72"/>
  <c r="AO427" i="72"/>
  <c r="AP427" i="72" s="1"/>
  <c r="AO426" i="72"/>
  <c r="AP426" i="72" s="1"/>
  <c r="AO425" i="72"/>
  <c r="AO424" i="72"/>
  <c r="AO423" i="72"/>
  <c r="AO422" i="72"/>
  <c r="AO421" i="72"/>
  <c r="AO420" i="72"/>
  <c r="AO419" i="72"/>
  <c r="AO418" i="72"/>
  <c r="AP418" i="72" s="1"/>
  <c r="AO417" i="72"/>
  <c r="AO416" i="72"/>
  <c r="AO415" i="72"/>
  <c r="AP415" i="72" s="1"/>
  <c r="AO414" i="72"/>
  <c r="AP414" i="72" s="1"/>
  <c r="AQ414" i="72" s="1"/>
  <c r="AO413" i="72"/>
  <c r="AO412" i="72"/>
  <c r="AO411" i="72"/>
  <c r="AO410" i="72"/>
  <c r="AO409" i="72"/>
  <c r="AO408" i="72"/>
  <c r="AO407" i="72"/>
  <c r="AO406" i="72"/>
  <c r="AP406" i="72" s="1"/>
  <c r="AO405" i="72"/>
  <c r="AO404" i="72"/>
  <c r="AO403" i="72"/>
  <c r="AP403" i="72" s="1"/>
  <c r="AO402" i="72"/>
  <c r="AP402" i="72" s="1"/>
  <c r="AO401" i="72"/>
  <c r="AO400" i="72"/>
  <c r="AO399" i="72"/>
  <c r="AO398" i="72"/>
  <c r="AO397" i="72"/>
  <c r="AO396" i="72"/>
  <c r="AO395" i="72"/>
  <c r="AO394" i="72"/>
  <c r="AP394" i="72" s="1"/>
  <c r="AO393" i="72"/>
  <c r="AO392" i="72"/>
  <c r="AO391" i="72"/>
  <c r="AP391" i="72" s="1"/>
  <c r="AQ391" i="72" s="1"/>
  <c r="AO390" i="72"/>
  <c r="AP390" i="72" s="1"/>
  <c r="AO389" i="72"/>
  <c r="AO388" i="72"/>
  <c r="AO387" i="72"/>
  <c r="AO386" i="72"/>
  <c r="AO385" i="72"/>
  <c r="AO384" i="72"/>
  <c r="AO383" i="72"/>
  <c r="AO382" i="72"/>
  <c r="AP382" i="72" s="1"/>
  <c r="AO381" i="72"/>
  <c r="AO380" i="72"/>
  <c r="AO379" i="72"/>
  <c r="AP379" i="72" s="1"/>
  <c r="AO378" i="72"/>
  <c r="AP378" i="72" s="1"/>
  <c r="AO377" i="72"/>
  <c r="AO376" i="72"/>
  <c r="AO375" i="72"/>
  <c r="AO374" i="72"/>
  <c r="AO373" i="72"/>
  <c r="AO372" i="72"/>
  <c r="AO371" i="72"/>
  <c r="AO370" i="72"/>
  <c r="AP370" i="72" s="1"/>
  <c r="AO369" i="72"/>
  <c r="AO368" i="72"/>
  <c r="AO367" i="72"/>
  <c r="AP367" i="72" s="1"/>
  <c r="AO366" i="72"/>
  <c r="AP366" i="72" s="1"/>
  <c r="AQ366" i="72" s="1"/>
  <c r="AO365" i="72"/>
  <c r="AO364" i="72"/>
  <c r="AO363" i="72"/>
  <c r="AO362" i="72"/>
  <c r="AO361" i="72"/>
  <c r="AO360" i="72"/>
  <c r="AO359" i="72"/>
  <c r="AO358" i="72"/>
  <c r="AP358" i="72" s="1"/>
  <c r="AO357" i="72"/>
  <c r="AO356" i="72"/>
  <c r="AO355" i="72"/>
  <c r="AP355" i="72" s="1"/>
  <c r="AO354" i="72"/>
  <c r="AP354" i="72" s="1"/>
  <c r="AO353" i="72"/>
  <c r="AO352" i="72"/>
  <c r="AO351" i="72"/>
  <c r="AO350" i="72"/>
  <c r="AO349" i="72"/>
  <c r="AO348" i="72"/>
  <c r="AO347" i="72"/>
  <c r="AO346" i="72"/>
  <c r="AP346" i="72" s="1"/>
  <c r="AQ346" i="72" s="1"/>
  <c r="AO345" i="72"/>
  <c r="AO344" i="72"/>
  <c r="AO343" i="72"/>
  <c r="AP343" i="72" s="1"/>
  <c r="AO342" i="72"/>
  <c r="AP342" i="72" s="1"/>
  <c r="AO341" i="72"/>
  <c r="AO340" i="72"/>
  <c r="AO339" i="72"/>
  <c r="AO338" i="72"/>
  <c r="AO337" i="72"/>
  <c r="AO336" i="72"/>
  <c r="AO335" i="72"/>
  <c r="AO334" i="72"/>
  <c r="AP334" i="72" s="1"/>
  <c r="AO333" i="72"/>
  <c r="AO332" i="72"/>
  <c r="AO331" i="72"/>
  <c r="AP331" i="72" s="1"/>
  <c r="AO330" i="72"/>
  <c r="AP330" i="72" s="1"/>
  <c r="AO329" i="72"/>
  <c r="AO328" i="72"/>
  <c r="AO327" i="72"/>
  <c r="AO326" i="72"/>
  <c r="AO325" i="72"/>
  <c r="AO324" i="72"/>
  <c r="AO323" i="72"/>
  <c r="AO322" i="72"/>
  <c r="AP322" i="72" s="1"/>
  <c r="AQ322" i="72" s="1"/>
  <c r="AO321" i="72"/>
  <c r="AO320" i="72"/>
  <c r="AO319" i="72"/>
  <c r="AP319" i="72" s="1"/>
  <c r="AO318" i="72"/>
  <c r="AP318" i="72" s="1"/>
  <c r="AO317" i="72"/>
  <c r="AO316" i="72"/>
  <c r="AO315" i="72"/>
  <c r="AO314" i="72"/>
  <c r="AO313" i="72"/>
  <c r="AO312" i="72"/>
  <c r="AO311" i="72"/>
  <c r="AO310" i="72"/>
  <c r="AP310" i="72" s="1"/>
  <c r="AO309" i="72"/>
  <c r="AO308" i="72"/>
  <c r="AO307" i="72"/>
  <c r="AP307" i="72" s="1"/>
  <c r="AO306" i="72"/>
  <c r="AP306" i="72" s="1"/>
  <c r="AO305" i="72"/>
  <c r="AO304" i="72"/>
  <c r="AO303" i="72"/>
  <c r="AO302" i="72"/>
  <c r="AO301" i="72"/>
  <c r="AO300" i="72"/>
  <c r="AO299" i="72"/>
  <c r="AO298" i="72"/>
  <c r="AP298" i="72" s="1"/>
  <c r="AO297" i="72"/>
  <c r="AO296" i="72"/>
  <c r="AO295" i="72"/>
  <c r="AP295" i="72" s="1"/>
  <c r="AO294" i="72"/>
  <c r="AP294" i="72" s="1"/>
  <c r="AO293" i="72"/>
  <c r="AO292" i="72"/>
  <c r="AO291" i="72"/>
  <c r="AO290" i="72"/>
  <c r="AO289" i="72"/>
  <c r="AO288" i="72"/>
  <c r="AO287" i="72"/>
  <c r="AO286" i="72"/>
  <c r="AP286" i="72" s="1"/>
  <c r="AO285" i="72"/>
  <c r="AO284" i="72"/>
  <c r="AO283" i="72"/>
  <c r="AP283" i="72" s="1"/>
  <c r="AO282" i="72"/>
  <c r="AP282" i="72" s="1"/>
  <c r="AO281" i="72"/>
  <c r="AO280" i="72"/>
  <c r="AO279" i="72"/>
  <c r="AO278" i="72"/>
  <c r="AO277" i="72"/>
  <c r="AO276" i="72"/>
  <c r="AO275" i="72"/>
  <c r="AO274" i="72"/>
  <c r="AP274" i="72" s="1"/>
  <c r="AO273" i="72"/>
  <c r="AO272" i="72"/>
  <c r="AO271" i="72"/>
  <c r="AP271" i="72" s="1"/>
  <c r="AO270" i="72"/>
  <c r="AP270" i="72" s="1"/>
  <c r="AO269" i="72"/>
  <c r="AO268" i="72"/>
  <c r="AO267" i="72"/>
  <c r="AO266" i="72"/>
  <c r="AO265" i="72"/>
  <c r="AO264" i="72"/>
  <c r="AO263" i="72"/>
  <c r="AO262" i="72"/>
  <c r="AP262" i="72" s="1"/>
  <c r="AQ262" i="72" s="1"/>
  <c r="AO261" i="72"/>
  <c r="AO260" i="72"/>
  <c r="AO259" i="72"/>
  <c r="AP259" i="72" s="1"/>
  <c r="AO258" i="72"/>
  <c r="AP258" i="72" s="1"/>
  <c r="AO257" i="72"/>
  <c r="AO256" i="72"/>
  <c r="AO255" i="72"/>
  <c r="AO254" i="72"/>
  <c r="AO253" i="72"/>
  <c r="AO252" i="72"/>
  <c r="AO251" i="72"/>
  <c r="AO250" i="72"/>
  <c r="AP250" i="72" s="1"/>
  <c r="AO249" i="72"/>
  <c r="AO248" i="72"/>
  <c r="AO247" i="72"/>
  <c r="AP247" i="72" s="1"/>
  <c r="AO246" i="72"/>
  <c r="AP246" i="72" s="1"/>
  <c r="AO245" i="72"/>
  <c r="AO244" i="72"/>
  <c r="AO243" i="72"/>
  <c r="AO242" i="72"/>
  <c r="AO241" i="72"/>
  <c r="AO240" i="72"/>
  <c r="AO239" i="72"/>
  <c r="AO238" i="72"/>
  <c r="AP238" i="72" s="1"/>
  <c r="AO237" i="72"/>
  <c r="AO236" i="72"/>
  <c r="AO235" i="72"/>
  <c r="AP235" i="72" s="1"/>
  <c r="AO234" i="72"/>
  <c r="AP234" i="72" s="1"/>
  <c r="AO233" i="72"/>
  <c r="AO232" i="72"/>
  <c r="AO231" i="72"/>
  <c r="AO230" i="72"/>
  <c r="AO229" i="72"/>
  <c r="AO228" i="72"/>
  <c r="AO227" i="72"/>
  <c r="AO226" i="72"/>
  <c r="AP226" i="72" s="1"/>
  <c r="AQ226" i="72" s="1"/>
  <c r="AO225" i="72"/>
  <c r="AO224" i="72"/>
  <c r="AO223" i="72"/>
  <c r="AP223" i="72" s="1"/>
  <c r="AO222" i="72"/>
  <c r="AP222" i="72" s="1"/>
  <c r="AO221" i="72"/>
  <c r="AO220" i="72"/>
  <c r="AO219" i="72"/>
  <c r="AO218" i="72"/>
  <c r="AO217" i="72"/>
  <c r="AO216" i="72"/>
  <c r="AO215" i="72"/>
  <c r="AO214" i="72"/>
  <c r="AP214" i="72" s="1"/>
  <c r="AO213" i="72"/>
  <c r="AO212" i="72"/>
  <c r="AO211" i="72"/>
  <c r="AP211" i="72" s="1"/>
  <c r="AO210" i="72"/>
  <c r="AP210" i="72" s="1"/>
  <c r="AO209" i="72"/>
  <c r="AO208" i="72"/>
  <c r="AO207" i="72"/>
  <c r="AO206" i="72"/>
  <c r="AO205" i="72"/>
  <c r="AO204" i="72"/>
  <c r="AO203" i="72"/>
  <c r="AO202" i="72"/>
  <c r="AP202" i="72" s="1"/>
  <c r="AO201" i="72"/>
  <c r="AO200" i="72"/>
  <c r="AO199" i="72"/>
  <c r="AP199" i="72" s="1"/>
  <c r="AQ199" i="72" s="1"/>
  <c r="AO198" i="72"/>
  <c r="AP198" i="72" s="1"/>
  <c r="AO197" i="72"/>
  <c r="AO196" i="72"/>
  <c r="AO195" i="72"/>
  <c r="AO194" i="72"/>
  <c r="AO193" i="72"/>
  <c r="AO192" i="72"/>
  <c r="AO191" i="72"/>
  <c r="AO190" i="72"/>
  <c r="AP190" i="72" s="1"/>
  <c r="AO189" i="72"/>
  <c r="AO188" i="72"/>
  <c r="AO187" i="72"/>
  <c r="AP187" i="72" s="1"/>
  <c r="AO186" i="72"/>
  <c r="AP186" i="72" s="1"/>
  <c r="AO185" i="72"/>
  <c r="AO184" i="72"/>
  <c r="AO183" i="72"/>
  <c r="AO182" i="72"/>
  <c r="AO181" i="72"/>
  <c r="AO180" i="72"/>
  <c r="AO179" i="72"/>
  <c r="AO178" i="72"/>
  <c r="AP178" i="72" s="1"/>
  <c r="AO177" i="72"/>
  <c r="AO176" i="72"/>
  <c r="AO175" i="72"/>
  <c r="AP175" i="72" s="1"/>
  <c r="AQ175" i="72" s="1"/>
  <c r="AO174" i="72"/>
  <c r="AP174" i="72" s="1"/>
  <c r="AO173" i="72"/>
  <c r="AO172" i="72"/>
  <c r="AO171" i="72"/>
  <c r="AO170" i="72"/>
  <c r="AO169" i="72"/>
  <c r="AO168" i="72"/>
  <c r="AO167" i="72"/>
  <c r="AO166" i="72"/>
  <c r="AP166" i="72" s="1"/>
  <c r="AO165" i="72"/>
  <c r="AO164" i="72"/>
  <c r="AO163" i="72"/>
  <c r="AP163" i="72" s="1"/>
  <c r="AQ163" i="72" s="1"/>
  <c r="AO162" i="72"/>
  <c r="AP162" i="72" s="1"/>
  <c r="AQ162" i="72" s="1"/>
  <c r="AO161" i="72"/>
  <c r="AO160" i="72"/>
  <c r="AO159" i="72"/>
  <c r="AO158" i="72"/>
  <c r="AO157" i="72"/>
  <c r="AO156" i="72"/>
  <c r="AO155" i="72"/>
  <c r="AO154" i="72"/>
  <c r="AP154" i="72" s="1"/>
  <c r="AQ154" i="72" s="1"/>
  <c r="AO153" i="72"/>
  <c r="AO152" i="72"/>
  <c r="AO151" i="72"/>
  <c r="AP151" i="72" s="1"/>
  <c r="AO150" i="72"/>
  <c r="AP150" i="72" s="1"/>
  <c r="AO149" i="72"/>
  <c r="AO148" i="72"/>
  <c r="AO147" i="72"/>
  <c r="AO146" i="72"/>
  <c r="AO145" i="72"/>
  <c r="AO144" i="72"/>
  <c r="AO143" i="72"/>
  <c r="AO142" i="72"/>
  <c r="AP142" i="72" s="1"/>
  <c r="AQ142" i="72" s="1"/>
  <c r="AO141" i="72"/>
  <c r="AO140" i="72"/>
  <c r="AO139" i="72"/>
  <c r="AP139" i="72" s="1"/>
  <c r="AQ139" i="72" s="1"/>
  <c r="AO138" i="72"/>
  <c r="AP138" i="72" s="1"/>
  <c r="AO137" i="72"/>
  <c r="AO136" i="72"/>
  <c r="AO135" i="72"/>
  <c r="AO134" i="72"/>
  <c r="AO133" i="72"/>
  <c r="AO132" i="72"/>
  <c r="AO131" i="72"/>
  <c r="AO130" i="72"/>
  <c r="AP130" i="72" s="1"/>
  <c r="AO129" i="72"/>
  <c r="AO128" i="72"/>
  <c r="AO127" i="72"/>
  <c r="AP127" i="72" s="1"/>
  <c r="AO126" i="72"/>
  <c r="AP126" i="72" s="1"/>
  <c r="AO125" i="72"/>
  <c r="AO124" i="72"/>
  <c r="AO123" i="72"/>
  <c r="AO122" i="72"/>
  <c r="AO121" i="72"/>
  <c r="AO120" i="72"/>
  <c r="AO119" i="72"/>
  <c r="AO118" i="72"/>
  <c r="AP118" i="72" s="1"/>
  <c r="AO117" i="72"/>
  <c r="AO116" i="72"/>
  <c r="AO115" i="72"/>
  <c r="AP115" i="72" s="1"/>
  <c r="AO114" i="72"/>
  <c r="AP114" i="72" s="1"/>
  <c r="AO113" i="72"/>
  <c r="AO112" i="72"/>
  <c r="AO111" i="72"/>
  <c r="AO110" i="72"/>
  <c r="AO109" i="72"/>
  <c r="AO108" i="72"/>
  <c r="AO107" i="72"/>
  <c r="AO106" i="72"/>
  <c r="AP106" i="72" s="1"/>
  <c r="AQ106" i="72" s="1"/>
  <c r="AO105" i="72"/>
  <c r="AO104" i="72"/>
  <c r="AO103" i="72"/>
  <c r="AP103" i="72" s="1"/>
  <c r="AQ103" i="72" s="1"/>
  <c r="AO102" i="72"/>
  <c r="AP102" i="72" s="1"/>
  <c r="AO101" i="72"/>
  <c r="AO100" i="72"/>
  <c r="AO99" i="72"/>
  <c r="AO98" i="72"/>
  <c r="AO97" i="72"/>
  <c r="AO96" i="72"/>
  <c r="AO95" i="72"/>
  <c r="AO94" i="72"/>
  <c r="AP94" i="72" s="1"/>
  <c r="AO93" i="72"/>
  <c r="AO92" i="72"/>
  <c r="AO91" i="72"/>
  <c r="AP91" i="72" s="1"/>
  <c r="AO90" i="72"/>
  <c r="AP90" i="72" s="1"/>
  <c r="AO89" i="72"/>
  <c r="AO88" i="72"/>
  <c r="AO87" i="72"/>
  <c r="AO86" i="72"/>
  <c r="AO85" i="72"/>
  <c r="AO84" i="72"/>
  <c r="AO83" i="72"/>
  <c r="AO82" i="72"/>
  <c r="AP82" i="72" s="1"/>
  <c r="AQ82" i="72" s="1"/>
  <c r="AO81" i="72"/>
  <c r="AO80" i="72"/>
  <c r="AO79" i="72"/>
  <c r="AP79" i="72" s="1"/>
  <c r="AO78" i="72"/>
  <c r="AP78" i="72" s="1"/>
  <c r="AO77" i="72"/>
  <c r="AO76" i="72"/>
  <c r="AO75" i="72"/>
  <c r="AO74" i="72"/>
  <c r="AO73" i="72"/>
  <c r="AO72" i="72"/>
  <c r="AO71" i="72"/>
  <c r="AO70" i="72"/>
  <c r="AP70" i="72" s="1"/>
  <c r="AO69" i="72"/>
  <c r="AO68" i="72"/>
  <c r="AO67" i="72"/>
  <c r="AP67" i="72" s="1"/>
  <c r="AQ67" i="72" s="1"/>
  <c r="AO66" i="72"/>
  <c r="AP66" i="72" s="1"/>
  <c r="AO65" i="72"/>
  <c r="AO64" i="72"/>
  <c r="AO63" i="72"/>
  <c r="AO62" i="72"/>
  <c r="AO61" i="72"/>
  <c r="AO60" i="72"/>
  <c r="AO59" i="72"/>
  <c r="AO58" i="72"/>
  <c r="AP58" i="72" s="1"/>
  <c r="AO57" i="72"/>
  <c r="AO56" i="72"/>
  <c r="AO55" i="72"/>
  <c r="AP55" i="72" s="1"/>
  <c r="AO54" i="72"/>
  <c r="AP54" i="72" s="1"/>
  <c r="AO53" i="72"/>
  <c r="AO52" i="72"/>
  <c r="AO51" i="72"/>
  <c r="AO50" i="72"/>
  <c r="AO49" i="72"/>
  <c r="AO48" i="72"/>
  <c r="AO47" i="72"/>
  <c r="AO46" i="72"/>
  <c r="AP46" i="72" s="1"/>
  <c r="AO45" i="72"/>
  <c r="AO44" i="72"/>
  <c r="AO43" i="72"/>
  <c r="AP43" i="72" s="1"/>
  <c r="AO42" i="72"/>
  <c r="AP42" i="72" s="1"/>
  <c r="AO41" i="72"/>
  <c r="AO40" i="72"/>
  <c r="AO39" i="72"/>
  <c r="AO38" i="72"/>
  <c r="AO37" i="72"/>
  <c r="AO36" i="72"/>
  <c r="AO35" i="72"/>
  <c r="AO34" i="72"/>
  <c r="AP34" i="72" s="1"/>
  <c r="AO33" i="72"/>
  <c r="AO32" i="72"/>
  <c r="AO31" i="72"/>
  <c r="AP31" i="72" s="1"/>
  <c r="AO30" i="72"/>
  <c r="AP30" i="72" s="1"/>
  <c r="AO29" i="72"/>
  <c r="AO28" i="72"/>
  <c r="AO27" i="72"/>
  <c r="AO26" i="72"/>
  <c r="AO25" i="72"/>
  <c r="AO24" i="72"/>
  <c r="AO23" i="72"/>
  <c r="AO22" i="72"/>
  <c r="AP22" i="72" s="1"/>
  <c r="AO21" i="72"/>
  <c r="AO20" i="72"/>
  <c r="AO19" i="72"/>
  <c r="AP19" i="72" s="1"/>
  <c r="AO18" i="72"/>
  <c r="AP18" i="72" s="1"/>
  <c r="AO17" i="72"/>
  <c r="AO16" i="72"/>
  <c r="AO15" i="72"/>
  <c r="AO14" i="72"/>
  <c r="AO13" i="72"/>
  <c r="AO12" i="72"/>
  <c r="AO11" i="72"/>
  <c r="AO10" i="72"/>
  <c r="AP10" i="72" s="1"/>
  <c r="AQ10" i="72" s="1"/>
  <c r="AO9" i="72"/>
  <c r="AO8" i="72"/>
  <c r="AO7" i="72"/>
  <c r="AP7" i="72" s="1"/>
  <c r="AO6" i="72"/>
  <c r="AP6" i="72" s="1"/>
  <c r="AO5" i="72"/>
  <c r="AO4" i="72"/>
  <c r="AO3" i="72"/>
  <c r="AO2" i="72"/>
  <c r="AT10" i="72"/>
  <c r="AP537" i="72"/>
  <c r="AP536" i="72"/>
  <c r="AP533" i="72"/>
  <c r="AP532" i="72"/>
  <c r="AQ532" i="72" s="1"/>
  <c r="AP531" i="72"/>
  <c r="AQ531" i="72" s="1"/>
  <c r="AP530" i="72"/>
  <c r="AQ530" i="72" s="1"/>
  <c r="AP529" i="72"/>
  <c r="AP528" i="72"/>
  <c r="AP527" i="72"/>
  <c r="AP525" i="72"/>
  <c r="AP524" i="72"/>
  <c r="AP521" i="72"/>
  <c r="AP520" i="72"/>
  <c r="AP519" i="72"/>
  <c r="AQ519" i="72" s="1"/>
  <c r="AP518" i="72"/>
  <c r="AP517" i="72"/>
  <c r="AQ517" i="72" s="1"/>
  <c r="AP516" i="72"/>
  <c r="AQ516" i="72" s="1"/>
  <c r="AP515" i="72"/>
  <c r="AP513" i="72"/>
  <c r="AP512" i="72"/>
  <c r="AP509" i="72"/>
  <c r="AP508" i="72"/>
  <c r="AP507" i="72"/>
  <c r="AP506" i="72"/>
  <c r="AP505" i="72"/>
  <c r="AP504" i="72"/>
  <c r="AP503" i="72"/>
  <c r="AP501" i="72"/>
  <c r="AP500" i="72"/>
  <c r="AP497" i="72"/>
  <c r="AP496" i="72"/>
  <c r="AQ496" i="72" s="1"/>
  <c r="AP495" i="72"/>
  <c r="AQ495" i="72" s="1"/>
  <c r="AP494" i="72"/>
  <c r="AP493" i="72"/>
  <c r="AP492" i="72"/>
  <c r="AQ492" i="72" s="1"/>
  <c r="AP491" i="72"/>
  <c r="AQ491" i="72" s="1"/>
  <c r="AP489" i="72"/>
  <c r="AP488" i="72"/>
  <c r="AP485" i="72"/>
  <c r="AP484" i="72"/>
  <c r="AP483" i="72"/>
  <c r="AP482" i="72"/>
  <c r="AP481" i="72"/>
  <c r="AP480" i="72"/>
  <c r="AP479" i="72"/>
  <c r="AP477" i="72"/>
  <c r="AP476" i="72"/>
  <c r="AP473" i="72"/>
  <c r="AQ473" i="72" s="1"/>
  <c r="AP472" i="72"/>
  <c r="AP471" i="72"/>
  <c r="AP470" i="72"/>
  <c r="AQ470" i="72" s="1"/>
  <c r="AP469" i="72"/>
  <c r="AP468" i="72"/>
  <c r="AQ468" i="72" s="1"/>
  <c r="AP467" i="72"/>
  <c r="AP465" i="72"/>
  <c r="AP464" i="72"/>
  <c r="AP461" i="72"/>
  <c r="AP460" i="72"/>
  <c r="AP459" i="72"/>
  <c r="AP458" i="72"/>
  <c r="AP457" i="72"/>
  <c r="AP456" i="72"/>
  <c r="AP455" i="72"/>
  <c r="AQ455" i="72" s="1"/>
  <c r="AP453" i="72"/>
  <c r="AP452" i="72"/>
  <c r="AP449" i="72"/>
  <c r="AP448" i="72"/>
  <c r="AQ448" i="72" s="1"/>
  <c r="AP447" i="72"/>
  <c r="AP446" i="72"/>
  <c r="AP445" i="72"/>
  <c r="AP444" i="72"/>
  <c r="AQ444" i="72" s="1"/>
  <c r="AP443" i="72"/>
  <c r="AP441" i="72"/>
  <c r="AP440" i="72"/>
  <c r="AP437" i="72"/>
  <c r="AP436" i="72"/>
  <c r="AP435" i="72"/>
  <c r="AP434" i="72"/>
  <c r="AP433" i="72"/>
  <c r="AP432" i="72"/>
  <c r="AP431" i="72"/>
  <c r="AP429" i="72"/>
  <c r="AP428" i="72"/>
  <c r="AP425" i="72"/>
  <c r="AP424" i="72"/>
  <c r="AP423" i="72"/>
  <c r="AP422" i="72"/>
  <c r="AP421" i="72"/>
  <c r="AQ421" i="72" s="1"/>
  <c r="AP420" i="72"/>
  <c r="AQ420" i="72" s="1"/>
  <c r="AP419" i="72"/>
  <c r="AP417" i="72"/>
  <c r="AP416" i="72"/>
  <c r="AQ416" i="72" s="1"/>
  <c r="AP413" i="72"/>
  <c r="AP412" i="72"/>
  <c r="AQ412" i="72" s="1"/>
  <c r="AP411" i="72"/>
  <c r="AQ411" i="72" s="1"/>
  <c r="AP410" i="72"/>
  <c r="AP409" i="72"/>
  <c r="AP408" i="72"/>
  <c r="AP407" i="72"/>
  <c r="AP405" i="72"/>
  <c r="AP404" i="72"/>
  <c r="AP401" i="72"/>
  <c r="AP400" i="72"/>
  <c r="AQ400" i="72" s="1"/>
  <c r="AP399" i="72"/>
  <c r="AP398" i="72"/>
  <c r="AQ398" i="72" s="1"/>
  <c r="AP397" i="72"/>
  <c r="AP396" i="72"/>
  <c r="AP395" i="72"/>
  <c r="AP393" i="72"/>
  <c r="AP392" i="72"/>
  <c r="AP389" i="72"/>
  <c r="AP388" i="72"/>
  <c r="AQ388" i="72" s="1"/>
  <c r="AP387" i="72"/>
  <c r="AQ387" i="72" s="1"/>
  <c r="AP386" i="72"/>
  <c r="AP385" i="72"/>
  <c r="AQ385" i="72" s="1"/>
  <c r="AP384" i="72"/>
  <c r="AP383" i="72"/>
  <c r="AP381" i="72"/>
  <c r="AP380" i="72"/>
  <c r="AP377" i="72"/>
  <c r="AP376" i="72"/>
  <c r="AP375" i="72"/>
  <c r="AP374" i="72"/>
  <c r="AP373" i="72"/>
  <c r="AP372" i="72"/>
  <c r="AP371" i="72"/>
  <c r="AP369" i="72"/>
  <c r="AP368" i="72"/>
  <c r="AP365" i="72"/>
  <c r="AP364" i="72"/>
  <c r="AP363" i="72"/>
  <c r="AQ363" i="72" s="1"/>
  <c r="AP362" i="72"/>
  <c r="AQ362" i="72" s="1"/>
  <c r="AP361" i="72"/>
  <c r="AQ361" i="72" s="1"/>
  <c r="AP360" i="72"/>
  <c r="AP359" i="72"/>
  <c r="AP357" i="72"/>
  <c r="AP356" i="72"/>
  <c r="AP353" i="72"/>
  <c r="AP352" i="72"/>
  <c r="AP351" i="72"/>
  <c r="AP350" i="72"/>
  <c r="AP349" i="72"/>
  <c r="AQ349" i="72" s="1"/>
  <c r="AP348" i="72"/>
  <c r="AP347" i="72"/>
  <c r="AP345" i="72"/>
  <c r="AP344" i="72"/>
  <c r="AP341" i="72"/>
  <c r="AP340" i="72"/>
  <c r="AP339" i="72"/>
  <c r="AP338" i="72"/>
  <c r="AP337" i="72"/>
  <c r="AP336" i="72"/>
  <c r="AQ336" i="72" s="1"/>
  <c r="AP335" i="72"/>
  <c r="AP333" i="72"/>
  <c r="AP332" i="72"/>
  <c r="AP329" i="72"/>
  <c r="AP328" i="72"/>
  <c r="AP327" i="72"/>
  <c r="AP326" i="72"/>
  <c r="AP325" i="72"/>
  <c r="AQ325" i="72" s="1"/>
  <c r="AP324" i="72"/>
  <c r="AQ324" i="72" s="1"/>
  <c r="AP323" i="72"/>
  <c r="AP321" i="72"/>
  <c r="AP320" i="72"/>
  <c r="AP317" i="72"/>
  <c r="AP316" i="72"/>
  <c r="AP315" i="72"/>
  <c r="AP314" i="72"/>
  <c r="AP313" i="72"/>
  <c r="AP312" i="72"/>
  <c r="AP311" i="72"/>
  <c r="AP309" i="72"/>
  <c r="AP308" i="72"/>
  <c r="AP305" i="72"/>
  <c r="AP304" i="72"/>
  <c r="AP303" i="72"/>
  <c r="AQ303" i="72" s="1"/>
  <c r="AP302" i="72"/>
  <c r="AQ302" i="72" s="1"/>
  <c r="AP301" i="72"/>
  <c r="AP300" i="72"/>
  <c r="AP299" i="72"/>
  <c r="AP297" i="72"/>
  <c r="AP296" i="72"/>
  <c r="AP293" i="72"/>
  <c r="AP292" i="72"/>
  <c r="AP291" i="72"/>
  <c r="AQ291" i="72" s="1"/>
  <c r="AP290" i="72"/>
  <c r="AQ290" i="72" s="1"/>
  <c r="AP289" i="72"/>
  <c r="AQ289" i="72" s="1"/>
  <c r="AP288" i="72"/>
  <c r="AP287" i="72"/>
  <c r="AP285" i="72"/>
  <c r="AP284" i="72"/>
  <c r="AP281" i="72"/>
  <c r="AP280" i="72"/>
  <c r="AP279" i="72"/>
  <c r="AP278" i="72"/>
  <c r="AP277" i="72"/>
  <c r="AP276" i="72"/>
  <c r="AP275" i="72"/>
  <c r="AP273" i="72"/>
  <c r="AP272" i="72"/>
  <c r="AP269" i="72"/>
  <c r="AP268" i="72"/>
  <c r="AP267" i="72"/>
  <c r="AP266" i="72"/>
  <c r="AP265" i="72"/>
  <c r="AP264" i="72"/>
  <c r="AP263" i="72"/>
  <c r="AQ263" i="72" s="1"/>
  <c r="AP261" i="72"/>
  <c r="AP260" i="72"/>
  <c r="AP257" i="72"/>
  <c r="AP256" i="72"/>
  <c r="AP255" i="72"/>
  <c r="AP254" i="72"/>
  <c r="AP253" i="72"/>
  <c r="AP252" i="72"/>
  <c r="AP251" i="72"/>
  <c r="AP249" i="72"/>
  <c r="AP248" i="72"/>
  <c r="AP245" i="72"/>
  <c r="AP244" i="72"/>
  <c r="AP243" i="72"/>
  <c r="AP242" i="72"/>
  <c r="AP241" i="72"/>
  <c r="AP240" i="72"/>
  <c r="AP239" i="72"/>
  <c r="AP237" i="72"/>
  <c r="AP236" i="72"/>
  <c r="AP233" i="72"/>
  <c r="AP232" i="72"/>
  <c r="AP231" i="72"/>
  <c r="AP230" i="72"/>
  <c r="AP229" i="72"/>
  <c r="AP228" i="72"/>
  <c r="AP227" i="72"/>
  <c r="AQ227" i="72" s="1"/>
  <c r="AP225" i="72"/>
  <c r="AP224" i="72"/>
  <c r="AP221" i="72"/>
  <c r="AP220" i="72"/>
  <c r="AP219" i="72"/>
  <c r="AP218" i="72"/>
  <c r="AQ218" i="72" s="1"/>
  <c r="AP217" i="72"/>
  <c r="AP216" i="72"/>
  <c r="AQ216" i="72" s="1"/>
  <c r="AP215" i="72"/>
  <c r="AP213" i="72"/>
  <c r="AP212" i="72"/>
  <c r="AP209" i="72"/>
  <c r="AP208" i="72"/>
  <c r="AP207" i="72"/>
  <c r="AP206" i="72"/>
  <c r="AP205" i="72"/>
  <c r="AP204" i="72"/>
  <c r="AP203" i="72"/>
  <c r="AP201" i="72"/>
  <c r="AP200" i="72"/>
  <c r="AP197" i="72"/>
  <c r="AP196" i="72"/>
  <c r="AP195" i="72"/>
  <c r="AP194" i="72"/>
  <c r="AP193" i="72"/>
  <c r="AP192" i="72"/>
  <c r="AP191" i="72"/>
  <c r="AP189" i="72"/>
  <c r="AP188" i="72"/>
  <c r="AP185" i="72"/>
  <c r="AP184" i="72"/>
  <c r="AP183" i="72"/>
  <c r="AP182" i="72"/>
  <c r="AP181" i="72"/>
  <c r="AP180" i="72"/>
  <c r="AQ180" i="72" s="1"/>
  <c r="AP179" i="72"/>
  <c r="AP177" i="72"/>
  <c r="AP176" i="72"/>
  <c r="AP173" i="72"/>
  <c r="AP172" i="72"/>
  <c r="AP171" i="72"/>
  <c r="AP170" i="72"/>
  <c r="AQ170" i="72" s="1"/>
  <c r="AP169" i="72"/>
  <c r="AP168" i="72"/>
  <c r="AP167" i="72"/>
  <c r="AP165" i="72"/>
  <c r="AP164" i="72"/>
  <c r="AP161" i="72"/>
  <c r="AP160" i="72"/>
  <c r="AP159" i="72"/>
  <c r="AP158" i="72"/>
  <c r="AQ158" i="72" s="1"/>
  <c r="AP157" i="72"/>
  <c r="AQ157" i="72" s="1"/>
  <c r="AP156" i="72"/>
  <c r="AQ156" i="72" s="1"/>
  <c r="AP155" i="72"/>
  <c r="AP153" i="72"/>
  <c r="AP152" i="72"/>
  <c r="AP149" i="72"/>
  <c r="AP148" i="72"/>
  <c r="AP147" i="72"/>
  <c r="AP146" i="72"/>
  <c r="AQ146" i="72" s="1"/>
  <c r="AP145" i="72"/>
  <c r="AQ145" i="72" s="1"/>
  <c r="AP144" i="72"/>
  <c r="AP143" i="72"/>
  <c r="AP141" i="72"/>
  <c r="AP140" i="72"/>
  <c r="AP137" i="72"/>
  <c r="AP136" i="72"/>
  <c r="AQ136" i="72" s="1"/>
  <c r="AP135" i="72"/>
  <c r="AP134" i="72"/>
  <c r="AP133" i="72"/>
  <c r="AP132" i="72"/>
  <c r="AP131" i="72"/>
  <c r="AP129" i="72"/>
  <c r="AP128" i="72"/>
  <c r="AP125" i="72"/>
  <c r="AP124" i="72"/>
  <c r="AQ124" i="72" s="1"/>
  <c r="AP123" i="72"/>
  <c r="AQ123" i="72" s="1"/>
  <c r="AP122" i="72"/>
  <c r="AP121" i="72"/>
  <c r="AQ121" i="72" s="1"/>
  <c r="AP120" i="72"/>
  <c r="AQ120" i="72" s="1"/>
  <c r="AP119" i="72"/>
  <c r="AP117" i="72"/>
  <c r="AP116" i="72"/>
  <c r="AP113" i="72"/>
  <c r="AP112" i="72"/>
  <c r="AP111" i="72"/>
  <c r="AP110" i="72"/>
  <c r="AP109" i="72"/>
  <c r="AP108" i="72"/>
  <c r="AQ108" i="72" s="1"/>
  <c r="AP107" i="72"/>
  <c r="AP105" i="72"/>
  <c r="AP104" i="72"/>
  <c r="AP101" i="72"/>
  <c r="AP100" i="72"/>
  <c r="AP99" i="72"/>
  <c r="AP98" i="72"/>
  <c r="AP97" i="72"/>
  <c r="AP96" i="72"/>
  <c r="AP95" i="72"/>
  <c r="AP93" i="72"/>
  <c r="AP92" i="72"/>
  <c r="AP89" i="72"/>
  <c r="AP88" i="72"/>
  <c r="AP87" i="72"/>
  <c r="AP86" i="72"/>
  <c r="AQ86" i="72" s="1"/>
  <c r="AP85" i="72"/>
  <c r="AQ85" i="72" s="1"/>
  <c r="AP84" i="72"/>
  <c r="AQ84" i="72" s="1"/>
  <c r="AP83" i="72"/>
  <c r="AP81" i="72"/>
  <c r="AP80" i="72"/>
  <c r="AP77" i="72"/>
  <c r="AP76" i="72"/>
  <c r="AP75" i="72"/>
  <c r="AP74" i="72"/>
  <c r="AP73" i="72"/>
  <c r="AP72" i="72"/>
  <c r="AP71" i="72"/>
  <c r="AP69" i="72"/>
  <c r="AP68" i="72"/>
  <c r="AP65" i="72"/>
  <c r="AP64" i="72"/>
  <c r="AP63" i="72"/>
  <c r="AQ63" i="72" s="1"/>
  <c r="AP62" i="72"/>
  <c r="AP61" i="72"/>
  <c r="AP60" i="72"/>
  <c r="AP59" i="72"/>
  <c r="AQ59" i="72" s="1"/>
  <c r="AP57" i="72"/>
  <c r="AP56" i="72"/>
  <c r="AP53" i="72"/>
  <c r="AP52" i="72"/>
  <c r="AP51" i="72"/>
  <c r="AP50" i="72"/>
  <c r="AP49" i="72"/>
  <c r="AP48" i="72"/>
  <c r="AP47" i="72"/>
  <c r="AP45" i="72"/>
  <c r="AP44" i="72"/>
  <c r="AP41" i="72"/>
  <c r="AP40" i="72"/>
  <c r="AP39" i="72"/>
  <c r="AP38" i="72"/>
  <c r="AP37" i="72"/>
  <c r="AP36" i="72"/>
  <c r="AP35" i="72"/>
  <c r="AP33" i="72"/>
  <c r="AP32" i="72"/>
  <c r="AP29" i="72"/>
  <c r="AP28" i="72"/>
  <c r="AP27" i="72"/>
  <c r="AP26" i="72"/>
  <c r="AQ26" i="72" s="1"/>
  <c r="AP25" i="72"/>
  <c r="AQ25" i="72" s="1"/>
  <c r="AP24" i="72"/>
  <c r="AQ24" i="72" s="1"/>
  <c r="AP23" i="72"/>
  <c r="AP21" i="72"/>
  <c r="AP20" i="72"/>
  <c r="AP17" i="72"/>
  <c r="AP16" i="72"/>
  <c r="AP15" i="72"/>
  <c r="AP14" i="72"/>
  <c r="AP13" i="72"/>
  <c r="AP12" i="72"/>
  <c r="AP11" i="72"/>
  <c r="AP9" i="72"/>
  <c r="AP8" i="72"/>
  <c r="AP5" i="72"/>
  <c r="AP4" i="72"/>
  <c r="AP3" i="72"/>
  <c r="AP2" i="72"/>
  <c r="B15" i="73"/>
  <c r="B14" i="73"/>
  <c r="Z143" i="72"/>
  <c r="R538" i="72"/>
  <c r="AH538" i="72" s="1"/>
  <c r="Q538" i="72"/>
  <c r="AG538" i="72" s="1"/>
  <c r="P538" i="72"/>
  <c r="AF538" i="72" s="1"/>
  <c r="O538" i="72"/>
  <c r="AE538" i="72" s="1"/>
  <c r="N538" i="72"/>
  <c r="M538" i="72"/>
  <c r="AB538" i="72" s="1"/>
  <c r="L538" i="72"/>
  <c r="K538" i="72"/>
  <c r="J538" i="72"/>
  <c r="I538" i="72"/>
  <c r="V538" i="72" s="1"/>
  <c r="H538" i="72"/>
  <c r="AM537" i="72"/>
  <c r="AL537" i="72"/>
  <c r="AK537" i="72"/>
  <c r="AJ537" i="72"/>
  <c r="AI537" i="72"/>
  <c r="AH537" i="72"/>
  <c r="AG537" i="72"/>
  <c r="AF537" i="72"/>
  <c r="AE537" i="72"/>
  <c r="AD537" i="72"/>
  <c r="AC537" i="72"/>
  <c r="AB537" i="72"/>
  <c r="AA537" i="72"/>
  <c r="Z537" i="72"/>
  <c r="Y537" i="72"/>
  <c r="X537" i="72"/>
  <c r="W537" i="72"/>
  <c r="V537" i="72"/>
  <c r="U537" i="72"/>
  <c r="T537" i="72"/>
  <c r="S537" i="72"/>
  <c r="AM536" i="72"/>
  <c r="AL536" i="72"/>
  <c r="AK536" i="72"/>
  <c r="AJ536" i="72"/>
  <c r="AI536" i="72"/>
  <c r="AH536" i="72"/>
  <c r="AG536" i="72"/>
  <c r="AF536" i="72"/>
  <c r="AE536" i="72"/>
  <c r="AD536" i="72"/>
  <c r="AC536" i="72"/>
  <c r="AB536" i="72"/>
  <c r="AA536" i="72"/>
  <c r="Z536" i="72"/>
  <c r="Y536" i="72"/>
  <c r="X536" i="72"/>
  <c r="W536" i="72"/>
  <c r="V536" i="72"/>
  <c r="U536" i="72"/>
  <c r="T536" i="72"/>
  <c r="S536" i="72"/>
  <c r="AM535" i="72"/>
  <c r="AL535" i="72"/>
  <c r="AK535" i="72"/>
  <c r="AJ535" i="72"/>
  <c r="AI535" i="72"/>
  <c r="AH535" i="72"/>
  <c r="AG535" i="72"/>
  <c r="AR535" i="72" s="1"/>
  <c r="AF535" i="72"/>
  <c r="AE535" i="72"/>
  <c r="AD535" i="72"/>
  <c r="AC535" i="72"/>
  <c r="AB535" i="72"/>
  <c r="AA535" i="72"/>
  <c r="Z535" i="72"/>
  <c r="Y535" i="72"/>
  <c r="X535" i="72"/>
  <c r="W535" i="72"/>
  <c r="V535" i="72"/>
  <c r="U535" i="72"/>
  <c r="T535" i="72"/>
  <c r="S535" i="72"/>
  <c r="AM534" i="72"/>
  <c r="AL534" i="72"/>
  <c r="AK534" i="72"/>
  <c r="AJ534" i="72"/>
  <c r="AI534" i="72"/>
  <c r="AH534" i="72"/>
  <c r="AG534" i="72"/>
  <c r="AF534" i="72"/>
  <c r="AE534" i="72"/>
  <c r="AD534" i="72"/>
  <c r="AC534" i="72"/>
  <c r="AB534" i="72"/>
  <c r="AA534" i="72"/>
  <c r="Z534" i="72"/>
  <c r="Y534" i="72"/>
  <c r="X534" i="72"/>
  <c r="W534" i="72"/>
  <c r="V534" i="72"/>
  <c r="U534" i="72"/>
  <c r="T534" i="72"/>
  <c r="S534" i="72"/>
  <c r="AM533" i="72"/>
  <c r="AL533" i="72"/>
  <c r="AK533" i="72"/>
  <c r="AJ533" i="72"/>
  <c r="AI533" i="72"/>
  <c r="AH533" i="72"/>
  <c r="AG533" i="72"/>
  <c r="AF533" i="72"/>
  <c r="AE533" i="72"/>
  <c r="AD533" i="72"/>
  <c r="AC533" i="72"/>
  <c r="AB533" i="72"/>
  <c r="AA533" i="72"/>
  <c r="Z533" i="72"/>
  <c r="Y533" i="72"/>
  <c r="X533" i="72"/>
  <c r="W533" i="72"/>
  <c r="V533" i="72"/>
  <c r="U533" i="72"/>
  <c r="T533" i="72"/>
  <c r="S533" i="72"/>
  <c r="AM532" i="72"/>
  <c r="AL532" i="72"/>
  <c r="AK532" i="72"/>
  <c r="AJ532" i="72"/>
  <c r="AI532" i="72"/>
  <c r="AH532" i="72"/>
  <c r="AG532" i="72"/>
  <c r="AF532" i="72"/>
  <c r="AE532" i="72"/>
  <c r="AD532" i="72"/>
  <c r="AC532" i="72"/>
  <c r="AB532" i="72"/>
  <c r="AA532" i="72"/>
  <c r="Z532" i="72"/>
  <c r="Y532" i="72"/>
  <c r="X532" i="72"/>
  <c r="W532" i="72"/>
  <c r="V532" i="72"/>
  <c r="U532" i="72"/>
  <c r="T532" i="72"/>
  <c r="S532" i="72"/>
  <c r="AM531" i="72"/>
  <c r="AL531" i="72"/>
  <c r="AK531" i="72"/>
  <c r="AJ531" i="72"/>
  <c r="AI531" i="72"/>
  <c r="AH531" i="72"/>
  <c r="AG531" i="72"/>
  <c r="AF531" i="72"/>
  <c r="AE531" i="72"/>
  <c r="AD531" i="72"/>
  <c r="AC531" i="72"/>
  <c r="AB531" i="72"/>
  <c r="AA531" i="72"/>
  <c r="Z531" i="72"/>
  <c r="Y531" i="72"/>
  <c r="X531" i="72"/>
  <c r="W531" i="72"/>
  <c r="V531" i="72"/>
  <c r="U531" i="72"/>
  <c r="T531" i="72"/>
  <c r="S531" i="72"/>
  <c r="AM530" i="72"/>
  <c r="AL530" i="72"/>
  <c r="AK530" i="72"/>
  <c r="AJ530" i="72"/>
  <c r="AI530" i="72"/>
  <c r="AH530" i="72"/>
  <c r="AG530" i="72"/>
  <c r="AF530" i="72"/>
  <c r="AE530" i="72"/>
  <c r="AD530" i="72"/>
  <c r="AC530" i="72"/>
  <c r="AB530" i="72"/>
  <c r="AA530" i="72"/>
  <c r="Z530" i="72"/>
  <c r="Y530" i="72"/>
  <c r="X530" i="72"/>
  <c r="W530" i="72"/>
  <c r="V530" i="72"/>
  <c r="U530" i="72"/>
  <c r="T530" i="72"/>
  <c r="S530" i="72"/>
  <c r="AM529" i="72"/>
  <c r="AL529" i="72"/>
  <c r="AK529" i="72"/>
  <c r="AJ529" i="72"/>
  <c r="AI529" i="72"/>
  <c r="AH529" i="72"/>
  <c r="AG529" i="72"/>
  <c r="AF529" i="72"/>
  <c r="AE529" i="72"/>
  <c r="AD529" i="72"/>
  <c r="AC529" i="72"/>
  <c r="AB529" i="72"/>
  <c r="AA529" i="72"/>
  <c r="Z529" i="72"/>
  <c r="Y529" i="72"/>
  <c r="X529" i="72"/>
  <c r="W529" i="72"/>
  <c r="V529" i="72"/>
  <c r="U529" i="72"/>
  <c r="T529" i="72"/>
  <c r="S529" i="72"/>
  <c r="AM528" i="72"/>
  <c r="AL528" i="72"/>
  <c r="AK528" i="72"/>
  <c r="AJ528" i="72"/>
  <c r="AI528" i="72"/>
  <c r="AH528" i="72"/>
  <c r="AG528" i="72"/>
  <c r="AF528" i="72"/>
  <c r="AE528" i="72"/>
  <c r="AD528" i="72"/>
  <c r="AC528" i="72"/>
  <c r="AB528" i="72"/>
  <c r="AA528" i="72"/>
  <c r="Z528" i="72"/>
  <c r="Y528" i="72"/>
  <c r="X528" i="72"/>
  <c r="W528" i="72"/>
  <c r="V528" i="72"/>
  <c r="U528" i="72"/>
  <c r="T528" i="72"/>
  <c r="S528" i="72"/>
  <c r="AM527" i="72"/>
  <c r="AL527" i="72"/>
  <c r="AK527" i="72"/>
  <c r="AJ527" i="72"/>
  <c r="AI527" i="72"/>
  <c r="AH527" i="72"/>
  <c r="AG527" i="72"/>
  <c r="AF527" i="72"/>
  <c r="AE527" i="72"/>
  <c r="AD527" i="72"/>
  <c r="AC527" i="72"/>
  <c r="AB527" i="72"/>
  <c r="AA527" i="72"/>
  <c r="Z527" i="72"/>
  <c r="Y527" i="72"/>
  <c r="AN527" i="72" s="1"/>
  <c r="X527" i="72"/>
  <c r="W527" i="72"/>
  <c r="V527" i="72"/>
  <c r="U527" i="72"/>
  <c r="T527" i="72"/>
  <c r="S527" i="72"/>
  <c r="AM526" i="72"/>
  <c r="AL526" i="72"/>
  <c r="AK526" i="72"/>
  <c r="AJ526" i="72"/>
  <c r="AI526" i="72"/>
  <c r="AH526" i="72"/>
  <c r="AG526" i="72"/>
  <c r="AF526" i="72"/>
  <c r="AE526" i="72"/>
  <c r="AD526" i="72"/>
  <c r="AC526" i="72"/>
  <c r="AB526" i="72"/>
  <c r="AA526" i="72"/>
  <c r="Z526" i="72"/>
  <c r="Y526" i="72"/>
  <c r="X526" i="72"/>
  <c r="W526" i="72"/>
  <c r="V526" i="72"/>
  <c r="U526" i="72"/>
  <c r="T526" i="72"/>
  <c r="S526" i="72"/>
  <c r="AM525" i="72"/>
  <c r="AL525" i="72"/>
  <c r="AK525" i="72"/>
  <c r="AJ525" i="72"/>
  <c r="AI525" i="72"/>
  <c r="AH525" i="72"/>
  <c r="AG525" i="72"/>
  <c r="AR525" i="72" s="1"/>
  <c r="AF525" i="72"/>
  <c r="AE525" i="72"/>
  <c r="AD525" i="72"/>
  <c r="AC525" i="72"/>
  <c r="AB525" i="72"/>
  <c r="AA525" i="72"/>
  <c r="Z525" i="72"/>
  <c r="Y525" i="72"/>
  <c r="X525" i="72"/>
  <c r="W525" i="72"/>
  <c r="V525" i="72"/>
  <c r="U525" i="72"/>
  <c r="T525" i="72"/>
  <c r="S525" i="72"/>
  <c r="AM524" i="72"/>
  <c r="AL524" i="72"/>
  <c r="AK524" i="72"/>
  <c r="AJ524" i="72"/>
  <c r="AI524" i="72"/>
  <c r="AH524" i="72"/>
  <c r="AG524" i="72"/>
  <c r="AF524" i="72"/>
  <c r="AE524" i="72"/>
  <c r="AD524" i="72"/>
  <c r="AC524" i="72"/>
  <c r="AB524" i="72"/>
  <c r="AA524" i="72"/>
  <c r="Z524" i="72"/>
  <c r="Y524" i="72"/>
  <c r="X524" i="72"/>
  <c r="W524" i="72"/>
  <c r="V524" i="72"/>
  <c r="U524" i="72"/>
  <c r="T524" i="72"/>
  <c r="S524" i="72"/>
  <c r="AM523" i="72"/>
  <c r="AL523" i="72"/>
  <c r="AK523" i="72"/>
  <c r="AJ523" i="72"/>
  <c r="AI523" i="72"/>
  <c r="AH523" i="72"/>
  <c r="AG523" i="72"/>
  <c r="AF523" i="72"/>
  <c r="AE523" i="72"/>
  <c r="AD523" i="72"/>
  <c r="AC523" i="72"/>
  <c r="AB523" i="72"/>
  <c r="AA523" i="72"/>
  <c r="Z523" i="72"/>
  <c r="Y523" i="72"/>
  <c r="X523" i="72"/>
  <c r="W523" i="72"/>
  <c r="V523" i="72"/>
  <c r="U523" i="72"/>
  <c r="T523" i="72"/>
  <c r="S523" i="72"/>
  <c r="AM522" i="72"/>
  <c r="AL522" i="72"/>
  <c r="AK522" i="72"/>
  <c r="AJ522" i="72"/>
  <c r="AI522" i="72"/>
  <c r="AH522" i="72"/>
  <c r="AG522" i="72"/>
  <c r="AF522" i="72"/>
  <c r="AE522" i="72"/>
  <c r="AD522" i="72"/>
  <c r="AC522" i="72"/>
  <c r="AB522" i="72"/>
  <c r="AA522" i="72"/>
  <c r="Z522" i="72"/>
  <c r="Y522" i="72"/>
  <c r="X522" i="72"/>
  <c r="W522" i="72"/>
  <c r="V522" i="72"/>
  <c r="U522" i="72"/>
  <c r="T522" i="72"/>
  <c r="S522" i="72"/>
  <c r="AM521" i="72"/>
  <c r="AL521" i="72"/>
  <c r="AK521" i="72"/>
  <c r="AJ521" i="72"/>
  <c r="AI521" i="72"/>
  <c r="AH521" i="72"/>
  <c r="AG521" i="72"/>
  <c r="AF521" i="72"/>
  <c r="AE521" i="72"/>
  <c r="AD521" i="72"/>
  <c r="AC521" i="72"/>
  <c r="AB521" i="72"/>
  <c r="AA521" i="72"/>
  <c r="Z521" i="72"/>
  <c r="Y521" i="72"/>
  <c r="X521" i="72"/>
  <c r="W521" i="72"/>
  <c r="V521" i="72"/>
  <c r="U521" i="72"/>
  <c r="T521" i="72"/>
  <c r="S521" i="72"/>
  <c r="AM520" i="72"/>
  <c r="AL520" i="72"/>
  <c r="AK520" i="72"/>
  <c r="AJ520" i="72"/>
  <c r="AI520" i="72"/>
  <c r="AH520" i="72"/>
  <c r="AG520" i="72"/>
  <c r="AF520" i="72"/>
  <c r="AE520" i="72"/>
  <c r="AD520" i="72"/>
  <c r="AC520" i="72"/>
  <c r="AB520" i="72"/>
  <c r="AA520" i="72"/>
  <c r="Z520" i="72"/>
  <c r="Y520" i="72"/>
  <c r="X520" i="72"/>
  <c r="W520" i="72"/>
  <c r="V520" i="72"/>
  <c r="U520" i="72"/>
  <c r="T520" i="72"/>
  <c r="S520" i="72"/>
  <c r="AM519" i="72"/>
  <c r="AL519" i="72"/>
  <c r="AK519" i="72"/>
  <c r="AJ519" i="72"/>
  <c r="AI519" i="72"/>
  <c r="AH519" i="72"/>
  <c r="AG519" i="72"/>
  <c r="AF519" i="72"/>
  <c r="AE519" i="72"/>
  <c r="AD519" i="72"/>
  <c r="AC519" i="72"/>
  <c r="AB519" i="72"/>
  <c r="AA519" i="72"/>
  <c r="Z519" i="72"/>
  <c r="Y519" i="72"/>
  <c r="X519" i="72"/>
  <c r="W519" i="72"/>
  <c r="V519" i="72"/>
  <c r="U519" i="72"/>
  <c r="T519" i="72"/>
  <c r="S519" i="72"/>
  <c r="AM518" i="72"/>
  <c r="AL518" i="72"/>
  <c r="AK518" i="72"/>
  <c r="AJ518" i="72"/>
  <c r="AI518" i="72"/>
  <c r="AH518" i="72"/>
  <c r="AG518" i="72"/>
  <c r="AF518" i="72"/>
  <c r="AE518" i="72"/>
  <c r="AD518" i="72"/>
  <c r="AC518" i="72"/>
  <c r="AB518" i="72"/>
  <c r="AA518" i="72"/>
  <c r="Z518" i="72"/>
  <c r="Y518" i="72"/>
  <c r="X518" i="72"/>
  <c r="W518" i="72"/>
  <c r="V518" i="72"/>
  <c r="U518" i="72"/>
  <c r="T518" i="72"/>
  <c r="S518" i="72"/>
  <c r="AM517" i="72"/>
  <c r="AL517" i="72"/>
  <c r="AK517" i="72"/>
  <c r="AJ517" i="72"/>
  <c r="AI517" i="72"/>
  <c r="AH517" i="72"/>
  <c r="AG517" i="72"/>
  <c r="AR517" i="72" s="1"/>
  <c r="AF517" i="72"/>
  <c r="AE517" i="72"/>
  <c r="AD517" i="72"/>
  <c r="AC517" i="72"/>
  <c r="AB517" i="72"/>
  <c r="AA517" i="72"/>
  <c r="Z517" i="72"/>
  <c r="Y517" i="72"/>
  <c r="X517" i="72"/>
  <c r="W517" i="72"/>
  <c r="V517" i="72"/>
  <c r="U517" i="72"/>
  <c r="T517" i="72"/>
  <c r="S517" i="72"/>
  <c r="AM516" i="72"/>
  <c r="AL516" i="72"/>
  <c r="AK516" i="72"/>
  <c r="AJ516" i="72"/>
  <c r="AI516" i="72"/>
  <c r="AH516" i="72"/>
  <c r="AG516" i="72"/>
  <c r="AF516" i="72"/>
  <c r="AE516" i="72"/>
  <c r="AD516" i="72"/>
  <c r="AC516" i="72"/>
  <c r="AB516" i="72"/>
  <c r="AA516" i="72"/>
  <c r="Z516" i="72"/>
  <c r="Y516" i="72"/>
  <c r="X516" i="72"/>
  <c r="W516" i="72"/>
  <c r="V516" i="72"/>
  <c r="U516" i="72"/>
  <c r="T516" i="72"/>
  <c r="S516" i="72"/>
  <c r="AM515" i="72"/>
  <c r="AL515" i="72"/>
  <c r="AK515" i="72"/>
  <c r="AJ515" i="72"/>
  <c r="AI515" i="72"/>
  <c r="AH515" i="72"/>
  <c r="AG515" i="72"/>
  <c r="AF515" i="72"/>
  <c r="AE515" i="72"/>
  <c r="AD515" i="72"/>
  <c r="AC515" i="72"/>
  <c r="AB515" i="72"/>
  <c r="AA515" i="72"/>
  <c r="Z515" i="72"/>
  <c r="Y515" i="72"/>
  <c r="X515" i="72"/>
  <c r="W515" i="72"/>
  <c r="V515" i="72"/>
  <c r="U515" i="72"/>
  <c r="T515" i="72"/>
  <c r="S515" i="72"/>
  <c r="AM514" i="72"/>
  <c r="AL514" i="72"/>
  <c r="AK514" i="72"/>
  <c r="AJ514" i="72"/>
  <c r="AI514" i="72"/>
  <c r="AH514" i="72"/>
  <c r="AG514" i="72"/>
  <c r="AF514" i="72"/>
  <c r="AE514" i="72"/>
  <c r="AD514" i="72"/>
  <c r="AC514" i="72"/>
  <c r="AB514" i="72"/>
  <c r="AA514" i="72"/>
  <c r="Z514" i="72"/>
  <c r="Y514" i="72"/>
  <c r="X514" i="72"/>
  <c r="W514" i="72"/>
  <c r="V514" i="72"/>
  <c r="U514" i="72"/>
  <c r="T514" i="72"/>
  <c r="S514" i="72"/>
  <c r="AM513" i="72"/>
  <c r="AL513" i="72"/>
  <c r="AK513" i="72"/>
  <c r="AJ513" i="72"/>
  <c r="AI513" i="72"/>
  <c r="AH513" i="72"/>
  <c r="AG513" i="72"/>
  <c r="AF513" i="72"/>
  <c r="AE513" i="72"/>
  <c r="AD513" i="72"/>
  <c r="AC513" i="72"/>
  <c r="AB513" i="72"/>
  <c r="AA513" i="72"/>
  <c r="Z513" i="72"/>
  <c r="Y513" i="72"/>
  <c r="X513" i="72"/>
  <c r="W513" i="72"/>
  <c r="V513" i="72"/>
  <c r="U513" i="72"/>
  <c r="T513" i="72"/>
  <c r="S513" i="72"/>
  <c r="AM512" i="72"/>
  <c r="AL512" i="72"/>
  <c r="AK512" i="72"/>
  <c r="AJ512" i="72"/>
  <c r="AI512" i="72"/>
  <c r="AH512" i="72"/>
  <c r="AG512" i="72"/>
  <c r="AF512" i="72"/>
  <c r="AE512" i="72"/>
  <c r="AD512" i="72"/>
  <c r="AC512" i="72"/>
  <c r="AB512" i="72"/>
  <c r="AA512" i="72"/>
  <c r="Z512" i="72"/>
  <c r="Y512" i="72"/>
  <c r="X512" i="72"/>
  <c r="W512" i="72"/>
  <c r="V512" i="72"/>
  <c r="U512" i="72"/>
  <c r="T512" i="72"/>
  <c r="S512" i="72"/>
  <c r="AM511" i="72"/>
  <c r="AL511" i="72"/>
  <c r="AK511" i="72"/>
  <c r="AJ511" i="72"/>
  <c r="AI511" i="72"/>
  <c r="AH511" i="72"/>
  <c r="AG511" i="72"/>
  <c r="AF511" i="72"/>
  <c r="AE511" i="72"/>
  <c r="AD511" i="72"/>
  <c r="AC511" i="72"/>
  <c r="AB511" i="72"/>
  <c r="AA511" i="72"/>
  <c r="Z511" i="72"/>
  <c r="Y511" i="72"/>
  <c r="X511" i="72"/>
  <c r="W511" i="72"/>
  <c r="V511" i="72"/>
  <c r="U511" i="72"/>
  <c r="T511" i="72"/>
  <c r="S511" i="72"/>
  <c r="AM510" i="72"/>
  <c r="AL510" i="72"/>
  <c r="AK510" i="72"/>
  <c r="AJ510" i="72"/>
  <c r="AI510" i="72"/>
  <c r="AH510" i="72"/>
  <c r="AG510" i="72"/>
  <c r="AF510" i="72"/>
  <c r="AE510" i="72"/>
  <c r="AD510" i="72"/>
  <c r="AC510" i="72"/>
  <c r="AB510" i="72"/>
  <c r="AA510" i="72"/>
  <c r="Z510" i="72"/>
  <c r="Y510" i="72"/>
  <c r="X510" i="72"/>
  <c r="W510" i="72"/>
  <c r="V510" i="72"/>
  <c r="U510" i="72"/>
  <c r="T510" i="72"/>
  <c r="S510" i="72"/>
  <c r="AM509" i="72"/>
  <c r="AL509" i="72"/>
  <c r="AK509" i="72"/>
  <c r="AJ509" i="72"/>
  <c r="AI509" i="72"/>
  <c r="AH509" i="72"/>
  <c r="AG509" i="72"/>
  <c r="AF509" i="72"/>
  <c r="AE509" i="72"/>
  <c r="AD509" i="72"/>
  <c r="AC509" i="72"/>
  <c r="AB509" i="72"/>
  <c r="AA509" i="72"/>
  <c r="Z509" i="72"/>
  <c r="Y509" i="72"/>
  <c r="X509" i="72"/>
  <c r="W509" i="72"/>
  <c r="V509" i="72"/>
  <c r="U509" i="72"/>
  <c r="T509" i="72"/>
  <c r="S509" i="72"/>
  <c r="AM508" i="72"/>
  <c r="AL508" i="72"/>
  <c r="AK508" i="72"/>
  <c r="AJ508" i="72"/>
  <c r="AI508" i="72"/>
  <c r="AH508" i="72"/>
  <c r="AG508" i="72"/>
  <c r="AF508" i="72"/>
  <c r="AE508" i="72"/>
  <c r="AD508" i="72"/>
  <c r="AC508" i="72"/>
  <c r="AB508" i="72"/>
  <c r="AA508" i="72"/>
  <c r="Z508" i="72"/>
  <c r="Y508" i="72"/>
  <c r="X508" i="72"/>
  <c r="W508" i="72"/>
  <c r="V508" i="72"/>
  <c r="U508" i="72"/>
  <c r="T508" i="72"/>
  <c r="S508" i="72"/>
  <c r="AM507" i="72"/>
  <c r="AL507" i="72"/>
  <c r="AK507" i="72"/>
  <c r="AJ507" i="72"/>
  <c r="AI507" i="72"/>
  <c r="AH507" i="72"/>
  <c r="AG507" i="72"/>
  <c r="AF507" i="72"/>
  <c r="AE507" i="72"/>
  <c r="AD507" i="72"/>
  <c r="AC507" i="72"/>
  <c r="AB507" i="72"/>
  <c r="AA507" i="72"/>
  <c r="Z507" i="72"/>
  <c r="Y507" i="72"/>
  <c r="X507" i="72"/>
  <c r="W507" i="72"/>
  <c r="V507" i="72"/>
  <c r="U507" i="72"/>
  <c r="T507" i="72"/>
  <c r="S507" i="72"/>
  <c r="AM506" i="72"/>
  <c r="AL506" i="72"/>
  <c r="AK506" i="72"/>
  <c r="AJ506" i="72"/>
  <c r="AI506" i="72"/>
  <c r="AH506" i="72"/>
  <c r="AG506" i="72"/>
  <c r="AF506" i="72"/>
  <c r="AE506" i="72"/>
  <c r="AD506" i="72"/>
  <c r="AC506" i="72"/>
  <c r="AB506" i="72"/>
  <c r="AA506" i="72"/>
  <c r="Z506" i="72"/>
  <c r="Y506" i="72"/>
  <c r="X506" i="72"/>
  <c r="W506" i="72"/>
  <c r="V506" i="72"/>
  <c r="U506" i="72"/>
  <c r="T506" i="72"/>
  <c r="S506" i="72"/>
  <c r="AM505" i="72"/>
  <c r="AL505" i="72"/>
  <c r="AK505" i="72"/>
  <c r="AJ505" i="72"/>
  <c r="AI505" i="72"/>
  <c r="AH505" i="72"/>
  <c r="AG505" i="72"/>
  <c r="AF505" i="72"/>
  <c r="AE505" i="72"/>
  <c r="AD505" i="72"/>
  <c r="AC505" i="72"/>
  <c r="AB505" i="72"/>
  <c r="AA505" i="72"/>
  <c r="Z505" i="72"/>
  <c r="Y505" i="72"/>
  <c r="X505" i="72"/>
  <c r="W505" i="72"/>
  <c r="V505" i="72"/>
  <c r="U505" i="72"/>
  <c r="T505" i="72"/>
  <c r="S505" i="72"/>
  <c r="AM504" i="72"/>
  <c r="AL504" i="72"/>
  <c r="AK504" i="72"/>
  <c r="AJ504" i="72"/>
  <c r="AI504" i="72"/>
  <c r="AH504" i="72"/>
  <c r="AG504" i="72"/>
  <c r="AF504" i="72"/>
  <c r="AE504" i="72"/>
  <c r="AD504" i="72"/>
  <c r="AC504" i="72"/>
  <c r="AB504" i="72"/>
  <c r="AA504" i="72"/>
  <c r="Z504" i="72"/>
  <c r="Y504" i="72"/>
  <c r="X504" i="72"/>
  <c r="W504" i="72"/>
  <c r="V504" i="72"/>
  <c r="U504" i="72"/>
  <c r="T504" i="72"/>
  <c r="S504" i="72"/>
  <c r="AM503" i="72"/>
  <c r="AL503" i="72"/>
  <c r="AK503" i="72"/>
  <c r="AJ503" i="72"/>
  <c r="AI503" i="72"/>
  <c r="AH503" i="72"/>
  <c r="AG503" i="72"/>
  <c r="AF503" i="72"/>
  <c r="AE503" i="72"/>
  <c r="AD503" i="72"/>
  <c r="AC503" i="72"/>
  <c r="AN503" i="72" s="1"/>
  <c r="AB503" i="72"/>
  <c r="AA503" i="72"/>
  <c r="Z503" i="72"/>
  <c r="Y503" i="72"/>
  <c r="X503" i="72"/>
  <c r="W503" i="72"/>
  <c r="V503" i="72"/>
  <c r="U503" i="72"/>
  <c r="T503" i="72"/>
  <c r="S503" i="72"/>
  <c r="AM502" i="72"/>
  <c r="AL502" i="72"/>
  <c r="AK502" i="72"/>
  <c r="AJ502" i="72"/>
  <c r="AI502" i="72"/>
  <c r="AH502" i="72"/>
  <c r="AG502" i="72"/>
  <c r="AR502" i="72" s="1"/>
  <c r="AF502" i="72"/>
  <c r="AE502" i="72"/>
  <c r="AD502" i="72"/>
  <c r="AC502" i="72"/>
  <c r="AB502" i="72"/>
  <c r="AA502" i="72"/>
  <c r="Z502" i="72"/>
  <c r="Y502" i="72"/>
  <c r="X502" i="72"/>
  <c r="W502" i="72"/>
  <c r="V502" i="72"/>
  <c r="U502" i="72"/>
  <c r="T502" i="72"/>
  <c r="S502" i="72"/>
  <c r="AM501" i="72"/>
  <c r="AL501" i="72"/>
  <c r="AK501" i="72"/>
  <c r="AJ501" i="72"/>
  <c r="AI501" i="72"/>
  <c r="AH501" i="72"/>
  <c r="AG501" i="72"/>
  <c r="AF501" i="72"/>
  <c r="AE501" i="72"/>
  <c r="AD501" i="72"/>
  <c r="AC501" i="72"/>
  <c r="AB501" i="72"/>
  <c r="AA501" i="72"/>
  <c r="Z501" i="72"/>
  <c r="Y501" i="72"/>
  <c r="X501" i="72"/>
  <c r="W501" i="72"/>
  <c r="V501" i="72"/>
  <c r="U501" i="72"/>
  <c r="T501" i="72"/>
  <c r="S501" i="72"/>
  <c r="AM500" i="72"/>
  <c r="AL500" i="72"/>
  <c r="AK500" i="72"/>
  <c r="AJ500" i="72"/>
  <c r="AI500" i="72"/>
  <c r="AH500" i="72"/>
  <c r="AG500" i="72"/>
  <c r="AF500" i="72"/>
  <c r="AE500" i="72"/>
  <c r="AD500" i="72"/>
  <c r="AC500" i="72"/>
  <c r="AB500" i="72"/>
  <c r="AA500" i="72"/>
  <c r="Z500" i="72"/>
  <c r="Y500" i="72"/>
  <c r="X500" i="72"/>
  <c r="W500" i="72"/>
  <c r="V500" i="72"/>
  <c r="U500" i="72"/>
  <c r="T500" i="72"/>
  <c r="S500" i="72"/>
  <c r="AM499" i="72"/>
  <c r="AL499" i="72"/>
  <c r="AK499" i="72"/>
  <c r="AJ499" i="72"/>
  <c r="AI499" i="72"/>
  <c r="AH499" i="72"/>
  <c r="AG499" i="72"/>
  <c r="AR499" i="72" s="1"/>
  <c r="AF499" i="72"/>
  <c r="AE499" i="72"/>
  <c r="AD499" i="72"/>
  <c r="AC499" i="72"/>
  <c r="AB499" i="72"/>
  <c r="AA499" i="72"/>
  <c r="Z499" i="72"/>
  <c r="Y499" i="72"/>
  <c r="X499" i="72"/>
  <c r="W499" i="72"/>
  <c r="V499" i="72"/>
  <c r="U499" i="72"/>
  <c r="T499" i="72"/>
  <c r="S499" i="72"/>
  <c r="AM498" i="72"/>
  <c r="AL498" i="72"/>
  <c r="AK498" i="72"/>
  <c r="AJ498" i="72"/>
  <c r="AI498" i="72"/>
  <c r="AH498" i="72"/>
  <c r="AG498" i="72"/>
  <c r="AF498" i="72"/>
  <c r="AE498" i="72"/>
  <c r="AD498" i="72"/>
  <c r="AC498" i="72"/>
  <c r="AB498" i="72"/>
  <c r="AA498" i="72"/>
  <c r="Z498" i="72"/>
  <c r="Y498" i="72"/>
  <c r="X498" i="72"/>
  <c r="W498" i="72"/>
  <c r="V498" i="72"/>
  <c r="U498" i="72"/>
  <c r="T498" i="72"/>
  <c r="S498" i="72"/>
  <c r="AM497" i="72"/>
  <c r="AL497" i="72"/>
  <c r="AK497" i="72"/>
  <c r="AJ497" i="72"/>
  <c r="AI497" i="72"/>
  <c r="AH497" i="72"/>
  <c r="AG497" i="72"/>
  <c r="AF497" i="72"/>
  <c r="AE497" i="72"/>
  <c r="AD497" i="72"/>
  <c r="AC497" i="72"/>
  <c r="AB497" i="72"/>
  <c r="AA497" i="72"/>
  <c r="Z497" i="72"/>
  <c r="Y497" i="72"/>
  <c r="X497" i="72"/>
  <c r="W497" i="72"/>
  <c r="V497" i="72"/>
  <c r="U497" i="72"/>
  <c r="T497" i="72"/>
  <c r="S497" i="72"/>
  <c r="AM496" i="72"/>
  <c r="AL496" i="72"/>
  <c r="AK496" i="72"/>
  <c r="AJ496" i="72"/>
  <c r="AI496" i="72"/>
  <c r="AH496" i="72"/>
  <c r="AG496" i="72"/>
  <c r="AF496" i="72"/>
  <c r="AE496" i="72"/>
  <c r="AD496" i="72"/>
  <c r="AC496" i="72"/>
  <c r="AB496" i="72"/>
  <c r="AA496" i="72"/>
  <c r="Z496" i="72"/>
  <c r="Y496" i="72"/>
  <c r="X496" i="72"/>
  <c r="W496" i="72"/>
  <c r="V496" i="72"/>
  <c r="U496" i="72"/>
  <c r="T496" i="72"/>
  <c r="S496" i="72"/>
  <c r="AM495" i="72"/>
  <c r="AL495" i="72"/>
  <c r="AK495" i="72"/>
  <c r="AJ495" i="72"/>
  <c r="AI495" i="72"/>
  <c r="AH495" i="72"/>
  <c r="AG495" i="72"/>
  <c r="AF495" i="72"/>
  <c r="AE495" i="72"/>
  <c r="AD495" i="72"/>
  <c r="AC495" i="72"/>
  <c r="AB495" i="72"/>
  <c r="AA495" i="72"/>
  <c r="Z495" i="72"/>
  <c r="Y495" i="72"/>
  <c r="X495" i="72"/>
  <c r="W495" i="72"/>
  <c r="V495" i="72"/>
  <c r="U495" i="72"/>
  <c r="T495" i="72"/>
  <c r="S495" i="72"/>
  <c r="AM494" i="72"/>
  <c r="AL494" i="72"/>
  <c r="AK494" i="72"/>
  <c r="AJ494" i="72"/>
  <c r="AI494" i="72"/>
  <c r="AH494" i="72"/>
  <c r="AG494" i="72"/>
  <c r="AF494" i="72"/>
  <c r="AE494" i="72"/>
  <c r="AD494" i="72"/>
  <c r="AC494" i="72"/>
  <c r="AB494" i="72"/>
  <c r="AA494" i="72"/>
  <c r="Z494" i="72"/>
  <c r="Y494" i="72"/>
  <c r="X494" i="72"/>
  <c r="W494" i="72"/>
  <c r="V494" i="72"/>
  <c r="U494" i="72"/>
  <c r="T494" i="72"/>
  <c r="S494" i="72"/>
  <c r="AM493" i="72"/>
  <c r="AL493" i="72"/>
  <c r="AK493" i="72"/>
  <c r="AJ493" i="72"/>
  <c r="AI493" i="72"/>
  <c r="AH493" i="72"/>
  <c r="AG493" i="72"/>
  <c r="AR493" i="72" s="1"/>
  <c r="AF493" i="72"/>
  <c r="AE493" i="72"/>
  <c r="AD493" i="72"/>
  <c r="AC493" i="72"/>
  <c r="AB493" i="72"/>
  <c r="AA493" i="72"/>
  <c r="Z493" i="72"/>
  <c r="Y493" i="72"/>
  <c r="X493" i="72"/>
  <c r="W493" i="72"/>
  <c r="V493" i="72"/>
  <c r="U493" i="72"/>
  <c r="T493" i="72"/>
  <c r="S493" i="72"/>
  <c r="AM492" i="72"/>
  <c r="AL492" i="72"/>
  <c r="AK492" i="72"/>
  <c r="AJ492" i="72"/>
  <c r="AI492" i="72"/>
  <c r="AH492" i="72"/>
  <c r="AG492" i="72"/>
  <c r="AF492" i="72"/>
  <c r="AE492" i="72"/>
  <c r="AD492" i="72"/>
  <c r="AC492" i="72"/>
  <c r="AB492" i="72"/>
  <c r="AA492" i="72"/>
  <c r="Z492" i="72"/>
  <c r="Y492" i="72"/>
  <c r="X492" i="72"/>
  <c r="W492" i="72"/>
  <c r="V492" i="72"/>
  <c r="U492" i="72"/>
  <c r="T492" i="72"/>
  <c r="S492" i="72"/>
  <c r="AM491" i="72"/>
  <c r="AL491" i="72"/>
  <c r="AK491" i="72"/>
  <c r="AJ491" i="72"/>
  <c r="AI491" i="72"/>
  <c r="AH491" i="72"/>
  <c r="AG491" i="72"/>
  <c r="AF491" i="72"/>
  <c r="AE491" i="72"/>
  <c r="AD491" i="72"/>
  <c r="AC491" i="72"/>
  <c r="AB491" i="72"/>
  <c r="AA491" i="72"/>
  <c r="Z491" i="72"/>
  <c r="Y491" i="72"/>
  <c r="X491" i="72"/>
  <c r="W491" i="72"/>
  <c r="V491" i="72"/>
  <c r="U491" i="72"/>
  <c r="T491" i="72"/>
  <c r="S491" i="72"/>
  <c r="AM490" i="72"/>
  <c r="AL490" i="72"/>
  <c r="AK490" i="72"/>
  <c r="AJ490" i="72"/>
  <c r="AI490" i="72"/>
  <c r="AH490" i="72"/>
  <c r="AG490" i="72"/>
  <c r="AF490" i="72"/>
  <c r="AE490" i="72"/>
  <c r="AD490" i="72"/>
  <c r="AC490" i="72"/>
  <c r="AB490" i="72"/>
  <c r="AA490" i="72"/>
  <c r="Z490" i="72"/>
  <c r="Y490" i="72"/>
  <c r="X490" i="72"/>
  <c r="W490" i="72"/>
  <c r="V490" i="72"/>
  <c r="U490" i="72"/>
  <c r="T490" i="72"/>
  <c r="S490" i="72"/>
  <c r="AM489" i="72"/>
  <c r="AL489" i="72"/>
  <c r="AK489" i="72"/>
  <c r="AJ489" i="72"/>
  <c r="AI489" i="72"/>
  <c r="AH489" i="72"/>
  <c r="AG489" i="72"/>
  <c r="AR489" i="72" s="1"/>
  <c r="AF489" i="72"/>
  <c r="AE489" i="72"/>
  <c r="AD489" i="72"/>
  <c r="AC489" i="72"/>
  <c r="AB489" i="72"/>
  <c r="AA489" i="72"/>
  <c r="Z489" i="72"/>
  <c r="Y489" i="72"/>
  <c r="X489" i="72"/>
  <c r="W489" i="72"/>
  <c r="V489" i="72"/>
  <c r="U489" i="72"/>
  <c r="T489" i="72"/>
  <c r="S489" i="72"/>
  <c r="AM488" i="72"/>
  <c r="AL488" i="72"/>
  <c r="AK488" i="72"/>
  <c r="AJ488" i="72"/>
  <c r="AI488" i="72"/>
  <c r="AH488" i="72"/>
  <c r="AG488" i="72"/>
  <c r="AR488" i="72" s="1"/>
  <c r="AF488" i="72"/>
  <c r="AE488" i="72"/>
  <c r="AD488" i="72"/>
  <c r="AC488" i="72"/>
  <c r="AB488" i="72"/>
  <c r="AA488" i="72"/>
  <c r="Z488" i="72"/>
  <c r="Y488" i="72"/>
  <c r="X488" i="72"/>
  <c r="W488" i="72"/>
  <c r="V488" i="72"/>
  <c r="U488" i="72"/>
  <c r="T488" i="72"/>
  <c r="S488" i="72"/>
  <c r="AM487" i="72"/>
  <c r="AL487" i="72"/>
  <c r="AK487" i="72"/>
  <c r="AJ487" i="72"/>
  <c r="AI487" i="72"/>
  <c r="AH487" i="72"/>
  <c r="AG487" i="72"/>
  <c r="AF487" i="72"/>
  <c r="AE487" i="72"/>
  <c r="AD487" i="72"/>
  <c r="AC487" i="72"/>
  <c r="AB487" i="72"/>
  <c r="AA487" i="72"/>
  <c r="Z487" i="72"/>
  <c r="Y487" i="72"/>
  <c r="X487" i="72"/>
  <c r="W487" i="72"/>
  <c r="V487" i="72"/>
  <c r="U487" i="72"/>
  <c r="T487" i="72"/>
  <c r="S487" i="72"/>
  <c r="AM486" i="72"/>
  <c r="AL486" i="72"/>
  <c r="AK486" i="72"/>
  <c r="AJ486" i="72"/>
  <c r="AI486" i="72"/>
  <c r="AH486" i="72"/>
  <c r="AG486" i="72"/>
  <c r="AF486" i="72"/>
  <c r="AE486" i="72"/>
  <c r="AD486" i="72"/>
  <c r="AC486" i="72"/>
  <c r="AB486" i="72"/>
  <c r="AA486" i="72"/>
  <c r="Z486" i="72"/>
  <c r="Y486" i="72"/>
  <c r="X486" i="72"/>
  <c r="W486" i="72"/>
  <c r="V486" i="72"/>
  <c r="U486" i="72"/>
  <c r="T486" i="72"/>
  <c r="S486" i="72"/>
  <c r="AM485" i="72"/>
  <c r="AL485" i="72"/>
  <c r="AK485" i="72"/>
  <c r="AJ485" i="72"/>
  <c r="AI485" i="72"/>
  <c r="AH485" i="72"/>
  <c r="AG485" i="72"/>
  <c r="AF485" i="72"/>
  <c r="AE485" i="72"/>
  <c r="AD485" i="72"/>
  <c r="AC485" i="72"/>
  <c r="AB485" i="72"/>
  <c r="AA485" i="72"/>
  <c r="Z485" i="72"/>
  <c r="Y485" i="72"/>
  <c r="X485" i="72"/>
  <c r="W485" i="72"/>
  <c r="V485" i="72"/>
  <c r="U485" i="72"/>
  <c r="T485" i="72"/>
  <c r="S485" i="72"/>
  <c r="AM484" i="72"/>
  <c r="AL484" i="72"/>
  <c r="AK484" i="72"/>
  <c r="AJ484" i="72"/>
  <c r="AI484" i="72"/>
  <c r="AH484" i="72"/>
  <c r="AG484" i="72"/>
  <c r="AF484" i="72"/>
  <c r="AE484" i="72"/>
  <c r="AD484" i="72"/>
  <c r="AC484" i="72"/>
  <c r="AB484" i="72"/>
  <c r="AA484" i="72"/>
  <c r="Z484" i="72"/>
  <c r="Y484" i="72"/>
  <c r="X484" i="72"/>
  <c r="W484" i="72"/>
  <c r="V484" i="72"/>
  <c r="U484" i="72"/>
  <c r="T484" i="72"/>
  <c r="S484" i="72"/>
  <c r="AM483" i="72"/>
  <c r="AL483" i="72"/>
  <c r="AK483" i="72"/>
  <c r="AJ483" i="72"/>
  <c r="AI483" i="72"/>
  <c r="AH483" i="72"/>
  <c r="AG483" i="72"/>
  <c r="AF483" i="72"/>
  <c r="AE483" i="72"/>
  <c r="AD483" i="72"/>
  <c r="AC483" i="72"/>
  <c r="AB483" i="72"/>
  <c r="AA483" i="72"/>
  <c r="Z483" i="72"/>
  <c r="Y483" i="72"/>
  <c r="X483" i="72"/>
  <c r="W483" i="72"/>
  <c r="V483" i="72"/>
  <c r="U483" i="72"/>
  <c r="T483" i="72"/>
  <c r="S483" i="72"/>
  <c r="AM482" i="72"/>
  <c r="AL482" i="72"/>
  <c r="AK482" i="72"/>
  <c r="AJ482" i="72"/>
  <c r="AI482" i="72"/>
  <c r="AH482" i="72"/>
  <c r="AG482" i="72"/>
  <c r="AF482" i="72"/>
  <c r="AE482" i="72"/>
  <c r="AD482" i="72"/>
  <c r="AC482" i="72"/>
  <c r="AB482" i="72"/>
  <c r="AA482" i="72"/>
  <c r="Z482" i="72"/>
  <c r="Y482" i="72"/>
  <c r="X482" i="72"/>
  <c r="W482" i="72"/>
  <c r="V482" i="72"/>
  <c r="U482" i="72"/>
  <c r="T482" i="72"/>
  <c r="S482" i="72"/>
  <c r="AM481" i="72"/>
  <c r="AL481" i="72"/>
  <c r="AK481" i="72"/>
  <c r="AJ481" i="72"/>
  <c r="AI481" i="72"/>
  <c r="AH481" i="72"/>
  <c r="AG481" i="72"/>
  <c r="AF481" i="72"/>
  <c r="AE481" i="72"/>
  <c r="AD481" i="72"/>
  <c r="AC481" i="72"/>
  <c r="AB481" i="72"/>
  <c r="AA481" i="72"/>
  <c r="Z481" i="72"/>
  <c r="Y481" i="72"/>
  <c r="X481" i="72"/>
  <c r="W481" i="72"/>
  <c r="V481" i="72"/>
  <c r="U481" i="72"/>
  <c r="T481" i="72"/>
  <c r="S481" i="72"/>
  <c r="AM480" i="72"/>
  <c r="AL480" i="72"/>
  <c r="AK480" i="72"/>
  <c r="AJ480" i="72"/>
  <c r="AI480" i="72"/>
  <c r="AH480" i="72"/>
  <c r="AG480" i="72"/>
  <c r="AF480" i="72"/>
  <c r="AE480" i="72"/>
  <c r="AD480" i="72"/>
  <c r="AC480" i="72"/>
  <c r="AB480" i="72"/>
  <c r="AA480" i="72"/>
  <c r="Z480" i="72"/>
  <c r="Y480" i="72"/>
  <c r="X480" i="72"/>
  <c r="W480" i="72"/>
  <c r="V480" i="72"/>
  <c r="U480" i="72"/>
  <c r="T480" i="72"/>
  <c r="S480" i="72"/>
  <c r="AM479" i="72"/>
  <c r="AL479" i="72"/>
  <c r="AK479" i="72"/>
  <c r="AJ479" i="72"/>
  <c r="AI479" i="72"/>
  <c r="AH479" i="72"/>
  <c r="AG479" i="72"/>
  <c r="AF479" i="72"/>
  <c r="AE479" i="72"/>
  <c r="AD479" i="72"/>
  <c r="AC479" i="72"/>
  <c r="AN479" i="72" s="1"/>
  <c r="AB479" i="72"/>
  <c r="AA479" i="72"/>
  <c r="Z479" i="72"/>
  <c r="Y479" i="72"/>
  <c r="X479" i="72"/>
  <c r="W479" i="72"/>
  <c r="V479" i="72"/>
  <c r="U479" i="72"/>
  <c r="T479" i="72"/>
  <c r="S479" i="72"/>
  <c r="AM478" i="72"/>
  <c r="AL478" i="72"/>
  <c r="AK478" i="72"/>
  <c r="AJ478" i="72"/>
  <c r="AI478" i="72"/>
  <c r="AH478" i="72"/>
  <c r="AG478" i="72"/>
  <c r="AF478" i="72"/>
  <c r="AE478" i="72"/>
  <c r="AD478" i="72"/>
  <c r="AC478" i="72"/>
  <c r="AB478" i="72"/>
  <c r="AA478" i="72"/>
  <c r="Z478" i="72"/>
  <c r="Y478" i="72"/>
  <c r="X478" i="72"/>
  <c r="W478" i="72"/>
  <c r="V478" i="72"/>
  <c r="U478" i="72"/>
  <c r="T478" i="72"/>
  <c r="S478" i="72"/>
  <c r="AM477" i="72"/>
  <c r="AL477" i="72"/>
  <c r="AK477" i="72"/>
  <c r="AJ477" i="72"/>
  <c r="AI477" i="72"/>
  <c r="AH477" i="72"/>
  <c r="AG477" i="72"/>
  <c r="AF477" i="72"/>
  <c r="AE477" i="72"/>
  <c r="AD477" i="72"/>
  <c r="AC477" i="72"/>
  <c r="AB477" i="72"/>
  <c r="AA477" i="72"/>
  <c r="Z477" i="72"/>
  <c r="Y477" i="72"/>
  <c r="X477" i="72"/>
  <c r="W477" i="72"/>
  <c r="V477" i="72"/>
  <c r="U477" i="72"/>
  <c r="T477" i="72"/>
  <c r="S477" i="72"/>
  <c r="AM476" i="72"/>
  <c r="AL476" i="72"/>
  <c r="AK476" i="72"/>
  <c r="AJ476" i="72"/>
  <c r="AI476" i="72"/>
  <c r="AH476" i="72"/>
  <c r="AG476" i="72"/>
  <c r="AF476" i="72"/>
  <c r="AE476" i="72"/>
  <c r="AD476" i="72"/>
  <c r="AC476" i="72"/>
  <c r="AB476" i="72"/>
  <c r="AA476" i="72"/>
  <c r="Z476" i="72"/>
  <c r="Y476" i="72"/>
  <c r="X476" i="72"/>
  <c r="W476" i="72"/>
  <c r="V476" i="72"/>
  <c r="U476" i="72"/>
  <c r="T476" i="72"/>
  <c r="S476" i="72"/>
  <c r="AM475" i="72"/>
  <c r="AL475" i="72"/>
  <c r="AK475" i="72"/>
  <c r="AJ475" i="72"/>
  <c r="AI475" i="72"/>
  <c r="AH475" i="72"/>
  <c r="AG475" i="72"/>
  <c r="AR475" i="72" s="1"/>
  <c r="AF475" i="72"/>
  <c r="AE475" i="72"/>
  <c r="AD475" i="72"/>
  <c r="AC475" i="72"/>
  <c r="AB475" i="72"/>
  <c r="AA475" i="72"/>
  <c r="Z475" i="72"/>
  <c r="Y475" i="72"/>
  <c r="X475" i="72"/>
  <c r="W475" i="72"/>
  <c r="V475" i="72"/>
  <c r="U475" i="72"/>
  <c r="T475" i="72"/>
  <c r="S475" i="72"/>
  <c r="AM474" i="72"/>
  <c r="AL474" i="72"/>
  <c r="AK474" i="72"/>
  <c r="AJ474" i="72"/>
  <c r="AI474" i="72"/>
  <c r="AH474" i="72"/>
  <c r="AG474" i="72"/>
  <c r="AF474" i="72"/>
  <c r="AE474" i="72"/>
  <c r="AD474" i="72"/>
  <c r="AC474" i="72"/>
  <c r="AB474" i="72"/>
  <c r="AA474" i="72"/>
  <c r="Z474" i="72"/>
  <c r="Y474" i="72"/>
  <c r="X474" i="72"/>
  <c r="W474" i="72"/>
  <c r="V474" i="72"/>
  <c r="U474" i="72"/>
  <c r="T474" i="72"/>
  <c r="S474" i="72"/>
  <c r="AM473" i="72"/>
  <c r="AL473" i="72"/>
  <c r="AK473" i="72"/>
  <c r="AJ473" i="72"/>
  <c r="AI473" i="72"/>
  <c r="AH473" i="72"/>
  <c r="AG473" i="72"/>
  <c r="AF473" i="72"/>
  <c r="AE473" i="72"/>
  <c r="AD473" i="72"/>
  <c r="AC473" i="72"/>
  <c r="AB473" i="72"/>
  <c r="AA473" i="72"/>
  <c r="Z473" i="72"/>
  <c r="Y473" i="72"/>
  <c r="X473" i="72"/>
  <c r="W473" i="72"/>
  <c r="V473" i="72"/>
  <c r="U473" i="72"/>
  <c r="T473" i="72"/>
  <c r="S473" i="72"/>
  <c r="AM472" i="72"/>
  <c r="AL472" i="72"/>
  <c r="AK472" i="72"/>
  <c r="AJ472" i="72"/>
  <c r="AI472" i="72"/>
  <c r="AH472" i="72"/>
  <c r="AG472" i="72"/>
  <c r="AF472" i="72"/>
  <c r="AE472" i="72"/>
  <c r="AD472" i="72"/>
  <c r="AC472" i="72"/>
  <c r="AB472" i="72"/>
  <c r="AA472" i="72"/>
  <c r="Z472" i="72"/>
  <c r="Y472" i="72"/>
  <c r="X472" i="72"/>
  <c r="W472" i="72"/>
  <c r="V472" i="72"/>
  <c r="U472" i="72"/>
  <c r="T472" i="72"/>
  <c r="S472" i="72"/>
  <c r="AM471" i="72"/>
  <c r="AL471" i="72"/>
  <c r="AK471" i="72"/>
  <c r="AJ471" i="72"/>
  <c r="AI471" i="72"/>
  <c r="AH471" i="72"/>
  <c r="AG471" i="72"/>
  <c r="AF471" i="72"/>
  <c r="AE471" i="72"/>
  <c r="AD471" i="72"/>
  <c r="AC471" i="72"/>
  <c r="AB471" i="72"/>
  <c r="AA471" i="72"/>
  <c r="Z471" i="72"/>
  <c r="Y471" i="72"/>
  <c r="X471" i="72"/>
  <c r="W471" i="72"/>
  <c r="V471" i="72"/>
  <c r="U471" i="72"/>
  <c r="T471" i="72"/>
  <c r="S471" i="72"/>
  <c r="AM470" i="72"/>
  <c r="AL470" i="72"/>
  <c r="AK470" i="72"/>
  <c r="AJ470" i="72"/>
  <c r="AI470" i="72"/>
  <c r="AH470" i="72"/>
  <c r="AG470" i="72"/>
  <c r="AF470" i="72"/>
  <c r="AE470" i="72"/>
  <c r="AD470" i="72"/>
  <c r="AC470" i="72"/>
  <c r="AB470" i="72"/>
  <c r="AA470" i="72"/>
  <c r="Z470" i="72"/>
  <c r="Y470" i="72"/>
  <c r="X470" i="72"/>
  <c r="W470" i="72"/>
  <c r="V470" i="72"/>
  <c r="U470" i="72"/>
  <c r="T470" i="72"/>
  <c r="S470" i="72"/>
  <c r="AM469" i="72"/>
  <c r="AL469" i="72"/>
  <c r="AK469" i="72"/>
  <c r="AJ469" i="72"/>
  <c r="AI469" i="72"/>
  <c r="AH469" i="72"/>
  <c r="AG469" i="72"/>
  <c r="AF469" i="72"/>
  <c r="AE469" i="72"/>
  <c r="AD469" i="72"/>
  <c r="AC469" i="72"/>
  <c r="AB469" i="72"/>
  <c r="AA469" i="72"/>
  <c r="Z469" i="72"/>
  <c r="Y469" i="72"/>
  <c r="X469" i="72"/>
  <c r="W469" i="72"/>
  <c r="V469" i="72"/>
  <c r="U469" i="72"/>
  <c r="T469" i="72"/>
  <c r="S469" i="72"/>
  <c r="AM468" i="72"/>
  <c r="AL468" i="72"/>
  <c r="AK468" i="72"/>
  <c r="AJ468" i="72"/>
  <c r="AI468" i="72"/>
  <c r="AH468" i="72"/>
  <c r="AG468" i="72"/>
  <c r="AF468" i="72"/>
  <c r="AE468" i="72"/>
  <c r="AD468" i="72"/>
  <c r="AC468" i="72"/>
  <c r="AB468" i="72"/>
  <c r="AA468" i="72"/>
  <c r="Z468" i="72"/>
  <c r="Y468" i="72"/>
  <c r="X468" i="72"/>
  <c r="W468" i="72"/>
  <c r="V468" i="72"/>
  <c r="U468" i="72"/>
  <c r="T468" i="72"/>
  <c r="S468" i="72"/>
  <c r="AM467" i="72"/>
  <c r="AL467" i="72"/>
  <c r="AK467" i="72"/>
  <c r="AJ467" i="72"/>
  <c r="AI467" i="72"/>
  <c r="AH467" i="72"/>
  <c r="AG467" i="72"/>
  <c r="AF467" i="72"/>
  <c r="AE467" i="72"/>
  <c r="AD467" i="72"/>
  <c r="AC467" i="72"/>
  <c r="AB467" i="72"/>
  <c r="AA467" i="72"/>
  <c r="Z467" i="72"/>
  <c r="Y467" i="72"/>
  <c r="X467" i="72"/>
  <c r="W467" i="72"/>
  <c r="V467" i="72"/>
  <c r="U467" i="72"/>
  <c r="T467" i="72"/>
  <c r="S467" i="72"/>
  <c r="AM466" i="72"/>
  <c r="AL466" i="72"/>
  <c r="AK466" i="72"/>
  <c r="AJ466" i="72"/>
  <c r="AI466" i="72"/>
  <c r="AH466" i="72"/>
  <c r="AG466" i="72"/>
  <c r="AR466" i="72" s="1"/>
  <c r="AF466" i="72"/>
  <c r="AE466" i="72"/>
  <c r="AD466" i="72"/>
  <c r="AC466" i="72"/>
  <c r="AB466" i="72"/>
  <c r="AA466" i="72"/>
  <c r="Z466" i="72"/>
  <c r="Y466" i="72"/>
  <c r="X466" i="72"/>
  <c r="W466" i="72"/>
  <c r="V466" i="72"/>
  <c r="U466" i="72"/>
  <c r="T466" i="72"/>
  <c r="S466" i="72"/>
  <c r="AM465" i="72"/>
  <c r="AL465" i="72"/>
  <c r="AK465" i="72"/>
  <c r="AJ465" i="72"/>
  <c r="AI465" i="72"/>
  <c r="AH465" i="72"/>
  <c r="AG465" i="72"/>
  <c r="AR465" i="72" s="1"/>
  <c r="AF465" i="72"/>
  <c r="AE465" i="72"/>
  <c r="AD465" i="72"/>
  <c r="AC465" i="72"/>
  <c r="AB465" i="72"/>
  <c r="AA465" i="72"/>
  <c r="Z465" i="72"/>
  <c r="Y465" i="72"/>
  <c r="X465" i="72"/>
  <c r="W465" i="72"/>
  <c r="V465" i="72"/>
  <c r="U465" i="72"/>
  <c r="T465" i="72"/>
  <c r="S465" i="72"/>
  <c r="AM464" i="72"/>
  <c r="AL464" i="72"/>
  <c r="AK464" i="72"/>
  <c r="AJ464" i="72"/>
  <c r="AI464" i="72"/>
  <c r="AH464" i="72"/>
  <c r="AG464" i="72"/>
  <c r="AF464" i="72"/>
  <c r="AE464" i="72"/>
  <c r="AD464" i="72"/>
  <c r="AC464" i="72"/>
  <c r="AB464" i="72"/>
  <c r="AA464" i="72"/>
  <c r="Z464" i="72"/>
  <c r="Y464" i="72"/>
  <c r="X464" i="72"/>
  <c r="W464" i="72"/>
  <c r="V464" i="72"/>
  <c r="U464" i="72"/>
  <c r="T464" i="72"/>
  <c r="S464" i="72"/>
  <c r="AM463" i="72"/>
  <c r="AL463" i="72"/>
  <c r="AK463" i="72"/>
  <c r="AJ463" i="72"/>
  <c r="AI463" i="72"/>
  <c r="AH463" i="72"/>
  <c r="AG463" i="72"/>
  <c r="AR463" i="72" s="1"/>
  <c r="AF463" i="72"/>
  <c r="AE463" i="72"/>
  <c r="AD463" i="72"/>
  <c r="AC463" i="72"/>
  <c r="AB463" i="72"/>
  <c r="AA463" i="72"/>
  <c r="Z463" i="72"/>
  <c r="Y463" i="72"/>
  <c r="X463" i="72"/>
  <c r="W463" i="72"/>
  <c r="V463" i="72"/>
  <c r="U463" i="72"/>
  <c r="T463" i="72"/>
  <c r="S463" i="72"/>
  <c r="AM462" i="72"/>
  <c r="AL462" i="72"/>
  <c r="AK462" i="72"/>
  <c r="AJ462" i="72"/>
  <c r="AI462" i="72"/>
  <c r="AH462" i="72"/>
  <c r="AG462" i="72"/>
  <c r="AR462" i="72" s="1"/>
  <c r="AF462" i="72"/>
  <c r="AE462" i="72"/>
  <c r="AD462" i="72"/>
  <c r="AC462" i="72"/>
  <c r="AB462" i="72"/>
  <c r="AA462" i="72"/>
  <c r="Z462" i="72"/>
  <c r="Y462" i="72"/>
  <c r="X462" i="72"/>
  <c r="W462" i="72"/>
  <c r="V462" i="72"/>
  <c r="U462" i="72"/>
  <c r="T462" i="72"/>
  <c r="S462" i="72"/>
  <c r="AM461" i="72"/>
  <c r="AL461" i="72"/>
  <c r="AK461" i="72"/>
  <c r="AJ461" i="72"/>
  <c r="AI461" i="72"/>
  <c r="AH461" i="72"/>
  <c r="AG461" i="72"/>
  <c r="AF461" i="72"/>
  <c r="AE461" i="72"/>
  <c r="AD461" i="72"/>
  <c r="AC461" i="72"/>
  <c r="AB461" i="72"/>
  <c r="AA461" i="72"/>
  <c r="Z461" i="72"/>
  <c r="Y461" i="72"/>
  <c r="X461" i="72"/>
  <c r="W461" i="72"/>
  <c r="V461" i="72"/>
  <c r="U461" i="72"/>
  <c r="T461" i="72"/>
  <c r="S461" i="72"/>
  <c r="AM460" i="72"/>
  <c r="AL460" i="72"/>
  <c r="AK460" i="72"/>
  <c r="AJ460" i="72"/>
  <c r="AI460" i="72"/>
  <c r="AH460" i="72"/>
  <c r="AG460" i="72"/>
  <c r="AF460" i="72"/>
  <c r="AE460" i="72"/>
  <c r="AD460" i="72"/>
  <c r="AC460" i="72"/>
  <c r="AB460" i="72"/>
  <c r="AA460" i="72"/>
  <c r="Z460" i="72"/>
  <c r="Y460" i="72"/>
  <c r="X460" i="72"/>
  <c r="W460" i="72"/>
  <c r="V460" i="72"/>
  <c r="U460" i="72"/>
  <c r="T460" i="72"/>
  <c r="S460" i="72"/>
  <c r="AM459" i="72"/>
  <c r="AL459" i="72"/>
  <c r="AK459" i="72"/>
  <c r="AJ459" i="72"/>
  <c r="AI459" i="72"/>
  <c r="AH459" i="72"/>
  <c r="AG459" i="72"/>
  <c r="AF459" i="72"/>
  <c r="AE459" i="72"/>
  <c r="AD459" i="72"/>
  <c r="AC459" i="72"/>
  <c r="AB459" i="72"/>
  <c r="AA459" i="72"/>
  <c r="Z459" i="72"/>
  <c r="Y459" i="72"/>
  <c r="X459" i="72"/>
  <c r="W459" i="72"/>
  <c r="V459" i="72"/>
  <c r="U459" i="72"/>
  <c r="T459" i="72"/>
  <c r="S459" i="72"/>
  <c r="AM458" i="72"/>
  <c r="AL458" i="72"/>
  <c r="AK458" i="72"/>
  <c r="AJ458" i="72"/>
  <c r="AI458" i="72"/>
  <c r="AH458" i="72"/>
  <c r="AG458" i="72"/>
  <c r="AF458" i="72"/>
  <c r="AE458" i="72"/>
  <c r="AD458" i="72"/>
  <c r="AC458" i="72"/>
  <c r="AB458" i="72"/>
  <c r="AA458" i="72"/>
  <c r="Z458" i="72"/>
  <c r="Y458" i="72"/>
  <c r="X458" i="72"/>
  <c r="W458" i="72"/>
  <c r="V458" i="72"/>
  <c r="U458" i="72"/>
  <c r="T458" i="72"/>
  <c r="S458" i="72"/>
  <c r="AM457" i="72"/>
  <c r="AL457" i="72"/>
  <c r="AK457" i="72"/>
  <c r="AJ457" i="72"/>
  <c r="AI457" i="72"/>
  <c r="AH457" i="72"/>
  <c r="AG457" i="72"/>
  <c r="AF457" i="72"/>
  <c r="AE457" i="72"/>
  <c r="AD457" i="72"/>
  <c r="AC457" i="72"/>
  <c r="AB457" i="72"/>
  <c r="AA457" i="72"/>
  <c r="Z457" i="72"/>
  <c r="Y457" i="72"/>
  <c r="X457" i="72"/>
  <c r="W457" i="72"/>
  <c r="V457" i="72"/>
  <c r="U457" i="72"/>
  <c r="T457" i="72"/>
  <c r="S457" i="72"/>
  <c r="AM456" i="72"/>
  <c r="AL456" i="72"/>
  <c r="AK456" i="72"/>
  <c r="AJ456" i="72"/>
  <c r="AI456" i="72"/>
  <c r="AH456" i="72"/>
  <c r="AG456" i="72"/>
  <c r="AF456" i="72"/>
  <c r="AE456" i="72"/>
  <c r="AD456" i="72"/>
  <c r="AC456" i="72"/>
  <c r="AB456" i="72"/>
  <c r="AA456" i="72"/>
  <c r="Z456" i="72"/>
  <c r="Y456" i="72"/>
  <c r="X456" i="72"/>
  <c r="W456" i="72"/>
  <c r="V456" i="72"/>
  <c r="U456" i="72"/>
  <c r="T456" i="72"/>
  <c r="S456" i="72"/>
  <c r="AM455" i="72"/>
  <c r="AL455" i="72"/>
  <c r="AK455" i="72"/>
  <c r="AJ455" i="72"/>
  <c r="AI455" i="72"/>
  <c r="AH455" i="72"/>
  <c r="AG455" i="72"/>
  <c r="AF455" i="72"/>
  <c r="AE455" i="72"/>
  <c r="AD455" i="72"/>
  <c r="AC455" i="72"/>
  <c r="AN455" i="72" s="1"/>
  <c r="AB455" i="72"/>
  <c r="AA455" i="72"/>
  <c r="Z455" i="72"/>
  <c r="Y455" i="72"/>
  <c r="X455" i="72"/>
  <c r="W455" i="72"/>
  <c r="V455" i="72"/>
  <c r="U455" i="72"/>
  <c r="T455" i="72"/>
  <c r="S455" i="72"/>
  <c r="AM454" i="72"/>
  <c r="AL454" i="72"/>
  <c r="AK454" i="72"/>
  <c r="AJ454" i="72"/>
  <c r="AI454" i="72"/>
  <c r="AH454" i="72"/>
  <c r="AG454" i="72"/>
  <c r="AF454" i="72"/>
  <c r="AE454" i="72"/>
  <c r="AD454" i="72"/>
  <c r="AC454" i="72"/>
  <c r="AB454" i="72"/>
  <c r="AA454" i="72"/>
  <c r="Z454" i="72"/>
  <c r="Y454" i="72"/>
  <c r="X454" i="72"/>
  <c r="W454" i="72"/>
  <c r="V454" i="72"/>
  <c r="U454" i="72"/>
  <c r="T454" i="72"/>
  <c r="S454" i="72"/>
  <c r="AM453" i="72"/>
  <c r="AL453" i="72"/>
  <c r="AK453" i="72"/>
  <c r="AJ453" i="72"/>
  <c r="AI453" i="72"/>
  <c r="AH453" i="72"/>
  <c r="AG453" i="72"/>
  <c r="AF453" i="72"/>
  <c r="AE453" i="72"/>
  <c r="AD453" i="72"/>
  <c r="AC453" i="72"/>
  <c r="AB453" i="72"/>
  <c r="AA453" i="72"/>
  <c r="Z453" i="72"/>
  <c r="Y453" i="72"/>
  <c r="X453" i="72"/>
  <c r="W453" i="72"/>
  <c r="V453" i="72"/>
  <c r="U453" i="72"/>
  <c r="T453" i="72"/>
  <c r="S453" i="72"/>
  <c r="AM452" i="72"/>
  <c r="AL452" i="72"/>
  <c r="AK452" i="72"/>
  <c r="AJ452" i="72"/>
  <c r="AI452" i="72"/>
  <c r="AH452" i="72"/>
  <c r="AG452" i="72"/>
  <c r="AF452" i="72"/>
  <c r="AE452" i="72"/>
  <c r="AD452" i="72"/>
  <c r="AC452" i="72"/>
  <c r="AB452" i="72"/>
  <c r="AA452" i="72"/>
  <c r="Z452" i="72"/>
  <c r="Y452" i="72"/>
  <c r="X452" i="72"/>
  <c r="W452" i="72"/>
  <c r="V452" i="72"/>
  <c r="U452" i="72"/>
  <c r="T452" i="72"/>
  <c r="S452" i="72"/>
  <c r="AM451" i="72"/>
  <c r="AL451" i="72"/>
  <c r="AK451" i="72"/>
  <c r="AJ451" i="72"/>
  <c r="AI451" i="72"/>
  <c r="AH451" i="72"/>
  <c r="AG451" i="72"/>
  <c r="AR451" i="72" s="1"/>
  <c r="AF451" i="72"/>
  <c r="AE451" i="72"/>
  <c r="AD451" i="72"/>
  <c r="AC451" i="72"/>
  <c r="AB451" i="72"/>
  <c r="AA451" i="72"/>
  <c r="Z451" i="72"/>
  <c r="Y451" i="72"/>
  <c r="X451" i="72"/>
  <c r="W451" i="72"/>
  <c r="V451" i="72"/>
  <c r="U451" i="72"/>
  <c r="T451" i="72"/>
  <c r="S451" i="72"/>
  <c r="AM450" i="72"/>
  <c r="AL450" i="72"/>
  <c r="AK450" i="72"/>
  <c r="AJ450" i="72"/>
  <c r="AI450" i="72"/>
  <c r="AH450" i="72"/>
  <c r="AG450" i="72"/>
  <c r="AR450" i="72" s="1"/>
  <c r="AF450" i="72"/>
  <c r="AE450" i="72"/>
  <c r="AD450" i="72"/>
  <c r="AC450" i="72"/>
  <c r="AB450" i="72"/>
  <c r="AA450" i="72"/>
  <c r="Z450" i="72"/>
  <c r="Y450" i="72"/>
  <c r="X450" i="72"/>
  <c r="W450" i="72"/>
  <c r="V450" i="72"/>
  <c r="U450" i="72"/>
  <c r="T450" i="72"/>
  <c r="S450" i="72"/>
  <c r="AM449" i="72"/>
  <c r="AL449" i="72"/>
  <c r="AK449" i="72"/>
  <c r="AJ449" i="72"/>
  <c r="AI449" i="72"/>
  <c r="AH449" i="72"/>
  <c r="AG449" i="72"/>
  <c r="AF449" i="72"/>
  <c r="AE449" i="72"/>
  <c r="AD449" i="72"/>
  <c r="AC449" i="72"/>
  <c r="AB449" i="72"/>
  <c r="AA449" i="72"/>
  <c r="Z449" i="72"/>
  <c r="Y449" i="72"/>
  <c r="X449" i="72"/>
  <c r="W449" i="72"/>
  <c r="V449" i="72"/>
  <c r="U449" i="72"/>
  <c r="T449" i="72"/>
  <c r="S449" i="72"/>
  <c r="AM448" i="72"/>
  <c r="AL448" i="72"/>
  <c r="AK448" i="72"/>
  <c r="AJ448" i="72"/>
  <c r="AI448" i="72"/>
  <c r="AH448" i="72"/>
  <c r="AG448" i="72"/>
  <c r="AF448" i="72"/>
  <c r="AE448" i="72"/>
  <c r="AD448" i="72"/>
  <c r="AC448" i="72"/>
  <c r="AB448" i="72"/>
  <c r="AA448" i="72"/>
  <c r="Z448" i="72"/>
  <c r="Y448" i="72"/>
  <c r="X448" i="72"/>
  <c r="W448" i="72"/>
  <c r="V448" i="72"/>
  <c r="U448" i="72"/>
  <c r="T448" i="72"/>
  <c r="S448" i="72"/>
  <c r="AM447" i="72"/>
  <c r="AL447" i="72"/>
  <c r="AK447" i="72"/>
  <c r="AJ447" i="72"/>
  <c r="AI447" i="72"/>
  <c r="AH447" i="72"/>
  <c r="AG447" i="72"/>
  <c r="AF447" i="72"/>
  <c r="AE447" i="72"/>
  <c r="AD447" i="72"/>
  <c r="AC447" i="72"/>
  <c r="AB447" i="72"/>
  <c r="AA447" i="72"/>
  <c r="Z447" i="72"/>
  <c r="Y447" i="72"/>
  <c r="X447" i="72"/>
  <c r="W447" i="72"/>
  <c r="V447" i="72"/>
  <c r="U447" i="72"/>
  <c r="T447" i="72"/>
  <c r="S447" i="72"/>
  <c r="AM446" i="72"/>
  <c r="AL446" i="72"/>
  <c r="AK446" i="72"/>
  <c r="AJ446" i="72"/>
  <c r="AI446" i="72"/>
  <c r="AH446" i="72"/>
  <c r="AG446" i="72"/>
  <c r="AF446" i="72"/>
  <c r="AE446" i="72"/>
  <c r="AD446" i="72"/>
  <c r="AC446" i="72"/>
  <c r="AB446" i="72"/>
  <c r="AA446" i="72"/>
  <c r="Z446" i="72"/>
  <c r="Y446" i="72"/>
  <c r="X446" i="72"/>
  <c r="W446" i="72"/>
  <c r="V446" i="72"/>
  <c r="U446" i="72"/>
  <c r="T446" i="72"/>
  <c r="S446" i="72"/>
  <c r="AM445" i="72"/>
  <c r="AL445" i="72"/>
  <c r="AK445" i="72"/>
  <c r="AJ445" i="72"/>
  <c r="AI445" i="72"/>
  <c r="AH445" i="72"/>
  <c r="AG445" i="72"/>
  <c r="AF445" i="72"/>
  <c r="AE445" i="72"/>
  <c r="AD445" i="72"/>
  <c r="AC445" i="72"/>
  <c r="AB445" i="72"/>
  <c r="AA445" i="72"/>
  <c r="Z445" i="72"/>
  <c r="Y445" i="72"/>
  <c r="X445" i="72"/>
  <c r="W445" i="72"/>
  <c r="V445" i="72"/>
  <c r="U445" i="72"/>
  <c r="T445" i="72"/>
  <c r="S445" i="72"/>
  <c r="AM444" i="72"/>
  <c r="AL444" i="72"/>
  <c r="AK444" i="72"/>
  <c r="AJ444" i="72"/>
  <c r="AI444" i="72"/>
  <c r="AH444" i="72"/>
  <c r="AG444" i="72"/>
  <c r="AF444" i="72"/>
  <c r="AE444" i="72"/>
  <c r="AD444" i="72"/>
  <c r="AC444" i="72"/>
  <c r="AB444" i="72"/>
  <c r="AA444" i="72"/>
  <c r="Z444" i="72"/>
  <c r="Y444" i="72"/>
  <c r="X444" i="72"/>
  <c r="W444" i="72"/>
  <c r="V444" i="72"/>
  <c r="U444" i="72"/>
  <c r="T444" i="72"/>
  <c r="S444" i="72"/>
  <c r="AM443" i="72"/>
  <c r="AL443" i="72"/>
  <c r="AK443" i="72"/>
  <c r="AJ443" i="72"/>
  <c r="AI443" i="72"/>
  <c r="AH443" i="72"/>
  <c r="AG443" i="72"/>
  <c r="AF443" i="72"/>
  <c r="AE443" i="72"/>
  <c r="AD443" i="72"/>
  <c r="AC443" i="72"/>
  <c r="AB443" i="72"/>
  <c r="AA443" i="72"/>
  <c r="Z443" i="72"/>
  <c r="Y443" i="72"/>
  <c r="X443" i="72"/>
  <c r="W443" i="72"/>
  <c r="V443" i="72"/>
  <c r="U443" i="72"/>
  <c r="T443" i="72"/>
  <c r="S443" i="72"/>
  <c r="AM442" i="72"/>
  <c r="AL442" i="72"/>
  <c r="AK442" i="72"/>
  <c r="AJ442" i="72"/>
  <c r="AI442" i="72"/>
  <c r="AH442" i="72"/>
  <c r="AG442" i="72"/>
  <c r="AR442" i="72" s="1"/>
  <c r="AF442" i="72"/>
  <c r="AE442" i="72"/>
  <c r="AD442" i="72"/>
  <c r="AC442" i="72"/>
  <c r="AB442" i="72"/>
  <c r="AA442" i="72"/>
  <c r="Z442" i="72"/>
  <c r="Y442" i="72"/>
  <c r="X442" i="72"/>
  <c r="W442" i="72"/>
  <c r="V442" i="72"/>
  <c r="U442" i="72"/>
  <c r="T442" i="72"/>
  <c r="S442" i="72"/>
  <c r="AM441" i="72"/>
  <c r="AL441" i="72"/>
  <c r="AK441" i="72"/>
  <c r="AJ441" i="72"/>
  <c r="AI441" i="72"/>
  <c r="AH441" i="72"/>
  <c r="AG441" i="72"/>
  <c r="AR441" i="72" s="1"/>
  <c r="AF441" i="72"/>
  <c r="AE441" i="72"/>
  <c r="AD441" i="72"/>
  <c r="AC441" i="72"/>
  <c r="AB441" i="72"/>
  <c r="AA441" i="72"/>
  <c r="Z441" i="72"/>
  <c r="Y441" i="72"/>
  <c r="X441" i="72"/>
  <c r="W441" i="72"/>
  <c r="V441" i="72"/>
  <c r="U441" i="72"/>
  <c r="T441" i="72"/>
  <c r="S441" i="72"/>
  <c r="AM440" i="72"/>
  <c r="AL440" i="72"/>
  <c r="AK440" i="72"/>
  <c r="AJ440" i="72"/>
  <c r="AI440" i="72"/>
  <c r="AH440" i="72"/>
  <c r="AG440" i="72"/>
  <c r="AF440" i="72"/>
  <c r="AE440" i="72"/>
  <c r="AD440" i="72"/>
  <c r="AC440" i="72"/>
  <c r="AB440" i="72"/>
  <c r="AA440" i="72"/>
  <c r="Z440" i="72"/>
  <c r="Y440" i="72"/>
  <c r="X440" i="72"/>
  <c r="W440" i="72"/>
  <c r="V440" i="72"/>
  <c r="U440" i="72"/>
  <c r="T440" i="72"/>
  <c r="S440" i="72"/>
  <c r="AM439" i="72"/>
  <c r="AL439" i="72"/>
  <c r="AK439" i="72"/>
  <c r="AJ439" i="72"/>
  <c r="AI439" i="72"/>
  <c r="AH439" i="72"/>
  <c r="AG439" i="72"/>
  <c r="AR439" i="72" s="1"/>
  <c r="AF439" i="72"/>
  <c r="AE439" i="72"/>
  <c r="AD439" i="72"/>
  <c r="AC439" i="72"/>
  <c r="AB439" i="72"/>
  <c r="AA439" i="72"/>
  <c r="Z439" i="72"/>
  <c r="Y439" i="72"/>
  <c r="X439" i="72"/>
  <c r="W439" i="72"/>
  <c r="V439" i="72"/>
  <c r="U439" i="72"/>
  <c r="T439" i="72"/>
  <c r="S439" i="72"/>
  <c r="AM438" i="72"/>
  <c r="AL438" i="72"/>
  <c r="AK438" i="72"/>
  <c r="AJ438" i="72"/>
  <c r="AI438" i="72"/>
  <c r="AH438" i="72"/>
  <c r="AG438" i="72"/>
  <c r="AR438" i="72" s="1"/>
  <c r="AF438" i="72"/>
  <c r="AE438" i="72"/>
  <c r="AD438" i="72"/>
  <c r="AC438" i="72"/>
  <c r="AB438" i="72"/>
  <c r="AA438" i="72"/>
  <c r="Z438" i="72"/>
  <c r="Y438" i="72"/>
  <c r="X438" i="72"/>
  <c r="W438" i="72"/>
  <c r="V438" i="72"/>
  <c r="U438" i="72"/>
  <c r="T438" i="72"/>
  <c r="S438" i="72"/>
  <c r="AM437" i="72"/>
  <c r="AL437" i="72"/>
  <c r="AK437" i="72"/>
  <c r="AJ437" i="72"/>
  <c r="AI437" i="72"/>
  <c r="AH437" i="72"/>
  <c r="AG437" i="72"/>
  <c r="AF437" i="72"/>
  <c r="AE437" i="72"/>
  <c r="AD437" i="72"/>
  <c r="AC437" i="72"/>
  <c r="AB437" i="72"/>
  <c r="AA437" i="72"/>
  <c r="Z437" i="72"/>
  <c r="Y437" i="72"/>
  <c r="X437" i="72"/>
  <c r="W437" i="72"/>
  <c r="V437" i="72"/>
  <c r="U437" i="72"/>
  <c r="T437" i="72"/>
  <c r="S437" i="72"/>
  <c r="AM436" i="72"/>
  <c r="AL436" i="72"/>
  <c r="AK436" i="72"/>
  <c r="AJ436" i="72"/>
  <c r="AI436" i="72"/>
  <c r="AH436" i="72"/>
  <c r="AG436" i="72"/>
  <c r="AF436" i="72"/>
  <c r="AE436" i="72"/>
  <c r="AD436" i="72"/>
  <c r="AC436" i="72"/>
  <c r="AB436" i="72"/>
  <c r="AA436" i="72"/>
  <c r="Z436" i="72"/>
  <c r="Y436" i="72"/>
  <c r="X436" i="72"/>
  <c r="W436" i="72"/>
  <c r="V436" i="72"/>
  <c r="U436" i="72"/>
  <c r="T436" i="72"/>
  <c r="S436" i="72"/>
  <c r="AM435" i="72"/>
  <c r="AL435" i="72"/>
  <c r="AK435" i="72"/>
  <c r="AJ435" i="72"/>
  <c r="AI435" i="72"/>
  <c r="AH435" i="72"/>
  <c r="AG435" i="72"/>
  <c r="AF435" i="72"/>
  <c r="AE435" i="72"/>
  <c r="AD435" i="72"/>
  <c r="AC435" i="72"/>
  <c r="AB435" i="72"/>
  <c r="AA435" i="72"/>
  <c r="Z435" i="72"/>
  <c r="Y435" i="72"/>
  <c r="X435" i="72"/>
  <c r="W435" i="72"/>
  <c r="V435" i="72"/>
  <c r="U435" i="72"/>
  <c r="T435" i="72"/>
  <c r="S435" i="72"/>
  <c r="AM434" i="72"/>
  <c r="AL434" i="72"/>
  <c r="AK434" i="72"/>
  <c r="AJ434" i="72"/>
  <c r="AI434" i="72"/>
  <c r="AH434" i="72"/>
  <c r="AG434" i="72"/>
  <c r="AF434" i="72"/>
  <c r="AE434" i="72"/>
  <c r="AD434" i="72"/>
  <c r="AC434" i="72"/>
  <c r="AB434" i="72"/>
  <c r="AA434" i="72"/>
  <c r="Z434" i="72"/>
  <c r="Y434" i="72"/>
  <c r="X434" i="72"/>
  <c r="W434" i="72"/>
  <c r="V434" i="72"/>
  <c r="U434" i="72"/>
  <c r="T434" i="72"/>
  <c r="S434" i="72"/>
  <c r="AM433" i="72"/>
  <c r="AL433" i="72"/>
  <c r="AK433" i="72"/>
  <c r="AJ433" i="72"/>
  <c r="AI433" i="72"/>
  <c r="AH433" i="72"/>
  <c r="AG433" i="72"/>
  <c r="AF433" i="72"/>
  <c r="AE433" i="72"/>
  <c r="AD433" i="72"/>
  <c r="AC433" i="72"/>
  <c r="AB433" i="72"/>
  <c r="AA433" i="72"/>
  <c r="Z433" i="72"/>
  <c r="Y433" i="72"/>
  <c r="X433" i="72"/>
  <c r="W433" i="72"/>
  <c r="V433" i="72"/>
  <c r="U433" i="72"/>
  <c r="T433" i="72"/>
  <c r="S433" i="72"/>
  <c r="AM432" i="72"/>
  <c r="AL432" i="72"/>
  <c r="AK432" i="72"/>
  <c r="AJ432" i="72"/>
  <c r="AI432" i="72"/>
  <c r="AH432" i="72"/>
  <c r="AG432" i="72"/>
  <c r="AF432" i="72"/>
  <c r="AE432" i="72"/>
  <c r="AD432" i="72"/>
  <c r="AC432" i="72"/>
  <c r="AB432" i="72"/>
  <c r="AA432" i="72"/>
  <c r="Z432" i="72"/>
  <c r="Y432" i="72"/>
  <c r="X432" i="72"/>
  <c r="W432" i="72"/>
  <c r="V432" i="72"/>
  <c r="U432" i="72"/>
  <c r="T432" i="72"/>
  <c r="S432" i="72"/>
  <c r="AM431" i="72"/>
  <c r="AL431" i="72"/>
  <c r="AK431" i="72"/>
  <c r="AJ431" i="72"/>
  <c r="AI431" i="72"/>
  <c r="AH431" i="72"/>
  <c r="AG431" i="72"/>
  <c r="AF431" i="72"/>
  <c r="AE431" i="72"/>
  <c r="AD431" i="72"/>
  <c r="AC431" i="72"/>
  <c r="AN431" i="72" s="1"/>
  <c r="AB431" i="72"/>
  <c r="AA431" i="72"/>
  <c r="Z431" i="72"/>
  <c r="Y431" i="72"/>
  <c r="X431" i="72"/>
  <c r="W431" i="72"/>
  <c r="V431" i="72"/>
  <c r="U431" i="72"/>
  <c r="T431" i="72"/>
  <c r="S431" i="72"/>
  <c r="AM430" i="72"/>
  <c r="AL430" i="72"/>
  <c r="AK430" i="72"/>
  <c r="AJ430" i="72"/>
  <c r="AI430" i="72"/>
  <c r="AH430" i="72"/>
  <c r="AG430" i="72"/>
  <c r="AF430" i="72"/>
  <c r="AE430" i="72"/>
  <c r="AD430" i="72"/>
  <c r="AC430" i="72"/>
  <c r="AB430" i="72"/>
  <c r="AA430" i="72"/>
  <c r="Z430" i="72"/>
  <c r="Y430" i="72"/>
  <c r="X430" i="72"/>
  <c r="W430" i="72"/>
  <c r="V430" i="72"/>
  <c r="U430" i="72"/>
  <c r="T430" i="72"/>
  <c r="S430" i="72"/>
  <c r="AM429" i="72"/>
  <c r="AL429" i="72"/>
  <c r="AK429" i="72"/>
  <c r="AJ429" i="72"/>
  <c r="AI429" i="72"/>
  <c r="AH429" i="72"/>
  <c r="AG429" i="72"/>
  <c r="AF429" i="72"/>
  <c r="AE429" i="72"/>
  <c r="AD429" i="72"/>
  <c r="AC429" i="72"/>
  <c r="AB429" i="72"/>
  <c r="AA429" i="72"/>
  <c r="Z429" i="72"/>
  <c r="Y429" i="72"/>
  <c r="X429" i="72"/>
  <c r="W429" i="72"/>
  <c r="V429" i="72"/>
  <c r="U429" i="72"/>
  <c r="T429" i="72"/>
  <c r="S429" i="72"/>
  <c r="AM428" i="72"/>
  <c r="AL428" i="72"/>
  <c r="AK428" i="72"/>
  <c r="AJ428" i="72"/>
  <c r="AI428" i="72"/>
  <c r="AH428" i="72"/>
  <c r="AG428" i="72"/>
  <c r="AF428" i="72"/>
  <c r="AE428" i="72"/>
  <c r="AD428" i="72"/>
  <c r="AC428" i="72"/>
  <c r="AB428" i="72"/>
  <c r="AA428" i="72"/>
  <c r="Z428" i="72"/>
  <c r="Y428" i="72"/>
  <c r="X428" i="72"/>
  <c r="W428" i="72"/>
  <c r="V428" i="72"/>
  <c r="U428" i="72"/>
  <c r="T428" i="72"/>
  <c r="S428" i="72"/>
  <c r="AM427" i="72"/>
  <c r="AL427" i="72"/>
  <c r="AK427" i="72"/>
  <c r="AJ427" i="72"/>
  <c r="AI427" i="72"/>
  <c r="AH427" i="72"/>
  <c r="AG427" i="72"/>
  <c r="AR427" i="72" s="1"/>
  <c r="AF427" i="72"/>
  <c r="AE427" i="72"/>
  <c r="AD427" i="72"/>
  <c r="AC427" i="72"/>
  <c r="AB427" i="72"/>
  <c r="AA427" i="72"/>
  <c r="Z427" i="72"/>
  <c r="Y427" i="72"/>
  <c r="X427" i="72"/>
  <c r="W427" i="72"/>
  <c r="V427" i="72"/>
  <c r="U427" i="72"/>
  <c r="T427" i="72"/>
  <c r="S427" i="72"/>
  <c r="AM426" i="72"/>
  <c r="AL426" i="72"/>
  <c r="AK426" i="72"/>
  <c r="AJ426" i="72"/>
  <c r="AI426" i="72"/>
  <c r="AH426" i="72"/>
  <c r="AG426" i="72"/>
  <c r="AR426" i="72" s="1"/>
  <c r="AF426" i="72"/>
  <c r="AE426" i="72"/>
  <c r="AD426" i="72"/>
  <c r="AC426" i="72"/>
  <c r="AB426" i="72"/>
  <c r="AA426" i="72"/>
  <c r="Z426" i="72"/>
  <c r="Y426" i="72"/>
  <c r="X426" i="72"/>
  <c r="W426" i="72"/>
  <c r="V426" i="72"/>
  <c r="U426" i="72"/>
  <c r="T426" i="72"/>
  <c r="S426" i="72"/>
  <c r="AM425" i="72"/>
  <c r="AL425" i="72"/>
  <c r="AK425" i="72"/>
  <c r="AJ425" i="72"/>
  <c r="AI425" i="72"/>
  <c r="AH425" i="72"/>
  <c r="AG425" i="72"/>
  <c r="AF425" i="72"/>
  <c r="AE425" i="72"/>
  <c r="AD425" i="72"/>
  <c r="AC425" i="72"/>
  <c r="AB425" i="72"/>
  <c r="AA425" i="72"/>
  <c r="Z425" i="72"/>
  <c r="Y425" i="72"/>
  <c r="X425" i="72"/>
  <c r="W425" i="72"/>
  <c r="V425" i="72"/>
  <c r="U425" i="72"/>
  <c r="T425" i="72"/>
  <c r="S425" i="72"/>
  <c r="AM424" i="72"/>
  <c r="AL424" i="72"/>
  <c r="AK424" i="72"/>
  <c r="AJ424" i="72"/>
  <c r="AI424" i="72"/>
  <c r="AH424" i="72"/>
  <c r="AG424" i="72"/>
  <c r="AF424" i="72"/>
  <c r="AE424" i="72"/>
  <c r="AD424" i="72"/>
  <c r="AC424" i="72"/>
  <c r="AB424" i="72"/>
  <c r="AA424" i="72"/>
  <c r="Z424" i="72"/>
  <c r="Y424" i="72"/>
  <c r="X424" i="72"/>
  <c r="W424" i="72"/>
  <c r="V424" i="72"/>
  <c r="U424" i="72"/>
  <c r="T424" i="72"/>
  <c r="S424" i="72"/>
  <c r="AM423" i="72"/>
  <c r="AL423" i="72"/>
  <c r="AK423" i="72"/>
  <c r="AJ423" i="72"/>
  <c r="AI423" i="72"/>
  <c r="AH423" i="72"/>
  <c r="AG423" i="72"/>
  <c r="AF423" i="72"/>
  <c r="AE423" i="72"/>
  <c r="AD423" i="72"/>
  <c r="AC423" i="72"/>
  <c r="AB423" i="72"/>
  <c r="AA423" i="72"/>
  <c r="Z423" i="72"/>
  <c r="Y423" i="72"/>
  <c r="X423" i="72"/>
  <c r="W423" i="72"/>
  <c r="V423" i="72"/>
  <c r="U423" i="72"/>
  <c r="T423" i="72"/>
  <c r="S423" i="72"/>
  <c r="AM422" i="72"/>
  <c r="AL422" i="72"/>
  <c r="AK422" i="72"/>
  <c r="AJ422" i="72"/>
  <c r="AI422" i="72"/>
  <c r="AH422" i="72"/>
  <c r="AG422" i="72"/>
  <c r="AF422" i="72"/>
  <c r="AE422" i="72"/>
  <c r="AD422" i="72"/>
  <c r="AC422" i="72"/>
  <c r="AB422" i="72"/>
  <c r="AA422" i="72"/>
  <c r="Z422" i="72"/>
  <c r="Y422" i="72"/>
  <c r="X422" i="72"/>
  <c r="W422" i="72"/>
  <c r="V422" i="72"/>
  <c r="U422" i="72"/>
  <c r="T422" i="72"/>
  <c r="S422" i="72"/>
  <c r="AM421" i="72"/>
  <c r="AL421" i="72"/>
  <c r="AK421" i="72"/>
  <c r="AJ421" i="72"/>
  <c r="AI421" i="72"/>
  <c r="AH421" i="72"/>
  <c r="AG421" i="72"/>
  <c r="AF421" i="72"/>
  <c r="AE421" i="72"/>
  <c r="AD421" i="72"/>
  <c r="AC421" i="72"/>
  <c r="AB421" i="72"/>
  <c r="AA421" i="72"/>
  <c r="Z421" i="72"/>
  <c r="Y421" i="72"/>
  <c r="X421" i="72"/>
  <c r="W421" i="72"/>
  <c r="V421" i="72"/>
  <c r="U421" i="72"/>
  <c r="T421" i="72"/>
  <c r="S421" i="72"/>
  <c r="AM420" i="72"/>
  <c r="AL420" i="72"/>
  <c r="AK420" i="72"/>
  <c r="AJ420" i="72"/>
  <c r="AI420" i="72"/>
  <c r="AH420" i="72"/>
  <c r="AG420" i="72"/>
  <c r="AF420" i="72"/>
  <c r="AE420" i="72"/>
  <c r="AD420" i="72"/>
  <c r="AC420" i="72"/>
  <c r="AB420" i="72"/>
  <c r="AA420" i="72"/>
  <c r="Z420" i="72"/>
  <c r="Y420" i="72"/>
  <c r="X420" i="72"/>
  <c r="W420" i="72"/>
  <c r="V420" i="72"/>
  <c r="U420" i="72"/>
  <c r="T420" i="72"/>
  <c r="S420" i="72"/>
  <c r="AM419" i="72"/>
  <c r="AL419" i="72"/>
  <c r="AK419" i="72"/>
  <c r="AJ419" i="72"/>
  <c r="AI419" i="72"/>
  <c r="AH419" i="72"/>
  <c r="AG419" i="72"/>
  <c r="AF419" i="72"/>
  <c r="AE419" i="72"/>
  <c r="AD419" i="72"/>
  <c r="AC419" i="72"/>
  <c r="AB419" i="72"/>
  <c r="AA419" i="72"/>
  <c r="Z419" i="72"/>
  <c r="Y419" i="72"/>
  <c r="X419" i="72"/>
  <c r="W419" i="72"/>
  <c r="V419" i="72"/>
  <c r="U419" i="72"/>
  <c r="T419" i="72"/>
  <c r="S419" i="72"/>
  <c r="AM418" i="72"/>
  <c r="AL418" i="72"/>
  <c r="AK418" i="72"/>
  <c r="AJ418" i="72"/>
  <c r="AI418" i="72"/>
  <c r="AH418" i="72"/>
  <c r="AG418" i="72"/>
  <c r="AF418" i="72"/>
  <c r="AE418" i="72"/>
  <c r="AD418" i="72"/>
  <c r="AC418" i="72"/>
  <c r="AB418" i="72"/>
  <c r="AA418" i="72"/>
  <c r="Z418" i="72"/>
  <c r="Y418" i="72"/>
  <c r="X418" i="72"/>
  <c r="W418" i="72"/>
  <c r="V418" i="72"/>
  <c r="U418" i="72"/>
  <c r="T418" i="72"/>
  <c r="S418" i="72"/>
  <c r="AM417" i="72"/>
  <c r="AL417" i="72"/>
  <c r="AK417" i="72"/>
  <c r="AJ417" i="72"/>
  <c r="AI417" i="72"/>
  <c r="AH417" i="72"/>
  <c r="AG417" i="72"/>
  <c r="AR417" i="72" s="1"/>
  <c r="AF417" i="72"/>
  <c r="AE417" i="72"/>
  <c r="AD417" i="72"/>
  <c r="AC417" i="72"/>
  <c r="AB417" i="72"/>
  <c r="AA417" i="72"/>
  <c r="Z417" i="72"/>
  <c r="Y417" i="72"/>
  <c r="X417" i="72"/>
  <c r="W417" i="72"/>
  <c r="V417" i="72"/>
  <c r="U417" i="72"/>
  <c r="T417" i="72"/>
  <c r="S417" i="72"/>
  <c r="AM416" i="72"/>
  <c r="AL416" i="72"/>
  <c r="AK416" i="72"/>
  <c r="AJ416" i="72"/>
  <c r="AI416" i="72"/>
  <c r="AH416" i="72"/>
  <c r="AG416" i="72"/>
  <c r="AF416" i="72"/>
  <c r="AE416" i="72"/>
  <c r="AD416" i="72"/>
  <c r="AC416" i="72"/>
  <c r="AB416" i="72"/>
  <c r="AA416" i="72"/>
  <c r="Z416" i="72"/>
  <c r="Y416" i="72"/>
  <c r="X416" i="72"/>
  <c r="W416" i="72"/>
  <c r="V416" i="72"/>
  <c r="U416" i="72"/>
  <c r="T416" i="72"/>
  <c r="S416" i="72"/>
  <c r="AM415" i="72"/>
  <c r="AL415" i="72"/>
  <c r="AK415" i="72"/>
  <c r="AJ415" i="72"/>
  <c r="AI415" i="72"/>
  <c r="AH415" i="72"/>
  <c r="AG415" i="72"/>
  <c r="AR415" i="72" s="1"/>
  <c r="AF415" i="72"/>
  <c r="AE415" i="72"/>
  <c r="AD415" i="72"/>
  <c r="AC415" i="72"/>
  <c r="AB415" i="72"/>
  <c r="AA415" i="72"/>
  <c r="Z415" i="72"/>
  <c r="Y415" i="72"/>
  <c r="X415" i="72"/>
  <c r="W415" i="72"/>
  <c r="V415" i="72"/>
  <c r="U415" i="72"/>
  <c r="T415" i="72"/>
  <c r="S415" i="72"/>
  <c r="AM414" i="72"/>
  <c r="AL414" i="72"/>
  <c r="AK414" i="72"/>
  <c r="AJ414" i="72"/>
  <c r="AI414" i="72"/>
  <c r="AH414" i="72"/>
  <c r="AG414" i="72"/>
  <c r="AF414" i="72"/>
  <c r="AE414" i="72"/>
  <c r="AD414" i="72"/>
  <c r="AC414" i="72"/>
  <c r="AB414" i="72"/>
  <c r="AA414" i="72"/>
  <c r="Z414" i="72"/>
  <c r="Y414" i="72"/>
  <c r="X414" i="72"/>
  <c r="W414" i="72"/>
  <c r="V414" i="72"/>
  <c r="U414" i="72"/>
  <c r="T414" i="72"/>
  <c r="S414" i="72"/>
  <c r="AM413" i="72"/>
  <c r="AL413" i="72"/>
  <c r="AK413" i="72"/>
  <c r="AJ413" i="72"/>
  <c r="AI413" i="72"/>
  <c r="AH413" i="72"/>
  <c r="AG413" i="72"/>
  <c r="AF413" i="72"/>
  <c r="AE413" i="72"/>
  <c r="AD413" i="72"/>
  <c r="AC413" i="72"/>
  <c r="AB413" i="72"/>
  <c r="AA413" i="72"/>
  <c r="Z413" i="72"/>
  <c r="Y413" i="72"/>
  <c r="X413" i="72"/>
  <c r="W413" i="72"/>
  <c r="V413" i="72"/>
  <c r="U413" i="72"/>
  <c r="T413" i="72"/>
  <c r="S413" i="72"/>
  <c r="AM412" i="72"/>
  <c r="AL412" i="72"/>
  <c r="AK412" i="72"/>
  <c r="AJ412" i="72"/>
  <c r="AI412" i="72"/>
  <c r="AH412" i="72"/>
  <c r="AG412" i="72"/>
  <c r="AF412" i="72"/>
  <c r="AE412" i="72"/>
  <c r="AD412" i="72"/>
  <c r="AC412" i="72"/>
  <c r="AB412" i="72"/>
  <c r="AA412" i="72"/>
  <c r="Z412" i="72"/>
  <c r="Y412" i="72"/>
  <c r="X412" i="72"/>
  <c r="W412" i="72"/>
  <c r="V412" i="72"/>
  <c r="U412" i="72"/>
  <c r="T412" i="72"/>
  <c r="S412" i="72"/>
  <c r="AM411" i="72"/>
  <c r="AL411" i="72"/>
  <c r="AK411" i="72"/>
  <c r="AJ411" i="72"/>
  <c r="AI411" i="72"/>
  <c r="AH411" i="72"/>
  <c r="AG411" i="72"/>
  <c r="AF411" i="72"/>
  <c r="AE411" i="72"/>
  <c r="AD411" i="72"/>
  <c r="AC411" i="72"/>
  <c r="AB411" i="72"/>
  <c r="AA411" i="72"/>
  <c r="Z411" i="72"/>
  <c r="Y411" i="72"/>
  <c r="X411" i="72"/>
  <c r="W411" i="72"/>
  <c r="V411" i="72"/>
  <c r="U411" i="72"/>
  <c r="T411" i="72"/>
  <c r="S411" i="72"/>
  <c r="AM410" i="72"/>
  <c r="AL410" i="72"/>
  <c r="AK410" i="72"/>
  <c r="AJ410" i="72"/>
  <c r="AI410" i="72"/>
  <c r="AH410" i="72"/>
  <c r="AG410" i="72"/>
  <c r="AF410" i="72"/>
  <c r="AE410" i="72"/>
  <c r="AD410" i="72"/>
  <c r="AC410" i="72"/>
  <c r="AB410" i="72"/>
  <c r="AA410" i="72"/>
  <c r="Z410" i="72"/>
  <c r="Y410" i="72"/>
  <c r="X410" i="72"/>
  <c r="W410" i="72"/>
  <c r="V410" i="72"/>
  <c r="U410" i="72"/>
  <c r="T410" i="72"/>
  <c r="S410" i="72"/>
  <c r="AM409" i="72"/>
  <c r="AL409" i="72"/>
  <c r="AK409" i="72"/>
  <c r="AJ409" i="72"/>
  <c r="AI409" i="72"/>
  <c r="AH409" i="72"/>
  <c r="AG409" i="72"/>
  <c r="AF409" i="72"/>
  <c r="AE409" i="72"/>
  <c r="AD409" i="72"/>
  <c r="AC409" i="72"/>
  <c r="AB409" i="72"/>
  <c r="AA409" i="72"/>
  <c r="Z409" i="72"/>
  <c r="Y409" i="72"/>
  <c r="X409" i="72"/>
  <c r="W409" i="72"/>
  <c r="V409" i="72"/>
  <c r="U409" i="72"/>
  <c r="T409" i="72"/>
  <c r="S409" i="72"/>
  <c r="AM408" i="72"/>
  <c r="AL408" i="72"/>
  <c r="AK408" i="72"/>
  <c r="AJ408" i="72"/>
  <c r="AI408" i="72"/>
  <c r="AH408" i="72"/>
  <c r="AG408" i="72"/>
  <c r="AF408" i="72"/>
  <c r="AE408" i="72"/>
  <c r="AD408" i="72"/>
  <c r="AC408" i="72"/>
  <c r="AB408" i="72"/>
  <c r="AA408" i="72"/>
  <c r="Z408" i="72"/>
  <c r="Y408" i="72"/>
  <c r="X408" i="72"/>
  <c r="W408" i="72"/>
  <c r="V408" i="72"/>
  <c r="U408" i="72"/>
  <c r="T408" i="72"/>
  <c r="S408" i="72"/>
  <c r="AM407" i="72"/>
  <c r="AL407" i="72"/>
  <c r="AK407" i="72"/>
  <c r="AJ407" i="72"/>
  <c r="AI407" i="72"/>
  <c r="AH407" i="72"/>
  <c r="AG407" i="72"/>
  <c r="AF407" i="72"/>
  <c r="AE407" i="72"/>
  <c r="AD407" i="72"/>
  <c r="AC407" i="72"/>
  <c r="AN407" i="72" s="1"/>
  <c r="AB407" i="72"/>
  <c r="AA407" i="72"/>
  <c r="Z407" i="72"/>
  <c r="Y407" i="72"/>
  <c r="X407" i="72"/>
  <c r="W407" i="72"/>
  <c r="V407" i="72"/>
  <c r="U407" i="72"/>
  <c r="T407" i="72"/>
  <c r="S407" i="72"/>
  <c r="AM406" i="72"/>
  <c r="AL406" i="72"/>
  <c r="AK406" i="72"/>
  <c r="AJ406" i="72"/>
  <c r="AI406" i="72"/>
  <c r="AH406" i="72"/>
  <c r="AG406" i="72"/>
  <c r="AF406" i="72"/>
  <c r="AE406" i="72"/>
  <c r="AD406" i="72"/>
  <c r="AC406" i="72"/>
  <c r="AB406" i="72"/>
  <c r="AA406" i="72"/>
  <c r="Z406" i="72"/>
  <c r="Y406" i="72"/>
  <c r="X406" i="72"/>
  <c r="W406" i="72"/>
  <c r="V406" i="72"/>
  <c r="U406" i="72"/>
  <c r="T406" i="72"/>
  <c r="S406" i="72"/>
  <c r="AM405" i="72"/>
  <c r="AL405" i="72"/>
  <c r="AK405" i="72"/>
  <c r="AJ405" i="72"/>
  <c r="AI405" i="72"/>
  <c r="AH405" i="72"/>
  <c r="AG405" i="72"/>
  <c r="AF405" i="72"/>
  <c r="AE405" i="72"/>
  <c r="AD405" i="72"/>
  <c r="AC405" i="72"/>
  <c r="AB405" i="72"/>
  <c r="AA405" i="72"/>
  <c r="Z405" i="72"/>
  <c r="Y405" i="72"/>
  <c r="X405" i="72"/>
  <c r="W405" i="72"/>
  <c r="V405" i="72"/>
  <c r="U405" i="72"/>
  <c r="T405" i="72"/>
  <c r="S405" i="72"/>
  <c r="AM404" i="72"/>
  <c r="AL404" i="72"/>
  <c r="AK404" i="72"/>
  <c r="AJ404" i="72"/>
  <c r="AI404" i="72"/>
  <c r="AH404" i="72"/>
  <c r="AG404" i="72"/>
  <c r="AF404" i="72"/>
  <c r="AE404" i="72"/>
  <c r="AD404" i="72"/>
  <c r="AC404" i="72"/>
  <c r="AB404" i="72"/>
  <c r="AA404" i="72"/>
  <c r="Z404" i="72"/>
  <c r="Y404" i="72"/>
  <c r="X404" i="72"/>
  <c r="W404" i="72"/>
  <c r="V404" i="72"/>
  <c r="U404" i="72"/>
  <c r="T404" i="72"/>
  <c r="S404" i="72"/>
  <c r="AM403" i="72"/>
  <c r="AL403" i="72"/>
  <c r="AK403" i="72"/>
  <c r="AJ403" i="72"/>
  <c r="AI403" i="72"/>
  <c r="AH403" i="72"/>
  <c r="AG403" i="72"/>
  <c r="AR403" i="72" s="1"/>
  <c r="AF403" i="72"/>
  <c r="AE403" i="72"/>
  <c r="AD403" i="72"/>
  <c r="AC403" i="72"/>
  <c r="AB403" i="72"/>
  <c r="AA403" i="72"/>
  <c r="Z403" i="72"/>
  <c r="Y403" i="72"/>
  <c r="X403" i="72"/>
  <c r="W403" i="72"/>
  <c r="V403" i="72"/>
  <c r="U403" i="72"/>
  <c r="T403" i="72"/>
  <c r="S403" i="72"/>
  <c r="AM402" i="72"/>
  <c r="AL402" i="72"/>
  <c r="AK402" i="72"/>
  <c r="AJ402" i="72"/>
  <c r="AI402" i="72"/>
  <c r="AH402" i="72"/>
  <c r="AG402" i="72"/>
  <c r="AF402" i="72"/>
  <c r="AE402" i="72"/>
  <c r="AD402" i="72"/>
  <c r="AC402" i="72"/>
  <c r="AB402" i="72"/>
  <c r="AA402" i="72"/>
  <c r="Z402" i="72"/>
  <c r="Y402" i="72"/>
  <c r="X402" i="72"/>
  <c r="W402" i="72"/>
  <c r="V402" i="72"/>
  <c r="U402" i="72"/>
  <c r="T402" i="72"/>
  <c r="S402" i="72"/>
  <c r="AM401" i="72"/>
  <c r="AL401" i="72"/>
  <c r="AK401" i="72"/>
  <c r="AJ401" i="72"/>
  <c r="AI401" i="72"/>
  <c r="AH401" i="72"/>
  <c r="AG401" i="72"/>
  <c r="AF401" i="72"/>
  <c r="AE401" i="72"/>
  <c r="AD401" i="72"/>
  <c r="AC401" i="72"/>
  <c r="AB401" i="72"/>
  <c r="AA401" i="72"/>
  <c r="Z401" i="72"/>
  <c r="Y401" i="72"/>
  <c r="X401" i="72"/>
  <c r="W401" i="72"/>
  <c r="V401" i="72"/>
  <c r="U401" i="72"/>
  <c r="T401" i="72"/>
  <c r="S401" i="72"/>
  <c r="AM400" i="72"/>
  <c r="AL400" i="72"/>
  <c r="AK400" i="72"/>
  <c r="AJ400" i="72"/>
  <c r="AI400" i="72"/>
  <c r="AH400" i="72"/>
  <c r="AG400" i="72"/>
  <c r="AF400" i="72"/>
  <c r="AE400" i="72"/>
  <c r="AD400" i="72"/>
  <c r="AC400" i="72"/>
  <c r="AB400" i="72"/>
  <c r="AA400" i="72"/>
  <c r="Z400" i="72"/>
  <c r="Y400" i="72"/>
  <c r="X400" i="72"/>
  <c r="W400" i="72"/>
  <c r="V400" i="72"/>
  <c r="U400" i="72"/>
  <c r="T400" i="72"/>
  <c r="S400" i="72"/>
  <c r="AM399" i="72"/>
  <c r="AL399" i="72"/>
  <c r="AK399" i="72"/>
  <c r="AJ399" i="72"/>
  <c r="AI399" i="72"/>
  <c r="AH399" i="72"/>
  <c r="AG399" i="72"/>
  <c r="AF399" i="72"/>
  <c r="AE399" i="72"/>
  <c r="AD399" i="72"/>
  <c r="AC399" i="72"/>
  <c r="AB399" i="72"/>
  <c r="AA399" i="72"/>
  <c r="Z399" i="72"/>
  <c r="Y399" i="72"/>
  <c r="X399" i="72"/>
  <c r="W399" i="72"/>
  <c r="V399" i="72"/>
  <c r="U399" i="72"/>
  <c r="T399" i="72"/>
  <c r="S399" i="72"/>
  <c r="AM398" i="72"/>
  <c r="AL398" i="72"/>
  <c r="AK398" i="72"/>
  <c r="AJ398" i="72"/>
  <c r="AI398" i="72"/>
  <c r="AH398" i="72"/>
  <c r="AG398" i="72"/>
  <c r="AF398" i="72"/>
  <c r="AE398" i="72"/>
  <c r="AD398" i="72"/>
  <c r="AC398" i="72"/>
  <c r="AB398" i="72"/>
  <c r="AA398" i="72"/>
  <c r="Z398" i="72"/>
  <c r="Y398" i="72"/>
  <c r="X398" i="72"/>
  <c r="W398" i="72"/>
  <c r="V398" i="72"/>
  <c r="U398" i="72"/>
  <c r="T398" i="72"/>
  <c r="S398" i="72"/>
  <c r="AM397" i="72"/>
  <c r="AL397" i="72"/>
  <c r="AK397" i="72"/>
  <c r="AJ397" i="72"/>
  <c r="AI397" i="72"/>
  <c r="AH397" i="72"/>
  <c r="AG397" i="72"/>
  <c r="AF397" i="72"/>
  <c r="AE397" i="72"/>
  <c r="AD397" i="72"/>
  <c r="AC397" i="72"/>
  <c r="AB397" i="72"/>
  <c r="AA397" i="72"/>
  <c r="Z397" i="72"/>
  <c r="Y397" i="72"/>
  <c r="X397" i="72"/>
  <c r="W397" i="72"/>
  <c r="V397" i="72"/>
  <c r="U397" i="72"/>
  <c r="T397" i="72"/>
  <c r="S397" i="72"/>
  <c r="AM396" i="72"/>
  <c r="AL396" i="72"/>
  <c r="AK396" i="72"/>
  <c r="AJ396" i="72"/>
  <c r="AI396" i="72"/>
  <c r="AH396" i="72"/>
  <c r="AG396" i="72"/>
  <c r="AF396" i="72"/>
  <c r="AE396" i="72"/>
  <c r="AD396" i="72"/>
  <c r="AC396" i="72"/>
  <c r="AB396" i="72"/>
  <c r="AA396" i="72"/>
  <c r="Z396" i="72"/>
  <c r="Y396" i="72"/>
  <c r="X396" i="72"/>
  <c r="W396" i="72"/>
  <c r="V396" i="72"/>
  <c r="U396" i="72"/>
  <c r="T396" i="72"/>
  <c r="S396" i="72"/>
  <c r="AM395" i="72"/>
  <c r="AL395" i="72"/>
  <c r="AK395" i="72"/>
  <c r="AJ395" i="72"/>
  <c r="AI395" i="72"/>
  <c r="AH395" i="72"/>
  <c r="AG395" i="72"/>
  <c r="AF395" i="72"/>
  <c r="AE395" i="72"/>
  <c r="AD395" i="72"/>
  <c r="AC395" i="72"/>
  <c r="AB395" i="72"/>
  <c r="AA395" i="72"/>
  <c r="Z395" i="72"/>
  <c r="Y395" i="72"/>
  <c r="X395" i="72"/>
  <c r="W395" i="72"/>
  <c r="V395" i="72"/>
  <c r="U395" i="72"/>
  <c r="T395" i="72"/>
  <c r="S395" i="72"/>
  <c r="AM394" i="72"/>
  <c r="AL394" i="72"/>
  <c r="AK394" i="72"/>
  <c r="AJ394" i="72"/>
  <c r="AI394" i="72"/>
  <c r="AH394" i="72"/>
  <c r="AG394" i="72"/>
  <c r="AF394" i="72"/>
  <c r="AE394" i="72"/>
  <c r="AD394" i="72"/>
  <c r="AC394" i="72"/>
  <c r="AB394" i="72"/>
  <c r="AA394" i="72"/>
  <c r="Z394" i="72"/>
  <c r="Y394" i="72"/>
  <c r="X394" i="72"/>
  <c r="W394" i="72"/>
  <c r="V394" i="72"/>
  <c r="U394" i="72"/>
  <c r="T394" i="72"/>
  <c r="S394" i="72"/>
  <c r="AM393" i="72"/>
  <c r="AL393" i="72"/>
  <c r="AK393" i="72"/>
  <c r="AJ393" i="72"/>
  <c r="AI393" i="72"/>
  <c r="AH393" i="72"/>
  <c r="AG393" i="72"/>
  <c r="AR393" i="72" s="1"/>
  <c r="AF393" i="72"/>
  <c r="AE393" i="72"/>
  <c r="AD393" i="72"/>
  <c r="AC393" i="72"/>
  <c r="AB393" i="72"/>
  <c r="AA393" i="72"/>
  <c r="Z393" i="72"/>
  <c r="Y393" i="72"/>
  <c r="X393" i="72"/>
  <c r="W393" i="72"/>
  <c r="V393" i="72"/>
  <c r="U393" i="72"/>
  <c r="T393" i="72"/>
  <c r="S393" i="72"/>
  <c r="AM392" i="72"/>
  <c r="AL392" i="72"/>
  <c r="AK392" i="72"/>
  <c r="AJ392" i="72"/>
  <c r="AI392" i="72"/>
  <c r="AH392" i="72"/>
  <c r="AG392" i="72"/>
  <c r="AF392" i="72"/>
  <c r="AE392" i="72"/>
  <c r="AD392" i="72"/>
  <c r="AC392" i="72"/>
  <c r="AB392" i="72"/>
  <c r="AA392" i="72"/>
  <c r="Z392" i="72"/>
  <c r="Y392" i="72"/>
  <c r="X392" i="72"/>
  <c r="W392" i="72"/>
  <c r="V392" i="72"/>
  <c r="U392" i="72"/>
  <c r="T392" i="72"/>
  <c r="S392" i="72"/>
  <c r="AM391" i="72"/>
  <c r="AL391" i="72"/>
  <c r="AK391" i="72"/>
  <c r="AJ391" i="72"/>
  <c r="AI391" i="72"/>
  <c r="AH391" i="72"/>
  <c r="AG391" i="72"/>
  <c r="AR391" i="72" s="1"/>
  <c r="AF391" i="72"/>
  <c r="AE391" i="72"/>
  <c r="AD391" i="72"/>
  <c r="AC391" i="72"/>
  <c r="AB391" i="72"/>
  <c r="AA391" i="72"/>
  <c r="Z391" i="72"/>
  <c r="Y391" i="72"/>
  <c r="X391" i="72"/>
  <c r="W391" i="72"/>
  <c r="V391" i="72"/>
  <c r="U391" i="72"/>
  <c r="T391" i="72"/>
  <c r="S391" i="72"/>
  <c r="AM390" i="72"/>
  <c r="AL390" i="72"/>
  <c r="AK390" i="72"/>
  <c r="AJ390" i="72"/>
  <c r="AI390" i="72"/>
  <c r="AH390" i="72"/>
  <c r="AG390" i="72"/>
  <c r="AR390" i="72" s="1"/>
  <c r="AF390" i="72"/>
  <c r="AE390" i="72"/>
  <c r="AD390" i="72"/>
  <c r="AC390" i="72"/>
  <c r="AB390" i="72"/>
  <c r="AA390" i="72"/>
  <c r="Z390" i="72"/>
  <c r="Y390" i="72"/>
  <c r="X390" i="72"/>
  <c r="W390" i="72"/>
  <c r="V390" i="72"/>
  <c r="U390" i="72"/>
  <c r="T390" i="72"/>
  <c r="S390" i="72"/>
  <c r="AM389" i="72"/>
  <c r="AL389" i="72"/>
  <c r="AK389" i="72"/>
  <c r="AJ389" i="72"/>
  <c r="AI389" i="72"/>
  <c r="AH389" i="72"/>
  <c r="AG389" i="72"/>
  <c r="AF389" i="72"/>
  <c r="AE389" i="72"/>
  <c r="AD389" i="72"/>
  <c r="AC389" i="72"/>
  <c r="AB389" i="72"/>
  <c r="AA389" i="72"/>
  <c r="Z389" i="72"/>
  <c r="Y389" i="72"/>
  <c r="X389" i="72"/>
  <c r="W389" i="72"/>
  <c r="V389" i="72"/>
  <c r="U389" i="72"/>
  <c r="T389" i="72"/>
  <c r="S389" i="72"/>
  <c r="AM388" i="72"/>
  <c r="AL388" i="72"/>
  <c r="AK388" i="72"/>
  <c r="AJ388" i="72"/>
  <c r="AI388" i="72"/>
  <c r="AH388" i="72"/>
  <c r="AG388" i="72"/>
  <c r="AF388" i="72"/>
  <c r="AE388" i="72"/>
  <c r="AD388" i="72"/>
  <c r="AC388" i="72"/>
  <c r="AB388" i="72"/>
  <c r="AA388" i="72"/>
  <c r="Z388" i="72"/>
  <c r="Y388" i="72"/>
  <c r="X388" i="72"/>
  <c r="W388" i="72"/>
  <c r="V388" i="72"/>
  <c r="U388" i="72"/>
  <c r="T388" i="72"/>
  <c r="S388" i="72"/>
  <c r="AM387" i="72"/>
  <c r="AL387" i="72"/>
  <c r="AK387" i="72"/>
  <c r="AJ387" i="72"/>
  <c r="AI387" i="72"/>
  <c r="AH387" i="72"/>
  <c r="AG387" i="72"/>
  <c r="AF387" i="72"/>
  <c r="AE387" i="72"/>
  <c r="AD387" i="72"/>
  <c r="AC387" i="72"/>
  <c r="AB387" i="72"/>
  <c r="AA387" i="72"/>
  <c r="Z387" i="72"/>
  <c r="Y387" i="72"/>
  <c r="X387" i="72"/>
  <c r="W387" i="72"/>
  <c r="V387" i="72"/>
  <c r="U387" i="72"/>
  <c r="T387" i="72"/>
  <c r="S387" i="72"/>
  <c r="AM386" i="72"/>
  <c r="AL386" i="72"/>
  <c r="AK386" i="72"/>
  <c r="AJ386" i="72"/>
  <c r="AI386" i="72"/>
  <c r="AH386" i="72"/>
  <c r="AG386" i="72"/>
  <c r="AF386" i="72"/>
  <c r="AE386" i="72"/>
  <c r="AD386" i="72"/>
  <c r="AC386" i="72"/>
  <c r="AB386" i="72"/>
  <c r="AA386" i="72"/>
  <c r="Z386" i="72"/>
  <c r="Y386" i="72"/>
  <c r="X386" i="72"/>
  <c r="W386" i="72"/>
  <c r="V386" i="72"/>
  <c r="U386" i="72"/>
  <c r="T386" i="72"/>
  <c r="S386" i="72"/>
  <c r="AM385" i="72"/>
  <c r="AL385" i="72"/>
  <c r="AK385" i="72"/>
  <c r="AJ385" i="72"/>
  <c r="AI385" i="72"/>
  <c r="AH385" i="72"/>
  <c r="AG385" i="72"/>
  <c r="AF385" i="72"/>
  <c r="AE385" i="72"/>
  <c r="AD385" i="72"/>
  <c r="AC385" i="72"/>
  <c r="AB385" i="72"/>
  <c r="AA385" i="72"/>
  <c r="Z385" i="72"/>
  <c r="Y385" i="72"/>
  <c r="X385" i="72"/>
  <c r="W385" i="72"/>
  <c r="V385" i="72"/>
  <c r="U385" i="72"/>
  <c r="T385" i="72"/>
  <c r="S385" i="72"/>
  <c r="AM384" i="72"/>
  <c r="AL384" i="72"/>
  <c r="AK384" i="72"/>
  <c r="AJ384" i="72"/>
  <c r="AI384" i="72"/>
  <c r="AH384" i="72"/>
  <c r="AG384" i="72"/>
  <c r="AF384" i="72"/>
  <c r="AE384" i="72"/>
  <c r="AD384" i="72"/>
  <c r="AC384" i="72"/>
  <c r="AB384" i="72"/>
  <c r="AA384" i="72"/>
  <c r="Z384" i="72"/>
  <c r="Y384" i="72"/>
  <c r="X384" i="72"/>
  <c r="W384" i="72"/>
  <c r="V384" i="72"/>
  <c r="U384" i="72"/>
  <c r="T384" i="72"/>
  <c r="S384" i="72"/>
  <c r="AM383" i="72"/>
  <c r="AL383" i="72"/>
  <c r="AK383" i="72"/>
  <c r="AJ383" i="72"/>
  <c r="AI383" i="72"/>
  <c r="AH383" i="72"/>
  <c r="AG383" i="72"/>
  <c r="AF383" i="72"/>
  <c r="AE383" i="72"/>
  <c r="AD383" i="72"/>
  <c r="AC383" i="72"/>
  <c r="AB383" i="72"/>
  <c r="AA383" i="72"/>
  <c r="Z383" i="72"/>
  <c r="Y383" i="72"/>
  <c r="X383" i="72"/>
  <c r="W383" i="72"/>
  <c r="V383" i="72"/>
  <c r="U383" i="72"/>
  <c r="T383" i="72"/>
  <c r="S383" i="72"/>
  <c r="AM382" i="72"/>
  <c r="AL382" i="72"/>
  <c r="AK382" i="72"/>
  <c r="AJ382" i="72"/>
  <c r="AI382" i="72"/>
  <c r="AH382" i="72"/>
  <c r="AG382" i="72"/>
  <c r="AF382" i="72"/>
  <c r="AE382" i="72"/>
  <c r="AD382" i="72"/>
  <c r="AC382" i="72"/>
  <c r="AB382" i="72"/>
  <c r="AA382" i="72"/>
  <c r="Z382" i="72"/>
  <c r="Y382" i="72"/>
  <c r="X382" i="72"/>
  <c r="W382" i="72"/>
  <c r="V382" i="72"/>
  <c r="U382" i="72"/>
  <c r="T382" i="72"/>
  <c r="S382" i="72"/>
  <c r="AM381" i="72"/>
  <c r="AL381" i="72"/>
  <c r="AK381" i="72"/>
  <c r="AJ381" i="72"/>
  <c r="AI381" i="72"/>
  <c r="AH381" i="72"/>
  <c r="AG381" i="72"/>
  <c r="AF381" i="72"/>
  <c r="AE381" i="72"/>
  <c r="AD381" i="72"/>
  <c r="AC381" i="72"/>
  <c r="AB381" i="72"/>
  <c r="AA381" i="72"/>
  <c r="Z381" i="72"/>
  <c r="Y381" i="72"/>
  <c r="X381" i="72"/>
  <c r="W381" i="72"/>
  <c r="V381" i="72"/>
  <c r="U381" i="72"/>
  <c r="T381" i="72"/>
  <c r="S381" i="72"/>
  <c r="AM380" i="72"/>
  <c r="AL380" i="72"/>
  <c r="AK380" i="72"/>
  <c r="AJ380" i="72"/>
  <c r="AI380" i="72"/>
  <c r="AH380" i="72"/>
  <c r="AG380" i="72"/>
  <c r="AF380" i="72"/>
  <c r="AE380" i="72"/>
  <c r="AD380" i="72"/>
  <c r="AC380" i="72"/>
  <c r="AB380" i="72"/>
  <c r="AA380" i="72"/>
  <c r="Z380" i="72"/>
  <c r="Y380" i="72"/>
  <c r="X380" i="72"/>
  <c r="W380" i="72"/>
  <c r="V380" i="72"/>
  <c r="U380" i="72"/>
  <c r="T380" i="72"/>
  <c r="S380" i="72"/>
  <c r="AM379" i="72"/>
  <c r="AL379" i="72"/>
  <c r="AK379" i="72"/>
  <c r="AJ379" i="72"/>
  <c r="AI379" i="72"/>
  <c r="AH379" i="72"/>
  <c r="AG379" i="72"/>
  <c r="AF379" i="72"/>
  <c r="AE379" i="72"/>
  <c r="AD379" i="72"/>
  <c r="AC379" i="72"/>
  <c r="AB379" i="72"/>
  <c r="AA379" i="72"/>
  <c r="Z379" i="72"/>
  <c r="Y379" i="72"/>
  <c r="X379" i="72"/>
  <c r="W379" i="72"/>
  <c r="V379" i="72"/>
  <c r="U379" i="72"/>
  <c r="T379" i="72"/>
  <c r="S379" i="72"/>
  <c r="AM378" i="72"/>
  <c r="AL378" i="72"/>
  <c r="AK378" i="72"/>
  <c r="AJ378" i="72"/>
  <c r="AI378" i="72"/>
  <c r="AH378" i="72"/>
  <c r="AG378" i="72"/>
  <c r="AF378" i="72"/>
  <c r="AE378" i="72"/>
  <c r="AD378" i="72"/>
  <c r="AC378" i="72"/>
  <c r="AB378" i="72"/>
  <c r="AA378" i="72"/>
  <c r="Z378" i="72"/>
  <c r="Y378" i="72"/>
  <c r="X378" i="72"/>
  <c r="W378" i="72"/>
  <c r="V378" i="72"/>
  <c r="U378" i="72"/>
  <c r="T378" i="72"/>
  <c r="S378" i="72"/>
  <c r="AM377" i="72"/>
  <c r="AL377" i="72"/>
  <c r="AK377" i="72"/>
  <c r="AJ377" i="72"/>
  <c r="AI377" i="72"/>
  <c r="AH377" i="72"/>
  <c r="AG377" i="72"/>
  <c r="AF377" i="72"/>
  <c r="AE377" i="72"/>
  <c r="AD377" i="72"/>
  <c r="AC377" i="72"/>
  <c r="AB377" i="72"/>
  <c r="AA377" i="72"/>
  <c r="Z377" i="72"/>
  <c r="Y377" i="72"/>
  <c r="X377" i="72"/>
  <c r="W377" i="72"/>
  <c r="V377" i="72"/>
  <c r="U377" i="72"/>
  <c r="T377" i="72"/>
  <c r="S377" i="72"/>
  <c r="AM376" i="72"/>
  <c r="AL376" i="72"/>
  <c r="AK376" i="72"/>
  <c r="AJ376" i="72"/>
  <c r="AI376" i="72"/>
  <c r="AH376" i="72"/>
  <c r="AG376" i="72"/>
  <c r="AF376" i="72"/>
  <c r="AE376" i="72"/>
  <c r="AD376" i="72"/>
  <c r="AC376" i="72"/>
  <c r="AB376" i="72"/>
  <c r="AA376" i="72"/>
  <c r="Z376" i="72"/>
  <c r="Y376" i="72"/>
  <c r="X376" i="72"/>
  <c r="W376" i="72"/>
  <c r="V376" i="72"/>
  <c r="U376" i="72"/>
  <c r="T376" i="72"/>
  <c r="S376" i="72"/>
  <c r="AM375" i="72"/>
  <c r="AL375" i="72"/>
  <c r="AK375" i="72"/>
  <c r="AJ375" i="72"/>
  <c r="AI375" i="72"/>
  <c r="AH375" i="72"/>
  <c r="AG375" i="72"/>
  <c r="AF375" i="72"/>
  <c r="AE375" i="72"/>
  <c r="AD375" i="72"/>
  <c r="AC375" i="72"/>
  <c r="AB375" i="72"/>
  <c r="AA375" i="72"/>
  <c r="Z375" i="72"/>
  <c r="Y375" i="72"/>
  <c r="X375" i="72"/>
  <c r="W375" i="72"/>
  <c r="V375" i="72"/>
  <c r="U375" i="72"/>
  <c r="T375" i="72"/>
  <c r="S375" i="72"/>
  <c r="AM374" i="72"/>
  <c r="AL374" i="72"/>
  <c r="AK374" i="72"/>
  <c r="AJ374" i="72"/>
  <c r="AI374" i="72"/>
  <c r="AH374" i="72"/>
  <c r="AG374" i="72"/>
  <c r="AF374" i="72"/>
  <c r="AE374" i="72"/>
  <c r="AD374" i="72"/>
  <c r="AC374" i="72"/>
  <c r="AB374" i="72"/>
  <c r="AA374" i="72"/>
  <c r="Z374" i="72"/>
  <c r="Y374" i="72"/>
  <c r="X374" i="72"/>
  <c r="W374" i="72"/>
  <c r="V374" i="72"/>
  <c r="U374" i="72"/>
  <c r="T374" i="72"/>
  <c r="S374" i="72"/>
  <c r="AM373" i="72"/>
  <c r="AL373" i="72"/>
  <c r="AK373" i="72"/>
  <c r="AJ373" i="72"/>
  <c r="AI373" i="72"/>
  <c r="AH373" i="72"/>
  <c r="AG373" i="72"/>
  <c r="AF373" i="72"/>
  <c r="AE373" i="72"/>
  <c r="AD373" i="72"/>
  <c r="AC373" i="72"/>
  <c r="AB373" i="72"/>
  <c r="AA373" i="72"/>
  <c r="Z373" i="72"/>
  <c r="Y373" i="72"/>
  <c r="X373" i="72"/>
  <c r="W373" i="72"/>
  <c r="V373" i="72"/>
  <c r="U373" i="72"/>
  <c r="T373" i="72"/>
  <c r="S373" i="72"/>
  <c r="AM372" i="72"/>
  <c r="AL372" i="72"/>
  <c r="AK372" i="72"/>
  <c r="AJ372" i="72"/>
  <c r="AI372" i="72"/>
  <c r="AH372" i="72"/>
  <c r="AG372" i="72"/>
  <c r="AF372" i="72"/>
  <c r="AE372" i="72"/>
  <c r="AD372" i="72"/>
  <c r="AC372" i="72"/>
  <c r="AB372" i="72"/>
  <c r="AA372" i="72"/>
  <c r="Z372" i="72"/>
  <c r="Y372" i="72"/>
  <c r="X372" i="72"/>
  <c r="W372" i="72"/>
  <c r="V372" i="72"/>
  <c r="U372" i="72"/>
  <c r="T372" i="72"/>
  <c r="S372" i="72"/>
  <c r="AM371" i="72"/>
  <c r="AL371" i="72"/>
  <c r="AK371" i="72"/>
  <c r="AJ371" i="72"/>
  <c r="AI371" i="72"/>
  <c r="AH371" i="72"/>
  <c r="AG371" i="72"/>
  <c r="AF371" i="72"/>
  <c r="AE371" i="72"/>
  <c r="AD371" i="72"/>
  <c r="AC371" i="72"/>
  <c r="AB371" i="72"/>
  <c r="AA371" i="72"/>
  <c r="Z371" i="72"/>
  <c r="Y371" i="72"/>
  <c r="X371" i="72"/>
  <c r="W371" i="72"/>
  <c r="V371" i="72"/>
  <c r="U371" i="72"/>
  <c r="T371" i="72"/>
  <c r="S371" i="72"/>
  <c r="AM370" i="72"/>
  <c r="AL370" i="72"/>
  <c r="AK370" i="72"/>
  <c r="AJ370" i="72"/>
  <c r="AI370" i="72"/>
  <c r="AH370" i="72"/>
  <c r="AG370" i="72"/>
  <c r="AF370" i="72"/>
  <c r="AE370" i="72"/>
  <c r="AD370" i="72"/>
  <c r="AC370" i="72"/>
  <c r="AB370" i="72"/>
  <c r="AA370" i="72"/>
  <c r="Z370" i="72"/>
  <c r="Y370" i="72"/>
  <c r="X370" i="72"/>
  <c r="W370" i="72"/>
  <c r="V370" i="72"/>
  <c r="U370" i="72"/>
  <c r="T370" i="72"/>
  <c r="S370" i="72"/>
  <c r="AM369" i="72"/>
  <c r="AL369" i="72"/>
  <c r="AK369" i="72"/>
  <c r="AJ369" i="72"/>
  <c r="AI369" i="72"/>
  <c r="AH369" i="72"/>
  <c r="AG369" i="72"/>
  <c r="AF369" i="72"/>
  <c r="AE369" i="72"/>
  <c r="AD369" i="72"/>
  <c r="AC369" i="72"/>
  <c r="AB369" i="72"/>
  <c r="AA369" i="72"/>
  <c r="Z369" i="72"/>
  <c r="Y369" i="72"/>
  <c r="X369" i="72"/>
  <c r="W369" i="72"/>
  <c r="V369" i="72"/>
  <c r="U369" i="72"/>
  <c r="T369" i="72"/>
  <c r="S369" i="72"/>
  <c r="AM368" i="72"/>
  <c r="AL368" i="72"/>
  <c r="AK368" i="72"/>
  <c r="AJ368" i="72"/>
  <c r="AI368" i="72"/>
  <c r="AH368" i="72"/>
  <c r="AG368" i="72"/>
  <c r="AF368" i="72"/>
  <c r="AE368" i="72"/>
  <c r="AD368" i="72"/>
  <c r="AC368" i="72"/>
  <c r="AB368" i="72"/>
  <c r="AA368" i="72"/>
  <c r="Z368" i="72"/>
  <c r="Y368" i="72"/>
  <c r="X368" i="72"/>
  <c r="W368" i="72"/>
  <c r="V368" i="72"/>
  <c r="U368" i="72"/>
  <c r="T368" i="72"/>
  <c r="S368" i="72"/>
  <c r="AM367" i="72"/>
  <c r="AL367" i="72"/>
  <c r="AK367" i="72"/>
  <c r="AJ367" i="72"/>
  <c r="AI367" i="72"/>
  <c r="AH367" i="72"/>
  <c r="AG367" i="72"/>
  <c r="AF367" i="72"/>
  <c r="AE367" i="72"/>
  <c r="AD367" i="72"/>
  <c r="AC367" i="72"/>
  <c r="AB367" i="72"/>
  <c r="AA367" i="72"/>
  <c r="Z367" i="72"/>
  <c r="Y367" i="72"/>
  <c r="X367" i="72"/>
  <c r="W367" i="72"/>
  <c r="V367" i="72"/>
  <c r="U367" i="72"/>
  <c r="T367" i="72"/>
  <c r="S367" i="72"/>
  <c r="AM366" i="72"/>
  <c r="AL366" i="72"/>
  <c r="AK366" i="72"/>
  <c r="AJ366" i="72"/>
  <c r="AI366" i="72"/>
  <c r="AH366" i="72"/>
  <c r="AG366" i="72"/>
  <c r="AF366" i="72"/>
  <c r="AE366" i="72"/>
  <c r="AD366" i="72"/>
  <c r="AC366" i="72"/>
  <c r="AB366" i="72"/>
  <c r="AA366" i="72"/>
  <c r="Z366" i="72"/>
  <c r="Y366" i="72"/>
  <c r="X366" i="72"/>
  <c r="W366" i="72"/>
  <c r="V366" i="72"/>
  <c r="U366" i="72"/>
  <c r="T366" i="72"/>
  <c r="S366" i="72"/>
  <c r="AM365" i="72"/>
  <c r="AL365" i="72"/>
  <c r="AK365" i="72"/>
  <c r="AJ365" i="72"/>
  <c r="AI365" i="72"/>
  <c r="AH365" i="72"/>
  <c r="AG365" i="72"/>
  <c r="AF365" i="72"/>
  <c r="AE365" i="72"/>
  <c r="AD365" i="72"/>
  <c r="AC365" i="72"/>
  <c r="AB365" i="72"/>
  <c r="AA365" i="72"/>
  <c r="Z365" i="72"/>
  <c r="Y365" i="72"/>
  <c r="X365" i="72"/>
  <c r="W365" i="72"/>
  <c r="V365" i="72"/>
  <c r="U365" i="72"/>
  <c r="T365" i="72"/>
  <c r="S365" i="72"/>
  <c r="AM364" i="72"/>
  <c r="AL364" i="72"/>
  <c r="AK364" i="72"/>
  <c r="AJ364" i="72"/>
  <c r="AI364" i="72"/>
  <c r="AH364" i="72"/>
  <c r="AG364" i="72"/>
  <c r="AF364" i="72"/>
  <c r="AE364" i="72"/>
  <c r="AD364" i="72"/>
  <c r="AC364" i="72"/>
  <c r="AB364" i="72"/>
  <c r="AA364" i="72"/>
  <c r="Z364" i="72"/>
  <c r="Y364" i="72"/>
  <c r="X364" i="72"/>
  <c r="W364" i="72"/>
  <c r="V364" i="72"/>
  <c r="U364" i="72"/>
  <c r="T364" i="72"/>
  <c r="S364" i="72"/>
  <c r="AM363" i="72"/>
  <c r="AL363" i="72"/>
  <c r="AK363" i="72"/>
  <c r="AJ363" i="72"/>
  <c r="AI363" i="72"/>
  <c r="AH363" i="72"/>
  <c r="AG363" i="72"/>
  <c r="AF363" i="72"/>
  <c r="AE363" i="72"/>
  <c r="AD363" i="72"/>
  <c r="AC363" i="72"/>
  <c r="AB363" i="72"/>
  <c r="AA363" i="72"/>
  <c r="Z363" i="72"/>
  <c r="Y363" i="72"/>
  <c r="X363" i="72"/>
  <c r="W363" i="72"/>
  <c r="V363" i="72"/>
  <c r="U363" i="72"/>
  <c r="T363" i="72"/>
  <c r="S363" i="72"/>
  <c r="AM362" i="72"/>
  <c r="AL362" i="72"/>
  <c r="AK362" i="72"/>
  <c r="AJ362" i="72"/>
  <c r="AI362" i="72"/>
  <c r="AH362" i="72"/>
  <c r="AG362" i="72"/>
  <c r="AF362" i="72"/>
  <c r="AE362" i="72"/>
  <c r="AD362" i="72"/>
  <c r="AC362" i="72"/>
  <c r="AB362" i="72"/>
  <c r="AA362" i="72"/>
  <c r="Z362" i="72"/>
  <c r="Y362" i="72"/>
  <c r="X362" i="72"/>
  <c r="W362" i="72"/>
  <c r="V362" i="72"/>
  <c r="U362" i="72"/>
  <c r="T362" i="72"/>
  <c r="S362" i="72"/>
  <c r="AM361" i="72"/>
  <c r="AL361" i="72"/>
  <c r="AK361" i="72"/>
  <c r="AJ361" i="72"/>
  <c r="AI361" i="72"/>
  <c r="AH361" i="72"/>
  <c r="AG361" i="72"/>
  <c r="AF361" i="72"/>
  <c r="AE361" i="72"/>
  <c r="AD361" i="72"/>
  <c r="AC361" i="72"/>
  <c r="AB361" i="72"/>
  <c r="AA361" i="72"/>
  <c r="Z361" i="72"/>
  <c r="Y361" i="72"/>
  <c r="X361" i="72"/>
  <c r="W361" i="72"/>
  <c r="V361" i="72"/>
  <c r="U361" i="72"/>
  <c r="T361" i="72"/>
  <c r="S361" i="72"/>
  <c r="AM360" i="72"/>
  <c r="AL360" i="72"/>
  <c r="AK360" i="72"/>
  <c r="AJ360" i="72"/>
  <c r="AI360" i="72"/>
  <c r="AH360" i="72"/>
  <c r="AG360" i="72"/>
  <c r="AF360" i="72"/>
  <c r="AE360" i="72"/>
  <c r="AD360" i="72"/>
  <c r="AC360" i="72"/>
  <c r="AB360" i="72"/>
  <c r="AA360" i="72"/>
  <c r="Z360" i="72"/>
  <c r="Y360" i="72"/>
  <c r="X360" i="72"/>
  <c r="W360" i="72"/>
  <c r="V360" i="72"/>
  <c r="U360" i="72"/>
  <c r="T360" i="72"/>
  <c r="S360" i="72"/>
  <c r="AM359" i="72"/>
  <c r="AL359" i="72"/>
  <c r="AK359" i="72"/>
  <c r="AJ359" i="72"/>
  <c r="AI359" i="72"/>
  <c r="AH359" i="72"/>
  <c r="AG359" i="72"/>
  <c r="AF359" i="72"/>
  <c r="AE359" i="72"/>
  <c r="AD359" i="72"/>
  <c r="AC359" i="72"/>
  <c r="AB359" i="72"/>
  <c r="AA359" i="72"/>
  <c r="Z359" i="72"/>
  <c r="Y359" i="72"/>
  <c r="X359" i="72"/>
  <c r="W359" i="72"/>
  <c r="V359" i="72"/>
  <c r="U359" i="72"/>
  <c r="T359" i="72"/>
  <c r="S359" i="72"/>
  <c r="AM358" i="72"/>
  <c r="AL358" i="72"/>
  <c r="AK358" i="72"/>
  <c r="AJ358" i="72"/>
  <c r="AI358" i="72"/>
  <c r="AH358" i="72"/>
  <c r="AG358" i="72"/>
  <c r="AF358" i="72"/>
  <c r="AE358" i="72"/>
  <c r="AD358" i="72"/>
  <c r="AC358" i="72"/>
  <c r="AB358" i="72"/>
  <c r="AA358" i="72"/>
  <c r="Z358" i="72"/>
  <c r="Y358" i="72"/>
  <c r="X358" i="72"/>
  <c r="W358" i="72"/>
  <c r="V358" i="72"/>
  <c r="U358" i="72"/>
  <c r="T358" i="72"/>
  <c r="S358" i="72"/>
  <c r="AM357" i="72"/>
  <c r="AL357" i="72"/>
  <c r="AK357" i="72"/>
  <c r="AJ357" i="72"/>
  <c r="AI357" i="72"/>
  <c r="AH357" i="72"/>
  <c r="AG357" i="72"/>
  <c r="AF357" i="72"/>
  <c r="AE357" i="72"/>
  <c r="AD357" i="72"/>
  <c r="AC357" i="72"/>
  <c r="AB357" i="72"/>
  <c r="AA357" i="72"/>
  <c r="Z357" i="72"/>
  <c r="Y357" i="72"/>
  <c r="X357" i="72"/>
  <c r="W357" i="72"/>
  <c r="V357" i="72"/>
  <c r="U357" i="72"/>
  <c r="T357" i="72"/>
  <c r="S357" i="72"/>
  <c r="AM356" i="72"/>
  <c r="AL356" i="72"/>
  <c r="AK356" i="72"/>
  <c r="AJ356" i="72"/>
  <c r="AI356" i="72"/>
  <c r="AH356" i="72"/>
  <c r="AG356" i="72"/>
  <c r="AF356" i="72"/>
  <c r="AE356" i="72"/>
  <c r="AD356" i="72"/>
  <c r="AC356" i="72"/>
  <c r="AB356" i="72"/>
  <c r="AA356" i="72"/>
  <c r="Z356" i="72"/>
  <c r="Y356" i="72"/>
  <c r="X356" i="72"/>
  <c r="W356" i="72"/>
  <c r="V356" i="72"/>
  <c r="U356" i="72"/>
  <c r="T356" i="72"/>
  <c r="S356" i="72"/>
  <c r="AM355" i="72"/>
  <c r="AL355" i="72"/>
  <c r="AK355" i="72"/>
  <c r="AJ355" i="72"/>
  <c r="AI355" i="72"/>
  <c r="AH355" i="72"/>
  <c r="AG355" i="72"/>
  <c r="AF355" i="72"/>
  <c r="AE355" i="72"/>
  <c r="AD355" i="72"/>
  <c r="AC355" i="72"/>
  <c r="AB355" i="72"/>
  <c r="AA355" i="72"/>
  <c r="Z355" i="72"/>
  <c r="Y355" i="72"/>
  <c r="X355" i="72"/>
  <c r="W355" i="72"/>
  <c r="V355" i="72"/>
  <c r="U355" i="72"/>
  <c r="T355" i="72"/>
  <c r="S355" i="72"/>
  <c r="AM354" i="72"/>
  <c r="AL354" i="72"/>
  <c r="AK354" i="72"/>
  <c r="AJ354" i="72"/>
  <c r="AI354" i="72"/>
  <c r="AH354" i="72"/>
  <c r="AG354" i="72"/>
  <c r="AF354" i="72"/>
  <c r="AE354" i="72"/>
  <c r="AD354" i="72"/>
  <c r="AC354" i="72"/>
  <c r="AB354" i="72"/>
  <c r="AA354" i="72"/>
  <c r="Z354" i="72"/>
  <c r="Y354" i="72"/>
  <c r="X354" i="72"/>
  <c r="W354" i="72"/>
  <c r="V354" i="72"/>
  <c r="U354" i="72"/>
  <c r="T354" i="72"/>
  <c r="S354" i="72"/>
  <c r="AM353" i="72"/>
  <c r="AL353" i="72"/>
  <c r="AK353" i="72"/>
  <c r="AJ353" i="72"/>
  <c r="AI353" i="72"/>
  <c r="AH353" i="72"/>
  <c r="AG353" i="72"/>
  <c r="AF353" i="72"/>
  <c r="AE353" i="72"/>
  <c r="AD353" i="72"/>
  <c r="AC353" i="72"/>
  <c r="AB353" i="72"/>
  <c r="AA353" i="72"/>
  <c r="Z353" i="72"/>
  <c r="Y353" i="72"/>
  <c r="X353" i="72"/>
  <c r="W353" i="72"/>
  <c r="V353" i="72"/>
  <c r="U353" i="72"/>
  <c r="T353" i="72"/>
  <c r="S353" i="72"/>
  <c r="AM352" i="72"/>
  <c r="AL352" i="72"/>
  <c r="AK352" i="72"/>
  <c r="AJ352" i="72"/>
  <c r="AI352" i="72"/>
  <c r="AH352" i="72"/>
  <c r="AG352" i="72"/>
  <c r="AF352" i="72"/>
  <c r="AE352" i="72"/>
  <c r="AD352" i="72"/>
  <c r="AC352" i="72"/>
  <c r="AB352" i="72"/>
  <c r="AA352" i="72"/>
  <c r="Z352" i="72"/>
  <c r="Y352" i="72"/>
  <c r="X352" i="72"/>
  <c r="W352" i="72"/>
  <c r="V352" i="72"/>
  <c r="U352" i="72"/>
  <c r="T352" i="72"/>
  <c r="S352" i="72"/>
  <c r="AM351" i="72"/>
  <c r="AL351" i="72"/>
  <c r="AK351" i="72"/>
  <c r="AJ351" i="72"/>
  <c r="AI351" i="72"/>
  <c r="AH351" i="72"/>
  <c r="AG351" i="72"/>
  <c r="AF351" i="72"/>
  <c r="AE351" i="72"/>
  <c r="AD351" i="72"/>
  <c r="AC351" i="72"/>
  <c r="AB351" i="72"/>
  <c r="AA351" i="72"/>
  <c r="Z351" i="72"/>
  <c r="Y351" i="72"/>
  <c r="X351" i="72"/>
  <c r="W351" i="72"/>
  <c r="V351" i="72"/>
  <c r="U351" i="72"/>
  <c r="T351" i="72"/>
  <c r="S351" i="72"/>
  <c r="AM350" i="72"/>
  <c r="AL350" i="72"/>
  <c r="AK350" i="72"/>
  <c r="AJ350" i="72"/>
  <c r="AI350" i="72"/>
  <c r="AH350" i="72"/>
  <c r="AG350" i="72"/>
  <c r="AF350" i="72"/>
  <c r="AE350" i="72"/>
  <c r="AD350" i="72"/>
  <c r="AC350" i="72"/>
  <c r="AB350" i="72"/>
  <c r="AA350" i="72"/>
  <c r="Z350" i="72"/>
  <c r="Y350" i="72"/>
  <c r="X350" i="72"/>
  <c r="W350" i="72"/>
  <c r="V350" i="72"/>
  <c r="U350" i="72"/>
  <c r="T350" i="72"/>
  <c r="S350" i="72"/>
  <c r="AM349" i="72"/>
  <c r="AL349" i="72"/>
  <c r="AK349" i="72"/>
  <c r="AJ349" i="72"/>
  <c r="AI349" i="72"/>
  <c r="AH349" i="72"/>
  <c r="AG349" i="72"/>
  <c r="AF349" i="72"/>
  <c r="AE349" i="72"/>
  <c r="AD349" i="72"/>
  <c r="AC349" i="72"/>
  <c r="AB349" i="72"/>
  <c r="AA349" i="72"/>
  <c r="Z349" i="72"/>
  <c r="Y349" i="72"/>
  <c r="X349" i="72"/>
  <c r="W349" i="72"/>
  <c r="V349" i="72"/>
  <c r="U349" i="72"/>
  <c r="T349" i="72"/>
  <c r="S349" i="72"/>
  <c r="AM348" i="72"/>
  <c r="AL348" i="72"/>
  <c r="AK348" i="72"/>
  <c r="AJ348" i="72"/>
  <c r="AI348" i="72"/>
  <c r="AH348" i="72"/>
  <c r="AG348" i="72"/>
  <c r="AF348" i="72"/>
  <c r="AE348" i="72"/>
  <c r="AD348" i="72"/>
  <c r="AC348" i="72"/>
  <c r="AB348" i="72"/>
  <c r="AA348" i="72"/>
  <c r="Z348" i="72"/>
  <c r="Y348" i="72"/>
  <c r="X348" i="72"/>
  <c r="W348" i="72"/>
  <c r="V348" i="72"/>
  <c r="U348" i="72"/>
  <c r="T348" i="72"/>
  <c r="S348" i="72"/>
  <c r="AM347" i="72"/>
  <c r="AL347" i="72"/>
  <c r="AK347" i="72"/>
  <c r="AJ347" i="72"/>
  <c r="AI347" i="72"/>
  <c r="AH347" i="72"/>
  <c r="AG347" i="72"/>
  <c r="AF347" i="72"/>
  <c r="AE347" i="72"/>
  <c r="AD347" i="72"/>
  <c r="AC347" i="72"/>
  <c r="AB347" i="72"/>
  <c r="AA347" i="72"/>
  <c r="Z347" i="72"/>
  <c r="Y347" i="72"/>
  <c r="X347" i="72"/>
  <c r="W347" i="72"/>
  <c r="V347" i="72"/>
  <c r="U347" i="72"/>
  <c r="T347" i="72"/>
  <c r="S347" i="72"/>
  <c r="AM346" i="72"/>
  <c r="AL346" i="72"/>
  <c r="AK346" i="72"/>
  <c r="AJ346" i="72"/>
  <c r="AI346" i="72"/>
  <c r="AH346" i="72"/>
  <c r="AG346" i="72"/>
  <c r="AF346" i="72"/>
  <c r="AE346" i="72"/>
  <c r="AD346" i="72"/>
  <c r="AC346" i="72"/>
  <c r="AB346" i="72"/>
  <c r="AA346" i="72"/>
  <c r="Z346" i="72"/>
  <c r="Y346" i="72"/>
  <c r="X346" i="72"/>
  <c r="W346" i="72"/>
  <c r="V346" i="72"/>
  <c r="U346" i="72"/>
  <c r="T346" i="72"/>
  <c r="S346" i="72"/>
  <c r="AM345" i="72"/>
  <c r="AL345" i="72"/>
  <c r="AK345" i="72"/>
  <c r="AJ345" i="72"/>
  <c r="AI345" i="72"/>
  <c r="AH345" i="72"/>
  <c r="AG345" i="72"/>
  <c r="AF345" i="72"/>
  <c r="AE345" i="72"/>
  <c r="AD345" i="72"/>
  <c r="AC345" i="72"/>
  <c r="AB345" i="72"/>
  <c r="AA345" i="72"/>
  <c r="Z345" i="72"/>
  <c r="Y345" i="72"/>
  <c r="X345" i="72"/>
  <c r="W345" i="72"/>
  <c r="V345" i="72"/>
  <c r="U345" i="72"/>
  <c r="T345" i="72"/>
  <c r="S345" i="72"/>
  <c r="AM344" i="72"/>
  <c r="AL344" i="72"/>
  <c r="AK344" i="72"/>
  <c r="AJ344" i="72"/>
  <c r="AI344" i="72"/>
  <c r="AH344" i="72"/>
  <c r="AG344" i="72"/>
  <c r="AF344" i="72"/>
  <c r="AE344" i="72"/>
  <c r="AD344" i="72"/>
  <c r="AC344" i="72"/>
  <c r="AB344" i="72"/>
  <c r="AA344" i="72"/>
  <c r="Z344" i="72"/>
  <c r="Y344" i="72"/>
  <c r="X344" i="72"/>
  <c r="W344" i="72"/>
  <c r="V344" i="72"/>
  <c r="U344" i="72"/>
  <c r="T344" i="72"/>
  <c r="S344" i="72"/>
  <c r="AM343" i="72"/>
  <c r="AL343" i="72"/>
  <c r="AK343" i="72"/>
  <c r="AJ343" i="72"/>
  <c r="AI343" i="72"/>
  <c r="AH343" i="72"/>
  <c r="AG343" i="72"/>
  <c r="AF343" i="72"/>
  <c r="AE343" i="72"/>
  <c r="AD343" i="72"/>
  <c r="AC343" i="72"/>
  <c r="AB343" i="72"/>
  <c r="AA343" i="72"/>
  <c r="Z343" i="72"/>
  <c r="Y343" i="72"/>
  <c r="X343" i="72"/>
  <c r="W343" i="72"/>
  <c r="V343" i="72"/>
  <c r="U343" i="72"/>
  <c r="T343" i="72"/>
  <c r="S343" i="72"/>
  <c r="AM342" i="72"/>
  <c r="AL342" i="72"/>
  <c r="AK342" i="72"/>
  <c r="AJ342" i="72"/>
  <c r="AI342" i="72"/>
  <c r="AH342" i="72"/>
  <c r="AG342" i="72"/>
  <c r="AR342" i="72" s="1"/>
  <c r="AF342" i="72"/>
  <c r="AE342" i="72"/>
  <c r="AD342" i="72"/>
  <c r="AC342" i="72"/>
  <c r="AB342" i="72"/>
  <c r="AA342" i="72"/>
  <c r="Z342" i="72"/>
  <c r="Y342" i="72"/>
  <c r="X342" i="72"/>
  <c r="W342" i="72"/>
  <c r="V342" i="72"/>
  <c r="U342" i="72"/>
  <c r="T342" i="72"/>
  <c r="S342" i="72"/>
  <c r="AM341" i="72"/>
  <c r="AL341" i="72"/>
  <c r="AK341" i="72"/>
  <c r="AJ341" i="72"/>
  <c r="AI341" i="72"/>
  <c r="AH341" i="72"/>
  <c r="AG341" i="72"/>
  <c r="AF341" i="72"/>
  <c r="AE341" i="72"/>
  <c r="AD341" i="72"/>
  <c r="AC341" i="72"/>
  <c r="AB341" i="72"/>
  <c r="AA341" i="72"/>
  <c r="Z341" i="72"/>
  <c r="Y341" i="72"/>
  <c r="X341" i="72"/>
  <c r="W341" i="72"/>
  <c r="V341" i="72"/>
  <c r="U341" i="72"/>
  <c r="T341" i="72"/>
  <c r="S341" i="72"/>
  <c r="AM340" i="72"/>
  <c r="AL340" i="72"/>
  <c r="AK340" i="72"/>
  <c r="AJ340" i="72"/>
  <c r="AI340" i="72"/>
  <c r="AH340" i="72"/>
  <c r="AG340" i="72"/>
  <c r="AF340" i="72"/>
  <c r="AE340" i="72"/>
  <c r="AD340" i="72"/>
  <c r="AC340" i="72"/>
  <c r="AB340" i="72"/>
  <c r="AA340" i="72"/>
  <c r="Z340" i="72"/>
  <c r="Y340" i="72"/>
  <c r="X340" i="72"/>
  <c r="W340" i="72"/>
  <c r="V340" i="72"/>
  <c r="U340" i="72"/>
  <c r="T340" i="72"/>
  <c r="S340" i="72"/>
  <c r="AM339" i="72"/>
  <c r="AL339" i="72"/>
  <c r="AK339" i="72"/>
  <c r="AJ339" i="72"/>
  <c r="AI339" i="72"/>
  <c r="AH339" i="72"/>
  <c r="AG339" i="72"/>
  <c r="AF339" i="72"/>
  <c r="AE339" i="72"/>
  <c r="AD339" i="72"/>
  <c r="AC339" i="72"/>
  <c r="AB339" i="72"/>
  <c r="AA339" i="72"/>
  <c r="Z339" i="72"/>
  <c r="Y339" i="72"/>
  <c r="X339" i="72"/>
  <c r="W339" i="72"/>
  <c r="V339" i="72"/>
  <c r="U339" i="72"/>
  <c r="T339" i="72"/>
  <c r="S339" i="72"/>
  <c r="AM338" i="72"/>
  <c r="AL338" i="72"/>
  <c r="AK338" i="72"/>
  <c r="AJ338" i="72"/>
  <c r="AI338" i="72"/>
  <c r="AH338" i="72"/>
  <c r="AG338" i="72"/>
  <c r="AF338" i="72"/>
  <c r="AE338" i="72"/>
  <c r="AD338" i="72"/>
  <c r="AC338" i="72"/>
  <c r="AB338" i="72"/>
  <c r="AA338" i="72"/>
  <c r="Z338" i="72"/>
  <c r="Y338" i="72"/>
  <c r="X338" i="72"/>
  <c r="W338" i="72"/>
  <c r="V338" i="72"/>
  <c r="U338" i="72"/>
  <c r="T338" i="72"/>
  <c r="S338" i="72"/>
  <c r="AM337" i="72"/>
  <c r="AL337" i="72"/>
  <c r="AK337" i="72"/>
  <c r="AJ337" i="72"/>
  <c r="AI337" i="72"/>
  <c r="AH337" i="72"/>
  <c r="AG337" i="72"/>
  <c r="AF337" i="72"/>
  <c r="AE337" i="72"/>
  <c r="AD337" i="72"/>
  <c r="AC337" i="72"/>
  <c r="AB337" i="72"/>
  <c r="AA337" i="72"/>
  <c r="Z337" i="72"/>
  <c r="Y337" i="72"/>
  <c r="X337" i="72"/>
  <c r="W337" i="72"/>
  <c r="V337" i="72"/>
  <c r="U337" i="72"/>
  <c r="T337" i="72"/>
  <c r="S337" i="72"/>
  <c r="AM336" i="72"/>
  <c r="AL336" i="72"/>
  <c r="AK336" i="72"/>
  <c r="AJ336" i="72"/>
  <c r="AI336" i="72"/>
  <c r="AH336" i="72"/>
  <c r="AG336" i="72"/>
  <c r="AF336" i="72"/>
  <c r="AE336" i="72"/>
  <c r="AD336" i="72"/>
  <c r="AC336" i="72"/>
  <c r="AB336" i="72"/>
  <c r="AA336" i="72"/>
  <c r="Z336" i="72"/>
  <c r="Y336" i="72"/>
  <c r="X336" i="72"/>
  <c r="W336" i="72"/>
  <c r="V336" i="72"/>
  <c r="U336" i="72"/>
  <c r="T336" i="72"/>
  <c r="S336" i="72"/>
  <c r="AM335" i="72"/>
  <c r="AL335" i="72"/>
  <c r="AK335" i="72"/>
  <c r="AJ335" i="72"/>
  <c r="AI335" i="72"/>
  <c r="AH335" i="72"/>
  <c r="AG335" i="72"/>
  <c r="AF335" i="72"/>
  <c r="AE335" i="72"/>
  <c r="AD335" i="72"/>
  <c r="AC335" i="72"/>
  <c r="AB335" i="72"/>
  <c r="AA335" i="72"/>
  <c r="Z335" i="72"/>
  <c r="Y335" i="72"/>
  <c r="X335" i="72"/>
  <c r="W335" i="72"/>
  <c r="V335" i="72"/>
  <c r="U335" i="72"/>
  <c r="T335" i="72"/>
  <c r="S335" i="72"/>
  <c r="AM334" i="72"/>
  <c r="AL334" i="72"/>
  <c r="AK334" i="72"/>
  <c r="AJ334" i="72"/>
  <c r="AI334" i="72"/>
  <c r="AH334" i="72"/>
  <c r="AG334" i="72"/>
  <c r="AF334" i="72"/>
  <c r="AE334" i="72"/>
  <c r="AD334" i="72"/>
  <c r="AC334" i="72"/>
  <c r="AB334" i="72"/>
  <c r="AA334" i="72"/>
  <c r="Z334" i="72"/>
  <c r="Y334" i="72"/>
  <c r="X334" i="72"/>
  <c r="W334" i="72"/>
  <c r="V334" i="72"/>
  <c r="U334" i="72"/>
  <c r="T334" i="72"/>
  <c r="S334" i="72"/>
  <c r="AM333" i="72"/>
  <c r="AL333" i="72"/>
  <c r="AK333" i="72"/>
  <c r="AJ333" i="72"/>
  <c r="AI333" i="72"/>
  <c r="AH333" i="72"/>
  <c r="AG333" i="72"/>
  <c r="AF333" i="72"/>
  <c r="AE333" i="72"/>
  <c r="AD333" i="72"/>
  <c r="AC333" i="72"/>
  <c r="AB333" i="72"/>
  <c r="AA333" i="72"/>
  <c r="Z333" i="72"/>
  <c r="Y333" i="72"/>
  <c r="X333" i="72"/>
  <c r="W333" i="72"/>
  <c r="V333" i="72"/>
  <c r="U333" i="72"/>
  <c r="T333" i="72"/>
  <c r="S333" i="72"/>
  <c r="AM332" i="72"/>
  <c r="AL332" i="72"/>
  <c r="AK332" i="72"/>
  <c r="AJ332" i="72"/>
  <c r="AI332" i="72"/>
  <c r="AH332" i="72"/>
  <c r="AG332" i="72"/>
  <c r="AF332" i="72"/>
  <c r="AE332" i="72"/>
  <c r="AD332" i="72"/>
  <c r="AC332" i="72"/>
  <c r="AB332" i="72"/>
  <c r="AA332" i="72"/>
  <c r="Z332" i="72"/>
  <c r="Y332" i="72"/>
  <c r="X332" i="72"/>
  <c r="W332" i="72"/>
  <c r="V332" i="72"/>
  <c r="U332" i="72"/>
  <c r="T332" i="72"/>
  <c r="S332" i="72"/>
  <c r="AM331" i="72"/>
  <c r="AL331" i="72"/>
  <c r="AK331" i="72"/>
  <c r="AJ331" i="72"/>
  <c r="AI331" i="72"/>
  <c r="AH331" i="72"/>
  <c r="AG331" i="72"/>
  <c r="AF331" i="72"/>
  <c r="AE331" i="72"/>
  <c r="AD331" i="72"/>
  <c r="AC331" i="72"/>
  <c r="AB331" i="72"/>
  <c r="AA331" i="72"/>
  <c r="Z331" i="72"/>
  <c r="Y331" i="72"/>
  <c r="X331" i="72"/>
  <c r="W331" i="72"/>
  <c r="V331" i="72"/>
  <c r="U331" i="72"/>
  <c r="T331" i="72"/>
  <c r="S331" i="72"/>
  <c r="AM330" i="72"/>
  <c r="AL330" i="72"/>
  <c r="AK330" i="72"/>
  <c r="AJ330" i="72"/>
  <c r="AI330" i="72"/>
  <c r="AH330" i="72"/>
  <c r="AG330" i="72"/>
  <c r="AF330" i="72"/>
  <c r="AE330" i="72"/>
  <c r="AD330" i="72"/>
  <c r="AC330" i="72"/>
  <c r="AB330" i="72"/>
  <c r="AA330" i="72"/>
  <c r="Z330" i="72"/>
  <c r="Y330" i="72"/>
  <c r="X330" i="72"/>
  <c r="W330" i="72"/>
  <c r="V330" i="72"/>
  <c r="U330" i="72"/>
  <c r="T330" i="72"/>
  <c r="S330" i="72"/>
  <c r="AM329" i="72"/>
  <c r="AL329" i="72"/>
  <c r="AK329" i="72"/>
  <c r="AJ329" i="72"/>
  <c r="AI329" i="72"/>
  <c r="AH329" i="72"/>
  <c r="AG329" i="72"/>
  <c r="AF329" i="72"/>
  <c r="AE329" i="72"/>
  <c r="AD329" i="72"/>
  <c r="AC329" i="72"/>
  <c r="AB329" i="72"/>
  <c r="AA329" i="72"/>
  <c r="Z329" i="72"/>
  <c r="Y329" i="72"/>
  <c r="X329" i="72"/>
  <c r="W329" i="72"/>
  <c r="V329" i="72"/>
  <c r="U329" i="72"/>
  <c r="T329" i="72"/>
  <c r="S329" i="72"/>
  <c r="AM328" i="72"/>
  <c r="AL328" i="72"/>
  <c r="AK328" i="72"/>
  <c r="AJ328" i="72"/>
  <c r="AI328" i="72"/>
  <c r="AH328" i="72"/>
  <c r="AG328" i="72"/>
  <c r="AF328" i="72"/>
  <c r="AE328" i="72"/>
  <c r="AD328" i="72"/>
  <c r="AC328" i="72"/>
  <c r="AB328" i="72"/>
  <c r="AA328" i="72"/>
  <c r="Z328" i="72"/>
  <c r="Y328" i="72"/>
  <c r="X328" i="72"/>
  <c r="W328" i="72"/>
  <c r="V328" i="72"/>
  <c r="U328" i="72"/>
  <c r="T328" i="72"/>
  <c r="S328" i="72"/>
  <c r="AM327" i="72"/>
  <c r="AL327" i="72"/>
  <c r="AK327" i="72"/>
  <c r="AJ327" i="72"/>
  <c r="AI327" i="72"/>
  <c r="AH327" i="72"/>
  <c r="AG327" i="72"/>
  <c r="AF327" i="72"/>
  <c r="AE327" i="72"/>
  <c r="AD327" i="72"/>
  <c r="AC327" i="72"/>
  <c r="AB327" i="72"/>
  <c r="AA327" i="72"/>
  <c r="Z327" i="72"/>
  <c r="Y327" i="72"/>
  <c r="X327" i="72"/>
  <c r="W327" i="72"/>
  <c r="V327" i="72"/>
  <c r="U327" i="72"/>
  <c r="T327" i="72"/>
  <c r="S327" i="72"/>
  <c r="AM326" i="72"/>
  <c r="AL326" i="72"/>
  <c r="AK326" i="72"/>
  <c r="AJ326" i="72"/>
  <c r="AI326" i="72"/>
  <c r="AH326" i="72"/>
  <c r="AG326" i="72"/>
  <c r="AF326" i="72"/>
  <c r="AE326" i="72"/>
  <c r="AD326" i="72"/>
  <c r="AC326" i="72"/>
  <c r="AB326" i="72"/>
  <c r="AA326" i="72"/>
  <c r="Z326" i="72"/>
  <c r="Y326" i="72"/>
  <c r="X326" i="72"/>
  <c r="W326" i="72"/>
  <c r="V326" i="72"/>
  <c r="U326" i="72"/>
  <c r="T326" i="72"/>
  <c r="S326" i="72"/>
  <c r="AM325" i="72"/>
  <c r="AL325" i="72"/>
  <c r="AK325" i="72"/>
  <c r="AJ325" i="72"/>
  <c r="AI325" i="72"/>
  <c r="AH325" i="72"/>
  <c r="AG325" i="72"/>
  <c r="AF325" i="72"/>
  <c r="AE325" i="72"/>
  <c r="AD325" i="72"/>
  <c r="AC325" i="72"/>
  <c r="AB325" i="72"/>
  <c r="AA325" i="72"/>
  <c r="Z325" i="72"/>
  <c r="Y325" i="72"/>
  <c r="X325" i="72"/>
  <c r="W325" i="72"/>
  <c r="V325" i="72"/>
  <c r="U325" i="72"/>
  <c r="T325" i="72"/>
  <c r="S325" i="72"/>
  <c r="AM324" i="72"/>
  <c r="AL324" i="72"/>
  <c r="AK324" i="72"/>
  <c r="AJ324" i="72"/>
  <c r="AI324" i="72"/>
  <c r="AH324" i="72"/>
  <c r="AG324" i="72"/>
  <c r="AF324" i="72"/>
  <c r="AE324" i="72"/>
  <c r="AD324" i="72"/>
  <c r="AC324" i="72"/>
  <c r="AB324" i="72"/>
  <c r="AA324" i="72"/>
  <c r="Z324" i="72"/>
  <c r="Y324" i="72"/>
  <c r="X324" i="72"/>
  <c r="W324" i="72"/>
  <c r="V324" i="72"/>
  <c r="U324" i="72"/>
  <c r="T324" i="72"/>
  <c r="S324" i="72"/>
  <c r="AM323" i="72"/>
  <c r="AL323" i="72"/>
  <c r="AK323" i="72"/>
  <c r="AJ323" i="72"/>
  <c r="AI323" i="72"/>
  <c r="AH323" i="72"/>
  <c r="AG323" i="72"/>
  <c r="AF323" i="72"/>
  <c r="AE323" i="72"/>
  <c r="AD323" i="72"/>
  <c r="AC323" i="72"/>
  <c r="AB323" i="72"/>
  <c r="AA323" i="72"/>
  <c r="Z323" i="72"/>
  <c r="Y323" i="72"/>
  <c r="X323" i="72"/>
  <c r="W323" i="72"/>
  <c r="V323" i="72"/>
  <c r="U323" i="72"/>
  <c r="T323" i="72"/>
  <c r="S323" i="72"/>
  <c r="AM322" i="72"/>
  <c r="AL322" i="72"/>
  <c r="AK322" i="72"/>
  <c r="AJ322" i="72"/>
  <c r="AI322" i="72"/>
  <c r="AH322" i="72"/>
  <c r="AG322" i="72"/>
  <c r="AF322" i="72"/>
  <c r="AE322" i="72"/>
  <c r="AD322" i="72"/>
  <c r="AC322" i="72"/>
  <c r="AB322" i="72"/>
  <c r="AA322" i="72"/>
  <c r="Z322" i="72"/>
  <c r="Y322" i="72"/>
  <c r="X322" i="72"/>
  <c r="W322" i="72"/>
  <c r="V322" i="72"/>
  <c r="U322" i="72"/>
  <c r="T322" i="72"/>
  <c r="S322" i="72"/>
  <c r="AM321" i="72"/>
  <c r="AL321" i="72"/>
  <c r="AK321" i="72"/>
  <c r="AJ321" i="72"/>
  <c r="AI321" i="72"/>
  <c r="AH321" i="72"/>
  <c r="AG321" i="72"/>
  <c r="AF321" i="72"/>
  <c r="AE321" i="72"/>
  <c r="AD321" i="72"/>
  <c r="AC321" i="72"/>
  <c r="AB321" i="72"/>
  <c r="AA321" i="72"/>
  <c r="Z321" i="72"/>
  <c r="Y321" i="72"/>
  <c r="X321" i="72"/>
  <c r="W321" i="72"/>
  <c r="V321" i="72"/>
  <c r="U321" i="72"/>
  <c r="T321" i="72"/>
  <c r="S321" i="72"/>
  <c r="AM320" i="72"/>
  <c r="AL320" i="72"/>
  <c r="AK320" i="72"/>
  <c r="AJ320" i="72"/>
  <c r="AI320" i="72"/>
  <c r="AH320" i="72"/>
  <c r="AG320" i="72"/>
  <c r="AF320" i="72"/>
  <c r="AE320" i="72"/>
  <c r="AD320" i="72"/>
  <c r="AC320" i="72"/>
  <c r="AB320" i="72"/>
  <c r="AA320" i="72"/>
  <c r="Z320" i="72"/>
  <c r="Y320" i="72"/>
  <c r="X320" i="72"/>
  <c r="W320" i="72"/>
  <c r="V320" i="72"/>
  <c r="U320" i="72"/>
  <c r="T320" i="72"/>
  <c r="S320" i="72"/>
  <c r="AM319" i="72"/>
  <c r="AL319" i="72"/>
  <c r="AK319" i="72"/>
  <c r="AJ319" i="72"/>
  <c r="AI319" i="72"/>
  <c r="AH319" i="72"/>
  <c r="AG319" i="72"/>
  <c r="AF319" i="72"/>
  <c r="AE319" i="72"/>
  <c r="AD319" i="72"/>
  <c r="AC319" i="72"/>
  <c r="AB319" i="72"/>
  <c r="AA319" i="72"/>
  <c r="Z319" i="72"/>
  <c r="Y319" i="72"/>
  <c r="X319" i="72"/>
  <c r="W319" i="72"/>
  <c r="V319" i="72"/>
  <c r="U319" i="72"/>
  <c r="T319" i="72"/>
  <c r="S319" i="72"/>
  <c r="AM318" i="72"/>
  <c r="AL318" i="72"/>
  <c r="AK318" i="72"/>
  <c r="AJ318" i="72"/>
  <c r="AI318" i="72"/>
  <c r="AH318" i="72"/>
  <c r="AG318" i="72"/>
  <c r="AF318" i="72"/>
  <c r="AE318" i="72"/>
  <c r="AD318" i="72"/>
  <c r="AC318" i="72"/>
  <c r="AB318" i="72"/>
  <c r="AA318" i="72"/>
  <c r="Z318" i="72"/>
  <c r="Y318" i="72"/>
  <c r="X318" i="72"/>
  <c r="W318" i="72"/>
  <c r="V318" i="72"/>
  <c r="U318" i="72"/>
  <c r="T318" i="72"/>
  <c r="S318" i="72"/>
  <c r="AM317" i="72"/>
  <c r="AL317" i="72"/>
  <c r="AK317" i="72"/>
  <c r="AJ317" i="72"/>
  <c r="AI317" i="72"/>
  <c r="AH317" i="72"/>
  <c r="AG317" i="72"/>
  <c r="AF317" i="72"/>
  <c r="AE317" i="72"/>
  <c r="AD317" i="72"/>
  <c r="AC317" i="72"/>
  <c r="AB317" i="72"/>
  <c r="AA317" i="72"/>
  <c r="Z317" i="72"/>
  <c r="Y317" i="72"/>
  <c r="X317" i="72"/>
  <c r="W317" i="72"/>
  <c r="V317" i="72"/>
  <c r="U317" i="72"/>
  <c r="T317" i="72"/>
  <c r="S317" i="72"/>
  <c r="AM316" i="72"/>
  <c r="AL316" i="72"/>
  <c r="AK316" i="72"/>
  <c r="AJ316" i="72"/>
  <c r="AI316" i="72"/>
  <c r="AH316" i="72"/>
  <c r="AG316" i="72"/>
  <c r="AF316" i="72"/>
  <c r="AE316" i="72"/>
  <c r="AD316" i="72"/>
  <c r="AC316" i="72"/>
  <c r="AB316" i="72"/>
  <c r="AA316" i="72"/>
  <c r="Z316" i="72"/>
  <c r="Y316" i="72"/>
  <c r="X316" i="72"/>
  <c r="W316" i="72"/>
  <c r="V316" i="72"/>
  <c r="U316" i="72"/>
  <c r="T316" i="72"/>
  <c r="S316" i="72"/>
  <c r="AM315" i="72"/>
  <c r="AL315" i="72"/>
  <c r="AK315" i="72"/>
  <c r="AJ315" i="72"/>
  <c r="AI315" i="72"/>
  <c r="AH315" i="72"/>
  <c r="AG315" i="72"/>
  <c r="AF315" i="72"/>
  <c r="AE315" i="72"/>
  <c r="AD315" i="72"/>
  <c r="AC315" i="72"/>
  <c r="AB315" i="72"/>
  <c r="AA315" i="72"/>
  <c r="Z315" i="72"/>
  <c r="Y315" i="72"/>
  <c r="X315" i="72"/>
  <c r="W315" i="72"/>
  <c r="V315" i="72"/>
  <c r="U315" i="72"/>
  <c r="T315" i="72"/>
  <c r="S315" i="72"/>
  <c r="AM314" i="72"/>
  <c r="AL314" i="72"/>
  <c r="AK314" i="72"/>
  <c r="AJ314" i="72"/>
  <c r="AI314" i="72"/>
  <c r="AH314" i="72"/>
  <c r="AG314" i="72"/>
  <c r="AF314" i="72"/>
  <c r="AE314" i="72"/>
  <c r="AD314" i="72"/>
  <c r="AC314" i="72"/>
  <c r="AB314" i="72"/>
  <c r="AA314" i="72"/>
  <c r="Z314" i="72"/>
  <c r="Y314" i="72"/>
  <c r="X314" i="72"/>
  <c r="W314" i="72"/>
  <c r="V314" i="72"/>
  <c r="U314" i="72"/>
  <c r="T314" i="72"/>
  <c r="S314" i="72"/>
  <c r="AM313" i="72"/>
  <c r="AL313" i="72"/>
  <c r="AK313" i="72"/>
  <c r="AJ313" i="72"/>
  <c r="AI313" i="72"/>
  <c r="AH313" i="72"/>
  <c r="AG313" i="72"/>
  <c r="AF313" i="72"/>
  <c r="AE313" i="72"/>
  <c r="AD313" i="72"/>
  <c r="AC313" i="72"/>
  <c r="AB313" i="72"/>
  <c r="AA313" i="72"/>
  <c r="AN313" i="72" s="1"/>
  <c r="Z313" i="72"/>
  <c r="Y313" i="72"/>
  <c r="X313" i="72"/>
  <c r="W313" i="72"/>
  <c r="V313" i="72"/>
  <c r="U313" i="72"/>
  <c r="T313" i="72"/>
  <c r="S313" i="72"/>
  <c r="AM312" i="72"/>
  <c r="AL312" i="72"/>
  <c r="AK312" i="72"/>
  <c r="AJ312" i="72"/>
  <c r="AI312" i="72"/>
  <c r="AH312" i="72"/>
  <c r="AG312" i="72"/>
  <c r="AF312" i="72"/>
  <c r="AE312" i="72"/>
  <c r="AD312" i="72"/>
  <c r="AC312" i="72"/>
  <c r="AB312" i="72"/>
  <c r="AA312" i="72"/>
  <c r="Z312" i="72"/>
  <c r="Y312" i="72"/>
  <c r="X312" i="72"/>
  <c r="W312" i="72"/>
  <c r="V312" i="72"/>
  <c r="U312" i="72"/>
  <c r="T312" i="72"/>
  <c r="S312" i="72"/>
  <c r="AM311" i="72"/>
  <c r="AL311" i="72"/>
  <c r="AK311" i="72"/>
  <c r="AJ311" i="72"/>
  <c r="AI311" i="72"/>
  <c r="AH311" i="72"/>
  <c r="AG311" i="72"/>
  <c r="AF311" i="72"/>
  <c r="AE311" i="72"/>
  <c r="AD311" i="72"/>
  <c r="AC311" i="72"/>
  <c r="AB311" i="72"/>
  <c r="AA311" i="72"/>
  <c r="Z311" i="72"/>
  <c r="Y311" i="72"/>
  <c r="X311" i="72"/>
  <c r="W311" i="72"/>
  <c r="V311" i="72"/>
  <c r="U311" i="72"/>
  <c r="T311" i="72"/>
  <c r="S311" i="72"/>
  <c r="AM310" i="72"/>
  <c r="AL310" i="72"/>
  <c r="AK310" i="72"/>
  <c r="AJ310" i="72"/>
  <c r="AI310" i="72"/>
  <c r="AH310" i="72"/>
  <c r="AG310" i="72"/>
  <c r="AF310" i="72"/>
  <c r="AE310" i="72"/>
  <c r="AD310" i="72"/>
  <c r="AC310" i="72"/>
  <c r="AB310" i="72"/>
  <c r="AA310" i="72"/>
  <c r="Z310" i="72"/>
  <c r="Y310" i="72"/>
  <c r="X310" i="72"/>
  <c r="W310" i="72"/>
  <c r="V310" i="72"/>
  <c r="U310" i="72"/>
  <c r="T310" i="72"/>
  <c r="S310" i="72"/>
  <c r="AM309" i="72"/>
  <c r="AL309" i="72"/>
  <c r="AK309" i="72"/>
  <c r="AJ309" i="72"/>
  <c r="AI309" i="72"/>
  <c r="AH309" i="72"/>
  <c r="AG309" i="72"/>
  <c r="AF309" i="72"/>
  <c r="AE309" i="72"/>
  <c r="AD309" i="72"/>
  <c r="AC309" i="72"/>
  <c r="AB309" i="72"/>
  <c r="AA309" i="72"/>
  <c r="Z309" i="72"/>
  <c r="Y309" i="72"/>
  <c r="X309" i="72"/>
  <c r="W309" i="72"/>
  <c r="V309" i="72"/>
  <c r="U309" i="72"/>
  <c r="T309" i="72"/>
  <c r="S309" i="72"/>
  <c r="AM308" i="72"/>
  <c r="AL308" i="72"/>
  <c r="AK308" i="72"/>
  <c r="AJ308" i="72"/>
  <c r="AI308" i="72"/>
  <c r="AH308" i="72"/>
  <c r="AG308" i="72"/>
  <c r="AF308" i="72"/>
  <c r="AE308" i="72"/>
  <c r="AD308" i="72"/>
  <c r="AC308" i="72"/>
  <c r="AB308" i="72"/>
  <c r="AA308" i="72"/>
  <c r="Z308" i="72"/>
  <c r="Y308" i="72"/>
  <c r="X308" i="72"/>
  <c r="W308" i="72"/>
  <c r="V308" i="72"/>
  <c r="U308" i="72"/>
  <c r="T308" i="72"/>
  <c r="S308" i="72"/>
  <c r="AM307" i="72"/>
  <c r="AL307" i="72"/>
  <c r="AK307" i="72"/>
  <c r="AJ307" i="72"/>
  <c r="AI307" i="72"/>
  <c r="AH307" i="72"/>
  <c r="AG307" i="72"/>
  <c r="AF307" i="72"/>
  <c r="AE307" i="72"/>
  <c r="AD307" i="72"/>
  <c r="AC307" i="72"/>
  <c r="AB307" i="72"/>
  <c r="AA307" i="72"/>
  <c r="Z307" i="72"/>
  <c r="Y307" i="72"/>
  <c r="X307" i="72"/>
  <c r="W307" i="72"/>
  <c r="V307" i="72"/>
  <c r="U307" i="72"/>
  <c r="T307" i="72"/>
  <c r="S307" i="72"/>
  <c r="AM306" i="72"/>
  <c r="AL306" i="72"/>
  <c r="AK306" i="72"/>
  <c r="AJ306" i="72"/>
  <c r="AI306" i="72"/>
  <c r="AH306" i="72"/>
  <c r="AG306" i="72"/>
  <c r="AF306" i="72"/>
  <c r="AE306" i="72"/>
  <c r="AD306" i="72"/>
  <c r="AC306" i="72"/>
  <c r="AB306" i="72"/>
  <c r="AA306" i="72"/>
  <c r="Z306" i="72"/>
  <c r="Y306" i="72"/>
  <c r="X306" i="72"/>
  <c r="W306" i="72"/>
  <c r="V306" i="72"/>
  <c r="U306" i="72"/>
  <c r="T306" i="72"/>
  <c r="S306" i="72"/>
  <c r="AM305" i="72"/>
  <c r="AL305" i="72"/>
  <c r="AK305" i="72"/>
  <c r="AJ305" i="72"/>
  <c r="AI305" i="72"/>
  <c r="AH305" i="72"/>
  <c r="AG305" i="72"/>
  <c r="AF305" i="72"/>
  <c r="AE305" i="72"/>
  <c r="AD305" i="72"/>
  <c r="AC305" i="72"/>
  <c r="AB305" i="72"/>
  <c r="AA305" i="72"/>
  <c r="Z305" i="72"/>
  <c r="Y305" i="72"/>
  <c r="X305" i="72"/>
  <c r="W305" i="72"/>
  <c r="V305" i="72"/>
  <c r="U305" i="72"/>
  <c r="T305" i="72"/>
  <c r="S305" i="72"/>
  <c r="AM304" i="72"/>
  <c r="AL304" i="72"/>
  <c r="AK304" i="72"/>
  <c r="AJ304" i="72"/>
  <c r="AI304" i="72"/>
  <c r="AH304" i="72"/>
  <c r="AG304" i="72"/>
  <c r="AF304" i="72"/>
  <c r="AE304" i="72"/>
  <c r="AD304" i="72"/>
  <c r="AC304" i="72"/>
  <c r="AB304" i="72"/>
  <c r="AA304" i="72"/>
  <c r="Z304" i="72"/>
  <c r="Y304" i="72"/>
  <c r="X304" i="72"/>
  <c r="W304" i="72"/>
  <c r="V304" i="72"/>
  <c r="U304" i="72"/>
  <c r="T304" i="72"/>
  <c r="S304" i="72"/>
  <c r="AM303" i="72"/>
  <c r="AL303" i="72"/>
  <c r="AK303" i="72"/>
  <c r="AJ303" i="72"/>
  <c r="AI303" i="72"/>
  <c r="AH303" i="72"/>
  <c r="AG303" i="72"/>
  <c r="AF303" i="72"/>
  <c r="AE303" i="72"/>
  <c r="AD303" i="72"/>
  <c r="AC303" i="72"/>
  <c r="AB303" i="72"/>
  <c r="AA303" i="72"/>
  <c r="Z303" i="72"/>
  <c r="Y303" i="72"/>
  <c r="X303" i="72"/>
  <c r="W303" i="72"/>
  <c r="V303" i="72"/>
  <c r="U303" i="72"/>
  <c r="T303" i="72"/>
  <c r="S303" i="72"/>
  <c r="AM302" i="72"/>
  <c r="AL302" i="72"/>
  <c r="AK302" i="72"/>
  <c r="AJ302" i="72"/>
  <c r="AI302" i="72"/>
  <c r="AH302" i="72"/>
  <c r="AG302" i="72"/>
  <c r="AF302" i="72"/>
  <c r="AE302" i="72"/>
  <c r="AD302" i="72"/>
  <c r="AC302" i="72"/>
  <c r="AB302" i="72"/>
  <c r="AA302" i="72"/>
  <c r="Z302" i="72"/>
  <c r="Y302" i="72"/>
  <c r="X302" i="72"/>
  <c r="W302" i="72"/>
  <c r="V302" i="72"/>
  <c r="U302" i="72"/>
  <c r="T302" i="72"/>
  <c r="S302" i="72"/>
  <c r="AM301" i="72"/>
  <c r="AL301" i="72"/>
  <c r="AK301" i="72"/>
  <c r="AJ301" i="72"/>
  <c r="AI301" i="72"/>
  <c r="AH301" i="72"/>
  <c r="AG301" i="72"/>
  <c r="AF301" i="72"/>
  <c r="AE301" i="72"/>
  <c r="AD301" i="72"/>
  <c r="AC301" i="72"/>
  <c r="AB301" i="72"/>
  <c r="AA301" i="72"/>
  <c r="Z301" i="72"/>
  <c r="Y301" i="72"/>
  <c r="X301" i="72"/>
  <c r="W301" i="72"/>
  <c r="V301" i="72"/>
  <c r="U301" i="72"/>
  <c r="T301" i="72"/>
  <c r="S301" i="72"/>
  <c r="AM300" i="72"/>
  <c r="AL300" i="72"/>
  <c r="AK300" i="72"/>
  <c r="AJ300" i="72"/>
  <c r="AI300" i="72"/>
  <c r="AH300" i="72"/>
  <c r="AG300" i="72"/>
  <c r="AF300" i="72"/>
  <c r="AE300" i="72"/>
  <c r="AD300" i="72"/>
  <c r="AC300" i="72"/>
  <c r="AB300" i="72"/>
  <c r="AA300" i="72"/>
  <c r="Z300" i="72"/>
  <c r="Y300" i="72"/>
  <c r="X300" i="72"/>
  <c r="W300" i="72"/>
  <c r="V300" i="72"/>
  <c r="U300" i="72"/>
  <c r="T300" i="72"/>
  <c r="S300" i="72"/>
  <c r="AM299" i="72"/>
  <c r="AL299" i="72"/>
  <c r="AK299" i="72"/>
  <c r="AJ299" i="72"/>
  <c r="AI299" i="72"/>
  <c r="AH299" i="72"/>
  <c r="AG299" i="72"/>
  <c r="AF299" i="72"/>
  <c r="AE299" i="72"/>
  <c r="AD299" i="72"/>
  <c r="AC299" i="72"/>
  <c r="AB299" i="72"/>
  <c r="AA299" i="72"/>
  <c r="Z299" i="72"/>
  <c r="Y299" i="72"/>
  <c r="X299" i="72"/>
  <c r="W299" i="72"/>
  <c r="V299" i="72"/>
  <c r="U299" i="72"/>
  <c r="T299" i="72"/>
  <c r="S299" i="72"/>
  <c r="AM298" i="72"/>
  <c r="AL298" i="72"/>
  <c r="AK298" i="72"/>
  <c r="AJ298" i="72"/>
  <c r="AI298" i="72"/>
  <c r="AH298" i="72"/>
  <c r="AG298" i="72"/>
  <c r="AF298" i="72"/>
  <c r="AE298" i="72"/>
  <c r="AD298" i="72"/>
  <c r="AC298" i="72"/>
  <c r="AB298" i="72"/>
  <c r="AA298" i="72"/>
  <c r="Z298" i="72"/>
  <c r="Y298" i="72"/>
  <c r="X298" i="72"/>
  <c r="W298" i="72"/>
  <c r="V298" i="72"/>
  <c r="U298" i="72"/>
  <c r="T298" i="72"/>
  <c r="S298" i="72"/>
  <c r="AM297" i="72"/>
  <c r="AL297" i="72"/>
  <c r="AK297" i="72"/>
  <c r="AJ297" i="72"/>
  <c r="AI297" i="72"/>
  <c r="AH297" i="72"/>
  <c r="AG297" i="72"/>
  <c r="AF297" i="72"/>
  <c r="AE297" i="72"/>
  <c r="AD297" i="72"/>
  <c r="AC297" i="72"/>
  <c r="AB297" i="72"/>
  <c r="AA297" i="72"/>
  <c r="Z297" i="72"/>
  <c r="Y297" i="72"/>
  <c r="X297" i="72"/>
  <c r="W297" i="72"/>
  <c r="V297" i="72"/>
  <c r="U297" i="72"/>
  <c r="T297" i="72"/>
  <c r="S297" i="72"/>
  <c r="AM296" i="72"/>
  <c r="AL296" i="72"/>
  <c r="AK296" i="72"/>
  <c r="AJ296" i="72"/>
  <c r="AI296" i="72"/>
  <c r="AH296" i="72"/>
  <c r="AG296" i="72"/>
  <c r="AF296" i="72"/>
  <c r="AE296" i="72"/>
  <c r="AD296" i="72"/>
  <c r="AC296" i="72"/>
  <c r="AB296" i="72"/>
  <c r="AA296" i="72"/>
  <c r="Z296" i="72"/>
  <c r="Y296" i="72"/>
  <c r="X296" i="72"/>
  <c r="W296" i="72"/>
  <c r="V296" i="72"/>
  <c r="U296" i="72"/>
  <c r="T296" i="72"/>
  <c r="S296" i="72"/>
  <c r="AM295" i="72"/>
  <c r="AL295" i="72"/>
  <c r="AK295" i="72"/>
  <c r="AJ295" i="72"/>
  <c r="AI295" i="72"/>
  <c r="AH295" i="72"/>
  <c r="AG295" i="72"/>
  <c r="AF295" i="72"/>
  <c r="AE295" i="72"/>
  <c r="AD295" i="72"/>
  <c r="AC295" i="72"/>
  <c r="AB295" i="72"/>
  <c r="AA295" i="72"/>
  <c r="Z295" i="72"/>
  <c r="Y295" i="72"/>
  <c r="X295" i="72"/>
  <c r="W295" i="72"/>
  <c r="V295" i="72"/>
  <c r="U295" i="72"/>
  <c r="T295" i="72"/>
  <c r="S295" i="72"/>
  <c r="AM294" i="72"/>
  <c r="AL294" i="72"/>
  <c r="AK294" i="72"/>
  <c r="AJ294" i="72"/>
  <c r="AI294" i="72"/>
  <c r="AH294" i="72"/>
  <c r="AG294" i="72"/>
  <c r="AF294" i="72"/>
  <c r="AE294" i="72"/>
  <c r="AD294" i="72"/>
  <c r="AC294" i="72"/>
  <c r="AB294" i="72"/>
  <c r="AA294" i="72"/>
  <c r="Z294" i="72"/>
  <c r="Y294" i="72"/>
  <c r="X294" i="72"/>
  <c r="W294" i="72"/>
  <c r="V294" i="72"/>
  <c r="U294" i="72"/>
  <c r="T294" i="72"/>
  <c r="S294" i="72"/>
  <c r="AM293" i="72"/>
  <c r="AL293" i="72"/>
  <c r="AK293" i="72"/>
  <c r="AJ293" i="72"/>
  <c r="AI293" i="72"/>
  <c r="AH293" i="72"/>
  <c r="AG293" i="72"/>
  <c r="AF293" i="72"/>
  <c r="AE293" i="72"/>
  <c r="AD293" i="72"/>
  <c r="AC293" i="72"/>
  <c r="AB293" i="72"/>
  <c r="AA293" i="72"/>
  <c r="Z293" i="72"/>
  <c r="Y293" i="72"/>
  <c r="X293" i="72"/>
  <c r="W293" i="72"/>
  <c r="V293" i="72"/>
  <c r="U293" i="72"/>
  <c r="T293" i="72"/>
  <c r="S293" i="72"/>
  <c r="AM292" i="72"/>
  <c r="AL292" i="72"/>
  <c r="AK292" i="72"/>
  <c r="AJ292" i="72"/>
  <c r="AI292" i="72"/>
  <c r="AH292" i="72"/>
  <c r="AG292" i="72"/>
  <c r="AF292" i="72"/>
  <c r="AE292" i="72"/>
  <c r="AD292" i="72"/>
  <c r="AC292" i="72"/>
  <c r="AB292" i="72"/>
  <c r="AA292" i="72"/>
  <c r="Z292" i="72"/>
  <c r="Y292" i="72"/>
  <c r="X292" i="72"/>
  <c r="W292" i="72"/>
  <c r="V292" i="72"/>
  <c r="U292" i="72"/>
  <c r="T292" i="72"/>
  <c r="S292" i="72"/>
  <c r="AM291" i="72"/>
  <c r="AL291" i="72"/>
  <c r="AK291" i="72"/>
  <c r="AJ291" i="72"/>
  <c r="AI291" i="72"/>
  <c r="AH291" i="72"/>
  <c r="AG291" i="72"/>
  <c r="AF291" i="72"/>
  <c r="AE291" i="72"/>
  <c r="AD291" i="72"/>
  <c r="AC291" i="72"/>
  <c r="AB291" i="72"/>
  <c r="AA291" i="72"/>
  <c r="Z291" i="72"/>
  <c r="Y291" i="72"/>
  <c r="X291" i="72"/>
  <c r="W291" i="72"/>
  <c r="V291" i="72"/>
  <c r="U291" i="72"/>
  <c r="T291" i="72"/>
  <c r="S291" i="72"/>
  <c r="AM290" i="72"/>
  <c r="AL290" i="72"/>
  <c r="AK290" i="72"/>
  <c r="AJ290" i="72"/>
  <c r="AI290" i="72"/>
  <c r="AH290" i="72"/>
  <c r="AG290" i="72"/>
  <c r="AF290" i="72"/>
  <c r="AE290" i="72"/>
  <c r="AD290" i="72"/>
  <c r="AC290" i="72"/>
  <c r="AB290" i="72"/>
  <c r="AA290" i="72"/>
  <c r="Z290" i="72"/>
  <c r="Y290" i="72"/>
  <c r="X290" i="72"/>
  <c r="W290" i="72"/>
  <c r="V290" i="72"/>
  <c r="U290" i="72"/>
  <c r="T290" i="72"/>
  <c r="S290" i="72"/>
  <c r="AM289" i="72"/>
  <c r="AL289" i="72"/>
  <c r="AK289" i="72"/>
  <c r="AJ289" i="72"/>
  <c r="AI289" i="72"/>
  <c r="AH289" i="72"/>
  <c r="AG289" i="72"/>
  <c r="AF289" i="72"/>
  <c r="AE289" i="72"/>
  <c r="AD289" i="72"/>
  <c r="AC289" i="72"/>
  <c r="AB289" i="72"/>
  <c r="AA289" i="72"/>
  <c r="Z289" i="72"/>
  <c r="Y289" i="72"/>
  <c r="X289" i="72"/>
  <c r="W289" i="72"/>
  <c r="V289" i="72"/>
  <c r="U289" i="72"/>
  <c r="T289" i="72"/>
  <c r="S289" i="72"/>
  <c r="AM288" i="72"/>
  <c r="AL288" i="72"/>
  <c r="AK288" i="72"/>
  <c r="AJ288" i="72"/>
  <c r="AI288" i="72"/>
  <c r="AH288" i="72"/>
  <c r="AG288" i="72"/>
  <c r="AF288" i="72"/>
  <c r="AE288" i="72"/>
  <c r="AD288" i="72"/>
  <c r="AC288" i="72"/>
  <c r="AB288" i="72"/>
  <c r="AA288" i="72"/>
  <c r="Z288" i="72"/>
  <c r="Y288" i="72"/>
  <c r="X288" i="72"/>
  <c r="W288" i="72"/>
  <c r="V288" i="72"/>
  <c r="U288" i="72"/>
  <c r="T288" i="72"/>
  <c r="S288" i="72"/>
  <c r="AM287" i="72"/>
  <c r="AL287" i="72"/>
  <c r="AK287" i="72"/>
  <c r="AJ287" i="72"/>
  <c r="AI287" i="72"/>
  <c r="AH287" i="72"/>
  <c r="AG287" i="72"/>
  <c r="AF287" i="72"/>
  <c r="AE287" i="72"/>
  <c r="AD287" i="72"/>
  <c r="AC287" i="72"/>
  <c r="AB287" i="72"/>
  <c r="AA287" i="72"/>
  <c r="Z287" i="72"/>
  <c r="Y287" i="72"/>
  <c r="X287" i="72"/>
  <c r="W287" i="72"/>
  <c r="V287" i="72"/>
  <c r="U287" i="72"/>
  <c r="T287" i="72"/>
  <c r="S287" i="72"/>
  <c r="AM286" i="72"/>
  <c r="AL286" i="72"/>
  <c r="AK286" i="72"/>
  <c r="AJ286" i="72"/>
  <c r="AI286" i="72"/>
  <c r="AH286" i="72"/>
  <c r="AG286" i="72"/>
  <c r="AF286" i="72"/>
  <c r="AE286" i="72"/>
  <c r="AD286" i="72"/>
  <c r="AC286" i="72"/>
  <c r="AB286" i="72"/>
  <c r="AA286" i="72"/>
  <c r="Z286" i="72"/>
  <c r="Y286" i="72"/>
  <c r="X286" i="72"/>
  <c r="W286" i="72"/>
  <c r="V286" i="72"/>
  <c r="U286" i="72"/>
  <c r="T286" i="72"/>
  <c r="S286" i="72"/>
  <c r="AM285" i="72"/>
  <c r="AL285" i="72"/>
  <c r="AK285" i="72"/>
  <c r="AJ285" i="72"/>
  <c r="AI285" i="72"/>
  <c r="AH285" i="72"/>
  <c r="AG285" i="72"/>
  <c r="AF285" i="72"/>
  <c r="AE285" i="72"/>
  <c r="AD285" i="72"/>
  <c r="AC285" i="72"/>
  <c r="AB285" i="72"/>
  <c r="AA285" i="72"/>
  <c r="Z285" i="72"/>
  <c r="Y285" i="72"/>
  <c r="X285" i="72"/>
  <c r="W285" i="72"/>
  <c r="V285" i="72"/>
  <c r="U285" i="72"/>
  <c r="T285" i="72"/>
  <c r="S285" i="72"/>
  <c r="AM284" i="72"/>
  <c r="AL284" i="72"/>
  <c r="AK284" i="72"/>
  <c r="AJ284" i="72"/>
  <c r="AI284" i="72"/>
  <c r="AH284" i="72"/>
  <c r="AG284" i="72"/>
  <c r="AF284" i="72"/>
  <c r="AE284" i="72"/>
  <c r="AD284" i="72"/>
  <c r="AC284" i="72"/>
  <c r="AB284" i="72"/>
  <c r="AA284" i="72"/>
  <c r="Z284" i="72"/>
  <c r="Y284" i="72"/>
  <c r="X284" i="72"/>
  <c r="W284" i="72"/>
  <c r="V284" i="72"/>
  <c r="U284" i="72"/>
  <c r="T284" i="72"/>
  <c r="S284" i="72"/>
  <c r="AM283" i="72"/>
  <c r="AL283" i="72"/>
  <c r="AK283" i="72"/>
  <c r="AJ283" i="72"/>
  <c r="AI283" i="72"/>
  <c r="AH283" i="72"/>
  <c r="AG283" i="72"/>
  <c r="AF283" i="72"/>
  <c r="AE283" i="72"/>
  <c r="AD283" i="72"/>
  <c r="AC283" i="72"/>
  <c r="AB283" i="72"/>
  <c r="AA283" i="72"/>
  <c r="Z283" i="72"/>
  <c r="Y283" i="72"/>
  <c r="X283" i="72"/>
  <c r="W283" i="72"/>
  <c r="V283" i="72"/>
  <c r="U283" i="72"/>
  <c r="T283" i="72"/>
  <c r="S283" i="72"/>
  <c r="AM282" i="72"/>
  <c r="AL282" i="72"/>
  <c r="AK282" i="72"/>
  <c r="AJ282" i="72"/>
  <c r="AI282" i="72"/>
  <c r="AH282" i="72"/>
  <c r="AG282" i="72"/>
  <c r="AF282" i="72"/>
  <c r="AE282" i="72"/>
  <c r="AD282" i="72"/>
  <c r="AC282" i="72"/>
  <c r="AB282" i="72"/>
  <c r="AA282" i="72"/>
  <c r="Z282" i="72"/>
  <c r="Y282" i="72"/>
  <c r="X282" i="72"/>
  <c r="W282" i="72"/>
  <c r="V282" i="72"/>
  <c r="U282" i="72"/>
  <c r="T282" i="72"/>
  <c r="S282" i="72"/>
  <c r="AM281" i="72"/>
  <c r="AL281" i="72"/>
  <c r="AK281" i="72"/>
  <c r="AJ281" i="72"/>
  <c r="AI281" i="72"/>
  <c r="AH281" i="72"/>
  <c r="AG281" i="72"/>
  <c r="AF281" i="72"/>
  <c r="AE281" i="72"/>
  <c r="AD281" i="72"/>
  <c r="AC281" i="72"/>
  <c r="AB281" i="72"/>
  <c r="AA281" i="72"/>
  <c r="Z281" i="72"/>
  <c r="Y281" i="72"/>
  <c r="X281" i="72"/>
  <c r="W281" i="72"/>
  <c r="V281" i="72"/>
  <c r="U281" i="72"/>
  <c r="T281" i="72"/>
  <c r="S281" i="72"/>
  <c r="AM280" i="72"/>
  <c r="AL280" i="72"/>
  <c r="AK280" i="72"/>
  <c r="AJ280" i="72"/>
  <c r="AI280" i="72"/>
  <c r="AH280" i="72"/>
  <c r="AG280" i="72"/>
  <c r="AF280" i="72"/>
  <c r="AE280" i="72"/>
  <c r="AD280" i="72"/>
  <c r="AC280" i="72"/>
  <c r="AB280" i="72"/>
  <c r="AA280" i="72"/>
  <c r="Z280" i="72"/>
  <c r="Y280" i="72"/>
  <c r="X280" i="72"/>
  <c r="W280" i="72"/>
  <c r="V280" i="72"/>
  <c r="U280" i="72"/>
  <c r="T280" i="72"/>
  <c r="S280" i="72"/>
  <c r="AM279" i="72"/>
  <c r="AL279" i="72"/>
  <c r="AK279" i="72"/>
  <c r="AJ279" i="72"/>
  <c r="AI279" i="72"/>
  <c r="AH279" i="72"/>
  <c r="AG279" i="72"/>
  <c r="AF279" i="72"/>
  <c r="AE279" i="72"/>
  <c r="AD279" i="72"/>
  <c r="AC279" i="72"/>
  <c r="AB279" i="72"/>
  <c r="AA279" i="72"/>
  <c r="Z279" i="72"/>
  <c r="Y279" i="72"/>
  <c r="X279" i="72"/>
  <c r="W279" i="72"/>
  <c r="V279" i="72"/>
  <c r="U279" i="72"/>
  <c r="T279" i="72"/>
  <c r="S279" i="72"/>
  <c r="AM278" i="72"/>
  <c r="AL278" i="72"/>
  <c r="AK278" i="72"/>
  <c r="AJ278" i="72"/>
  <c r="AI278" i="72"/>
  <c r="AH278" i="72"/>
  <c r="AG278" i="72"/>
  <c r="AF278" i="72"/>
  <c r="AE278" i="72"/>
  <c r="AD278" i="72"/>
  <c r="AC278" i="72"/>
  <c r="AB278" i="72"/>
  <c r="AA278" i="72"/>
  <c r="Z278" i="72"/>
  <c r="Y278" i="72"/>
  <c r="X278" i="72"/>
  <c r="W278" i="72"/>
  <c r="V278" i="72"/>
  <c r="U278" i="72"/>
  <c r="T278" i="72"/>
  <c r="S278" i="72"/>
  <c r="AM277" i="72"/>
  <c r="AL277" i="72"/>
  <c r="AK277" i="72"/>
  <c r="AJ277" i="72"/>
  <c r="AI277" i="72"/>
  <c r="AH277" i="72"/>
  <c r="AG277" i="72"/>
  <c r="AF277" i="72"/>
  <c r="AE277" i="72"/>
  <c r="AD277" i="72"/>
  <c r="AC277" i="72"/>
  <c r="AB277" i="72"/>
  <c r="AA277" i="72"/>
  <c r="Z277" i="72"/>
  <c r="Y277" i="72"/>
  <c r="X277" i="72"/>
  <c r="W277" i="72"/>
  <c r="V277" i="72"/>
  <c r="U277" i="72"/>
  <c r="T277" i="72"/>
  <c r="S277" i="72"/>
  <c r="AM276" i="72"/>
  <c r="AL276" i="72"/>
  <c r="AK276" i="72"/>
  <c r="AJ276" i="72"/>
  <c r="AI276" i="72"/>
  <c r="AH276" i="72"/>
  <c r="AG276" i="72"/>
  <c r="AF276" i="72"/>
  <c r="AE276" i="72"/>
  <c r="AD276" i="72"/>
  <c r="AC276" i="72"/>
  <c r="AB276" i="72"/>
  <c r="AA276" i="72"/>
  <c r="Z276" i="72"/>
  <c r="Y276" i="72"/>
  <c r="X276" i="72"/>
  <c r="W276" i="72"/>
  <c r="V276" i="72"/>
  <c r="U276" i="72"/>
  <c r="T276" i="72"/>
  <c r="S276" i="72"/>
  <c r="AM275" i="72"/>
  <c r="AL275" i="72"/>
  <c r="AK275" i="72"/>
  <c r="AJ275" i="72"/>
  <c r="AI275" i="72"/>
  <c r="AH275" i="72"/>
  <c r="AG275" i="72"/>
  <c r="AF275" i="72"/>
  <c r="AE275" i="72"/>
  <c r="AD275" i="72"/>
  <c r="AC275" i="72"/>
  <c r="AB275" i="72"/>
  <c r="AA275" i="72"/>
  <c r="Z275" i="72"/>
  <c r="Y275" i="72"/>
  <c r="X275" i="72"/>
  <c r="W275" i="72"/>
  <c r="V275" i="72"/>
  <c r="U275" i="72"/>
  <c r="T275" i="72"/>
  <c r="S275" i="72"/>
  <c r="AM274" i="72"/>
  <c r="AL274" i="72"/>
  <c r="AK274" i="72"/>
  <c r="AJ274" i="72"/>
  <c r="AI274" i="72"/>
  <c r="AH274" i="72"/>
  <c r="AG274" i="72"/>
  <c r="AF274" i="72"/>
  <c r="AE274" i="72"/>
  <c r="AD274" i="72"/>
  <c r="AC274" i="72"/>
  <c r="AB274" i="72"/>
  <c r="AA274" i="72"/>
  <c r="Z274" i="72"/>
  <c r="Y274" i="72"/>
  <c r="X274" i="72"/>
  <c r="W274" i="72"/>
  <c r="V274" i="72"/>
  <c r="U274" i="72"/>
  <c r="T274" i="72"/>
  <c r="S274" i="72"/>
  <c r="AM273" i="72"/>
  <c r="AL273" i="72"/>
  <c r="AK273" i="72"/>
  <c r="AJ273" i="72"/>
  <c r="AI273" i="72"/>
  <c r="AH273" i="72"/>
  <c r="AG273" i="72"/>
  <c r="AF273" i="72"/>
  <c r="AE273" i="72"/>
  <c r="AD273" i="72"/>
  <c r="AC273" i="72"/>
  <c r="AB273" i="72"/>
  <c r="AA273" i="72"/>
  <c r="Z273" i="72"/>
  <c r="Y273" i="72"/>
  <c r="X273" i="72"/>
  <c r="W273" i="72"/>
  <c r="V273" i="72"/>
  <c r="U273" i="72"/>
  <c r="T273" i="72"/>
  <c r="S273" i="72"/>
  <c r="AM272" i="72"/>
  <c r="AL272" i="72"/>
  <c r="AK272" i="72"/>
  <c r="AJ272" i="72"/>
  <c r="AI272" i="72"/>
  <c r="AH272" i="72"/>
  <c r="AG272" i="72"/>
  <c r="AF272" i="72"/>
  <c r="AE272" i="72"/>
  <c r="AD272" i="72"/>
  <c r="AC272" i="72"/>
  <c r="AB272" i="72"/>
  <c r="AA272" i="72"/>
  <c r="Z272" i="72"/>
  <c r="Y272" i="72"/>
  <c r="X272" i="72"/>
  <c r="W272" i="72"/>
  <c r="V272" i="72"/>
  <c r="U272" i="72"/>
  <c r="T272" i="72"/>
  <c r="S272" i="72"/>
  <c r="AM271" i="72"/>
  <c r="AL271" i="72"/>
  <c r="AK271" i="72"/>
  <c r="AJ271" i="72"/>
  <c r="AI271" i="72"/>
  <c r="AH271" i="72"/>
  <c r="AG271" i="72"/>
  <c r="AF271" i="72"/>
  <c r="AE271" i="72"/>
  <c r="AD271" i="72"/>
  <c r="AC271" i="72"/>
  <c r="AB271" i="72"/>
  <c r="AA271" i="72"/>
  <c r="Z271" i="72"/>
  <c r="Y271" i="72"/>
  <c r="X271" i="72"/>
  <c r="W271" i="72"/>
  <c r="V271" i="72"/>
  <c r="U271" i="72"/>
  <c r="T271" i="72"/>
  <c r="S271" i="72"/>
  <c r="AM270" i="72"/>
  <c r="AL270" i="72"/>
  <c r="AK270" i="72"/>
  <c r="AJ270" i="72"/>
  <c r="AI270" i="72"/>
  <c r="AH270" i="72"/>
  <c r="AG270" i="72"/>
  <c r="AF270" i="72"/>
  <c r="AE270" i="72"/>
  <c r="AD270" i="72"/>
  <c r="AC270" i="72"/>
  <c r="AB270" i="72"/>
  <c r="AA270" i="72"/>
  <c r="Z270" i="72"/>
  <c r="Y270" i="72"/>
  <c r="X270" i="72"/>
  <c r="W270" i="72"/>
  <c r="V270" i="72"/>
  <c r="U270" i="72"/>
  <c r="T270" i="72"/>
  <c r="S270" i="72"/>
  <c r="AM269" i="72"/>
  <c r="AL269" i="72"/>
  <c r="AK269" i="72"/>
  <c r="AJ269" i="72"/>
  <c r="AI269" i="72"/>
  <c r="AH269" i="72"/>
  <c r="AG269" i="72"/>
  <c r="AF269" i="72"/>
  <c r="AE269" i="72"/>
  <c r="AD269" i="72"/>
  <c r="AC269" i="72"/>
  <c r="AB269" i="72"/>
  <c r="AA269" i="72"/>
  <c r="Z269" i="72"/>
  <c r="Y269" i="72"/>
  <c r="X269" i="72"/>
  <c r="W269" i="72"/>
  <c r="V269" i="72"/>
  <c r="U269" i="72"/>
  <c r="T269" i="72"/>
  <c r="S269" i="72"/>
  <c r="AM268" i="72"/>
  <c r="AL268" i="72"/>
  <c r="AK268" i="72"/>
  <c r="AJ268" i="72"/>
  <c r="AI268" i="72"/>
  <c r="AH268" i="72"/>
  <c r="AG268" i="72"/>
  <c r="AF268" i="72"/>
  <c r="AE268" i="72"/>
  <c r="AD268" i="72"/>
  <c r="AC268" i="72"/>
  <c r="AB268" i="72"/>
  <c r="AA268" i="72"/>
  <c r="Z268" i="72"/>
  <c r="Y268" i="72"/>
  <c r="X268" i="72"/>
  <c r="W268" i="72"/>
  <c r="V268" i="72"/>
  <c r="U268" i="72"/>
  <c r="T268" i="72"/>
  <c r="S268" i="72"/>
  <c r="AM267" i="72"/>
  <c r="AL267" i="72"/>
  <c r="AK267" i="72"/>
  <c r="AJ267" i="72"/>
  <c r="AI267" i="72"/>
  <c r="AH267" i="72"/>
  <c r="AG267" i="72"/>
  <c r="AF267" i="72"/>
  <c r="AE267" i="72"/>
  <c r="AD267" i="72"/>
  <c r="AC267" i="72"/>
  <c r="AB267" i="72"/>
  <c r="AA267" i="72"/>
  <c r="Z267" i="72"/>
  <c r="Y267" i="72"/>
  <c r="X267" i="72"/>
  <c r="W267" i="72"/>
  <c r="V267" i="72"/>
  <c r="U267" i="72"/>
  <c r="T267" i="72"/>
  <c r="S267" i="72"/>
  <c r="AM266" i="72"/>
  <c r="AL266" i="72"/>
  <c r="AK266" i="72"/>
  <c r="AJ266" i="72"/>
  <c r="AI266" i="72"/>
  <c r="AH266" i="72"/>
  <c r="AG266" i="72"/>
  <c r="AF266" i="72"/>
  <c r="AE266" i="72"/>
  <c r="AD266" i="72"/>
  <c r="AC266" i="72"/>
  <c r="AB266" i="72"/>
  <c r="AA266" i="72"/>
  <c r="Z266" i="72"/>
  <c r="Y266" i="72"/>
  <c r="X266" i="72"/>
  <c r="W266" i="72"/>
  <c r="V266" i="72"/>
  <c r="U266" i="72"/>
  <c r="T266" i="72"/>
  <c r="S266" i="72"/>
  <c r="AM265" i="72"/>
  <c r="AL265" i="72"/>
  <c r="AK265" i="72"/>
  <c r="AJ265" i="72"/>
  <c r="AI265" i="72"/>
  <c r="AH265" i="72"/>
  <c r="AG265" i="72"/>
  <c r="AF265" i="72"/>
  <c r="AE265" i="72"/>
  <c r="AD265" i="72"/>
  <c r="AC265" i="72"/>
  <c r="AB265" i="72"/>
  <c r="AA265" i="72"/>
  <c r="Z265" i="72"/>
  <c r="Y265" i="72"/>
  <c r="X265" i="72"/>
  <c r="W265" i="72"/>
  <c r="V265" i="72"/>
  <c r="U265" i="72"/>
  <c r="T265" i="72"/>
  <c r="S265" i="72"/>
  <c r="AM264" i="72"/>
  <c r="AL264" i="72"/>
  <c r="AK264" i="72"/>
  <c r="AJ264" i="72"/>
  <c r="AI264" i="72"/>
  <c r="AH264" i="72"/>
  <c r="AG264" i="72"/>
  <c r="AF264" i="72"/>
  <c r="AE264" i="72"/>
  <c r="AD264" i="72"/>
  <c r="AC264" i="72"/>
  <c r="AB264" i="72"/>
  <c r="AA264" i="72"/>
  <c r="Z264" i="72"/>
  <c r="Y264" i="72"/>
  <c r="X264" i="72"/>
  <c r="W264" i="72"/>
  <c r="V264" i="72"/>
  <c r="U264" i="72"/>
  <c r="T264" i="72"/>
  <c r="S264" i="72"/>
  <c r="AM263" i="72"/>
  <c r="AL263" i="72"/>
  <c r="AK263" i="72"/>
  <c r="AJ263" i="72"/>
  <c r="AI263" i="72"/>
  <c r="AH263" i="72"/>
  <c r="AG263" i="72"/>
  <c r="AF263" i="72"/>
  <c r="AE263" i="72"/>
  <c r="AD263" i="72"/>
  <c r="AC263" i="72"/>
  <c r="AB263" i="72"/>
  <c r="AA263" i="72"/>
  <c r="Z263" i="72"/>
  <c r="Y263" i="72"/>
  <c r="X263" i="72"/>
  <c r="W263" i="72"/>
  <c r="V263" i="72"/>
  <c r="U263" i="72"/>
  <c r="T263" i="72"/>
  <c r="S263" i="72"/>
  <c r="AM262" i="72"/>
  <c r="AL262" i="72"/>
  <c r="AK262" i="72"/>
  <c r="AJ262" i="72"/>
  <c r="AI262" i="72"/>
  <c r="AH262" i="72"/>
  <c r="AG262" i="72"/>
  <c r="AF262" i="72"/>
  <c r="AE262" i="72"/>
  <c r="AD262" i="72"/>
  <c r="AC262" i="72"/>
  <c r="AB262" i="72"/>
  <c r="AA262" i="72"/>
  <c r="Z262" i="72"/>
  <c r="Y262" i="72"/>
  <c r="X262" i="72"/>
  <c r="W262" i="72"/>
  <c r="V262" i="72"/>
  <c r="U262" i="72"/>
  <c r="T262" i="72"/>
  <c r="S262" i="72"/>
  <c r="AM261" i="72"/>
  <c r="AL261" i="72"/>
  <c r="AK261" i="72"/>
  <c r="AJ261" i="72"/>
  <c r="AI261" i="72"/>
  <c r="AH261" i="72"/>
  <c r="AG261" i="72"/>
  <c r="AF261" i="72"/>
  <c r="AE261" i="72"/>
  <c r="AD261" i="72"/>
  <c r="AC261" i="72"/>
  <c r="AB261" i="72"/>
  <c r="AA261" i="72"/>
  <c r="Z261" i="72"/>
  <c r="Y261" i="72"/>
  <c r="X261" i="72"/>
  <c r="W261" i="72"/>
  <c r="V261" i="72"/>
  <c r="U261" i="72"/>
  <c r="T261" i="72"/>
  <c r="S261" i="72"/>
  <c r="AM260" i="72"/>
  <c r="AL260" i="72"/>
  <c r="AK260" i="72"/>
  <c r="AJ260" i="72"/>
  <c r="AI260" i="72"/>
  <c r="AH260" i="72"/>
  <c r="AG260" i="72"/>
  <c r="AF260" i="72"/>
  <c r="AE260" i="72"/>
  <c r="AD260" i="72"/>
  <c r="AC260" i="72"/>
  <c r="AB260" i="72"/>
  <c r="AA260" i="72"/>
  <c r="Z260" i="72"/>
  <c r="Y260" i="72"/>
  <c r="X260" i="72"/>
  <c r="W260" i="72"/>
  <c r="V260" i="72"/>
  <c r="U260" i="72"/>
  <c r="T260" i="72"/>
  <c r="S260" i="72"/>
  <c r="AM259" i="72"/>
  <c r="AL259" i="72"/>
  <c r="AK259" i="72"/>
  <c r="AJ259" i="72"/>
  <c r="AI259" i="72"/>
  <c r="AH259" i="72"/>
  <c r="AG259" i="72"/>
  <c r="AF259" i="72"/>
  <c r="AE259" i="72"/>
  <c r="AD259" i="72"/>
  <c r="AC259" i="72"/>
  <c r="AB259" i="72"/>
  <c r="AA259" i="72"/>
  <c r="Z259" i="72"/>
  <c r="Y259" i="72"/>
  <c r="X259" i="72"/>
  <c r="W259" i="72"/>
  <c r="V259" i="72"/>
  <c r="U259" i="72"/>
  <c r="T259" i="72"/>
  <c r="S259" i="72"/>
  <c r="AM258" i="72"/>
  <c r="AL258" i="72"/>
  <c r="AK258" i="72"/>
  <c r="AJ258" i="72"/>
  <c r="AI258" i="72"/>
  <c r="AH258" i="72"/>
  <c r="AG258" i="72"/>
  <c r="AF258" i="72"/>
  <c r="AE258" i="72"/>
  <c r="AD258" i="72"/>
  <c r="AC258" i="72"/>
  <c r="AB258" i="72"/>
  <c r="AA258" i="72"/>
  <c r="Z258" i="72"/>
  <c r="Y258" i="72"/>
  <c r="AN258" i="72" s="1"/>
  <c r="X258" i="72"/>
  <c r="W258" i="72"/>
  <c r="V258" i="72"/>
  <c r="U258" i="72"/>
  <c r="T258" i="72"/>
  <c r="S258" i="72"/>
  <c r="AM257" i="72"/>
  <c r="AL257" i="72"/>
  <c r="AK257" i="72"/>
  <c r="AJ257" i="72"/>
  <c r="AI257" i="72"/>
  <c r="AH257" i="72"/>
  <c r="AG257" i="72"/>
  <c r="AF257" i="72"/>
  <c r="AE257" i="72"/>
  <c r="AD257" i="72"/>
  <c r="AC257" i="72"/>
  <c r="AB257" i="72"/>
  <c r="AA257" i="72"/>
  <c r="Z257" i="72"/>
  <c r="Y257" i="72"/>
  <c r="X257" i="72"/>
  <c r="W257" i="72"/>
  <c r="V257" i="72"/>
  <c r="U257" i="72"/>
  <c r="T257" i="72"/>
  <c r="S257" i="72"/>
  <c r="AM256" i="72"/>
  <c r="AL256" i="72"/>
  <c r="AK256" i="72"/>
  <c r="AJ256" i="72"/>
  <c r="AI256" i="72"/>
  <c r="AH256" i="72"/>
  <c r="AG256" i="72"/>
  <c r="AF256" i="72"/>
  <c r="AE256" i="72"/>
  <c r="AD256" i="72"/>
  <c r="AC256" i="72"/>
  <c r="AB256" i="72"/>
  <c r="AA256" i="72"/>
  <c r="Z256" i="72"/>
  <c r="Y256" i="72"/>
  <c r="X256" i="72"/>
  <c r="W256" i="72"/>
  <c r="V256" i="72"/>
  <c r="U256" i="72"/>
  <c r="T256" i="72"/>
  <c r="S256" i="72"/>
  <c r="AM255" i="72"/>
  <c r="AL255" i="72"/>
  <c r="AK255" i="72"/>
  <c r="AJ255" i="72"/>
  <c r="AI255" i="72"/>
  <c r="AH255" i="72"/>
  <c r="AG255" i="72"/>
  <c r="AF255" i="72"/>
  <c r="AE255" i="72"/>
  <c r="AD255" i="72"/>
  <c r="AC255" i="72"/>
  <c r="AB255" i="72"/>
  <c r="AA255" i="72"/>
  <c r="Z255" i="72"/>
  <c r="Y255" i="72"/>
  <c r="X255" i="72"/>
  <c r="W255" i="72"/>
  <c r="V255" i="72"/>
  <c r="U255" i="72"/>
  <c r="T255" i="72"/>
  <c r="S255" i="72"/>
  <c r="AM254" i="72"/>
  <c r="AL254" i="72"/>
  <c r="AK254" i="72"/>
  <c r="AJ254" i="72"/>
  <c r="AI254" i="72"/>
  <c r="AH254" i="72"/>
  <c r="AG254" i="72"/>
  <c r="AF254" i="72"/>
  <c r="AE254" i="72"/>
  <c r="AD254" i="72"/>
  <c r="AC254" i="72"/>
  <c r="AB254" i="72"/>
  <c r="AA254" i="72"/>
  <c r="Z254" i="72"/>
  <c r="Y254" i="72"/>
  <c r="X254" i="72"/>
  <c r="W254" i="72"/>
  <c r="V254" i="72"/>
  <c r="U254" i="72"/>
  <c r="T254" i="72"/>
  <c r="S254" i="72"/>
  <c r="AM253" i="72"/>
  <c r="AL253" i="72"/>
  <c r="AK253" i="72"/>
  <c r="AJ253" i="72"/>
  <c r="AI253" i="72"/>
  <c r="AH253" i="72"/>
  <c r="AG253" i="72"/>
  <c r="AF253" i="72"/>
  <c r="AE253" i="72"/>
  <c r="AD253" i="72"/>
  <c r="AC253" i="72"/>
  <c r="AB253" i="72"/>
  <c r="AA253" i="72"/>
  <c r="Z253" i="72"/>
  <c r="Y253" i="72"/>
  <c r="X253" i="72"/>
  <c r="W253" i="72"/>
  <c r="V253" i="72"/>
  <c r="U253" i="72"/>
  <c r="T253" i="72"/>
  <c r="S253" i="72"/>
  <c r="AM252" i="72"/>
  <c r="AL252" i="72"/>
  <c r="AK252" i="72"/>
  <c r="AJ252" i="72"/>
  <c r="AI252" i="72"/>
  <c r="AH252" i="72"/>
  <c r="AG252" i="72"/>
  <c r="AF252" i="72"/>
  <c r="AE252" i="72"/>
  <c r="AD252" i="72"/>
  <c r="AC252" i="72"/>
  <c r="AB252" i="72"/>
  <c r="AA252" i="72"/>
  <c r="Z252" i="72"/>
  <c r="Y252" i="72"/>
  <c r="X252" i="72"/>
  <c r="W252" i="72"/>
  <c r="V252" i="72"/>
  <c r="U252" i="72"/>
  <c r="T252" i="72"/>
  <c r="S252" i="72"/>
  <c r="AM251" i="72"/>
  <c r="AL251" i="72"/>
  <c r="AK251" i="72"/>
  <c r="AJ251" i="72"/>
  <c r="AI251" i="72"/>
  <c r="AH251" i="72"/>
  <c r="AG251" i="72"/>
  <c r="AF251" i="72"/>
  <c r="AE251" i="72"/>
  <c r="AD251" i="72"/>
  <c r="AC251" i="72"/>
  <c r="AB251" i="72"/>
  <c r="AA251" i="72"/>
  <c r="Z251" i="72"/>
  <c r="Y251" i="72"/>
  <c r="X251" i="72"/>
  <c r="W251" i="72"/>
  <c r="V251" i="72"/>
  <c r="U251" i="72"/>
  <c r="T251" i="72"/>
  <c r="S251" i="72"/>
  <c r="AM250" i="72"/>
  <c r="AL250" i="72"/>
  <c r="AK250" i="72"/>
  <c r="AJ250" i="72"/>
  <c r="AI250" i="72"/>
  <c r="AH250" i="72"/>
  <c r="AG250" i="72"/>
  <c r="AF250" i="72"/>
  <c r="AE250" i="72"/>
  <c r="AD250" i="72"/>
  <c r="AC250" i="72"/>
  <c r="AB250" i="72"/>
  <c r="AA250" i="72"/>
  <c r="Z250" i="72"/>
  <c r="Y250" i="72"/>
  <c r="X250" i="72"/>
  <c r="W250" i="72"/>
  <c r="V250" i="72"/>
  <c r="U250" i="72"/>
  <c r="T250" i="72"/>
  <c r="S250" i="72"/>
  <c r="AM249" i="72"/>
  <c r="AL249" i="72"/>
  <c r="AK249" i="72"/>
  <c r="AJ249" i="72"/>
  <c r="AI249" i="72"/>
  <c r="AH249" i="72"/>
  <c r="AG249" i="72"/>
  <c r="AF249" i="72"/>
  <c r="AE249" i="72"/>
  <c r="AD249" i="72"/>
  <c r="AC249" i="72"/>
  <c r="AB249" i="72"/>
  <c r="AA249" i="72"/>
  <c r="Z249" i="72"/>
  <c r="Y249" i="72"/>
  <c r="X249" i="72"/>
  <c r="W249" i="72"/>
  <c r="V249" i="72"/>
  <c r="U249" i="72"/>
  <c r="T249" i="72"/>
  <c r="S249" i="72"/>
  <c r="AM248" i="72"/>
  <c r="AL248" i="72"/>
  <c r="AK248" i="72"/>
  <c r="AJ248" i="72"/>
  <c r="AI248" i="72"/>
  <c r="AH248" i="72"/>
  <c r="AG248" i="72"/>
  <c r="AF248" i="72"/>
  <c r="AE248" i="72"/>
  <c r="AD248" i="72"/>
  <c r="AC248" i="72"/>
  <c r="AB248" i="72"/>
  <c r="AA248" i="72"/>
  <c r="Z248" i="72"/>
  <c r="Y248" i="72"/>
  <c r="X248" i="72"/>
  <c r="W248" i="72"/>
  <c r="V248" i="72"/>
  <c r="U248" i="72"/>
  <c r="T248" i="72"/>
  <c r="S248" i="72"/>
  <c r="AM247" i="72"/>
  <c r="AL247" i="72"/>
  <c r="AK247" i="72"/>
  <c r="AJ247" i="72"/>
  <c r="AI247" i="72"/>
  <c r="AH247" i="72"/>
  <c r="AG247" i="72"/>
  <c r="AF247" i="72"/>
  <c r="AE247" i="72"/>
  <c r="AD247" i="72"/>
  <c r="AC247" i="72"/>
  <c r="AB247" i="72"/>
  <c r="AA247" i="72"/>
  <c r="Z247" i="72"/>
  <c r="Y247" i="72"/>
  <c r="X247" i="72"/>
  <c r="W247" i="72"/>
  <c r="V247" i="72"/>
  <c r="U247" i="72"/>
  <c r="T247" i="72"/>
  <c r="S247" i="72"/>
  <c r="AM246" i="72"/>
  <c r="AL246" i="72"/>
  <c r="AK246" i="72"/>
  <c r="AJ246" i="72"/>
  <c r="AI246" i="72"/>
  <c r="AH246" i="72"/>
  <c r="AG246" i="72"/>
  <c r="AF246" i="72"/>
  <c r="AE246" i="72"/>
  <c r="AD246" i="72"/>
  <c r="AC246" i="72"/>
  <c r="AB246" i="72"/>
  <c r="AA246" i="72"/>
  <c r="Z246" i="72"/>
  <c r="Y246" i="72"/>
  <c r="X246" i="72"/>
  <c r="W246" i="72"/>
  <c r="V246" i="72"/>
  <c r="U246" i="72"/>
  <c r="T246" i="72"/>
  <c r="S246" i="72"/>
  <c r="AM245" i="72"/>
  <c r="AL245" i="72"/>
  <c r="AK245" i="72"/>
  <c r="AJ245" i="72"/>
  <c r="AI245" i="72"/>
  <c r="AH245" i="72"/>
  <c r="AG245" i="72"/>
  <c r="AF245" i="72"/>
  <c r="AE245" i="72"/>
  <c r="AD245" i="72"/>
  <c r="AC245" i="72"/>
  <c r="AB245" i="72"/>
  <c r="AA245" i="72"/>
  <c r="Z245" i="72"/>
  <c r="Y245" i="72"/>
  <c r="X245" i="72"/>
  <c r="W245" i="72"/>
  <c r="V245" i="72"/>
  <c r="U245" i="72"/>
  <c r="T245" i="72"/>
  <c r="S245" i="72"/>
  <c r="AM244" i="72"/>
  <c r="AL244" i="72"/>
  <c r="AK244" i="72"/>
  <c r="AJ244" i="72"/>
  <c r="AI244" i="72"/>
  <c r="AH244" i="72"/>
  <c r="AG244" i="72"/>
  <c r="AF244" i="72"/>
  <c r="AE244" i="72"/>
  <c r="AD244" i="72"/>
  <c r="AC244" i="72"/>
  <c r="AB244" i="72"/>
  <c r="AA244" i="72"/>
  <c r="Z244" i="72"/>
  <c r="Y244" i="72"/>
  <c r="X244" i="72"/>
  <c r="W244" i="72"/>
  <c r="V244" i="72"/>
  <c r="U244" i="72"/>
  <c r="T244" i="72"/>
  <c r="S244" i="72"/>
  <c r="AM243" i="72"/>
  <c r="AL243" i="72"/>
  <c r="AK243" i="72"/>
  <c r="AJ243" i="72"/>
  <c r="AI243" i="72"/>
  <c r="AH243" i="72"/>
  <c r="AG243" i="72"/>
  <c r="AF243" i="72"/>
  <c r="AE243" i="72"/>
  <c r="AD243" i="72"/>
  <c r="AC243" i="72"/>
  <c r="AB243" i="72"/>
  <c r="AA243" i="72"/>
  <c r="Z243" i="72"/>
  <c r="Y243" i="72"/>
  <c r="X243" i="72"/>
  <c r="W243" i="72"/>
  <c r="V243" i="72"/>
  <c r="U243" i="72"/>
  <c r="T243" i="72"/>
  <c r="S243" i="72"/>
  <c r="AM242" i="72"/>
  <c r="AL242" i="72"/>
  <c r="AK242" i="72"/>
  <c r="AJ242" i="72"/>
  <c r="AI242" i="72"/>
  <c r="AH242" i="72"/>
  <c r="AG242" i="72"/>
  <c r="AF242" i="72"/>
  <c r="AE242" i="72"/>
  <c r="AD242" i="72"/>
  <c r="AC242" i="72"/>
  <c r="AB242" i="72"/>
  <c r="AA242" i="72"/>
  <c r="Z242" i="72"/>
  <c r="Y242" i="72"/>
  <c r="X242" i="72"/>
  <c r="W242" i="72"/>
  <c r="V242" i="72"/>
  <c r="U242" i="72"/>
  <c r="T242" i="72"/>
  <c r="S242" i="72"/>
  <c r="AM241" i="72"/>
  <c r="AL241" i="72"/>
  <c r="AK241" i="72"/>
  <c r="AJ241" i="72"/>
  <c r="AI241" i="72"/>
  <c r="AH241" i="72"/>
  <c r="AG241" i="72"/>
  <c r="AF241" i="72"/>
  <c r="AE241" i="72"/>
  <c r="AD241" i="72"/>
  <c r="AC241" i="72"/>
  <c r="AB241" i="72"/>
  <c r="AA241" i="72"/>
  <c r="Z241" i="72"/>
  <c r="Y241" i="72"/>
  <c r="X241" i="72"/>
  <c r="W241" i="72"/>
  <c r="V241" i="72"/>
  <c r="U241" i="72"/>
  <c r="T241" i="72"/>
  <c r="S241" i="72"/>
  <c r="AM240" i="72"/>
  <c r="AL240" i="72"/>
  <c r="AK240" i="72"/>
  <c r="AJ240" i="72"/>
  <c r="AI240" i="72"/>
  <c r="AH240" i="72"/>
  <c r="AG240" i="72"/>
  <c r="AF240" i="72"/>
  <c r="AE240" i="72"/>
  <c r="AD240" i="72"/>
  <c r="AC240" i="72"/>
  <c r="AB240" i="72"/>
  <c r="AA240" i="72"/>
  <c r="Z240" i="72"/>
  <c r="Y240" i="72"/>
  <c r="X240" i="72"/>
  <c r="W240" i="72"/>
  <c r="V240" i="72"/>
  <c r="U240" i="72"/>
  <c r="T240" i="72"/>
  <c r="S240" i="72"/>
  <c r="AM239" i="72"/>
  <c r="AL239" i="72"/>
  <c r="AK239" i="72"/>
  <c r="AJ239" i="72"/>
  <c r="AI239" i="72"/>
  <c r="AH239" i="72"/>
  <c r="AG239" i="72"/>
  <c r="AF239" i="72"/>
  <c r="AE239" i="72"/>
  <c r="AD239" i="72"/>
  <c r="AC239" i="72"/>
  <c r="AB239" i="72"/>
  <c r="AA239" i="72"/>
  <c r="Z239" i="72"/>
  <c r="Y239" i="72"/>
  <c r="X239" i="72"/>
  <c r="W239" i="72"/>
  <c r="V239" i="72"/>
  <c r="U239" i="72"/>
  <c r="T239" i="72"/>
  <c r="S239" i="72"/>
  <c r="AM238" i="72"/>
  <c r="AL238" i="72"/>
  <c r="AK238" i="72"/>
  <c r="AJ238" i="72"/>
  <c r="AI238" i="72"/>
  <c r="AH238" i="72"/>
  <c r="AG238" i="72"/>
  <c r="AF238" i="72"/>
  <c r="AE238" i="72"/>
  <c r="AD238" i="72"/>
  <c r="AC238" i="72"/>
  <c r="AB238" i="72"/>
  <c r="AA238" i="72"/>
  <c r="Z238" i="72"/>
  <c r="Y238" i="72"/>
  <c r="X238" i="72"/>
  <c r="W238" i="72"/>
  <c r="V238" i="72"/>
  <c r="U238" i="72"/>
  <c r="T238" i="72"/>
  <c r="S238" i="72"/>
  <c r="AM237" i="72"/>
  <c r="AL237" i="72"/>
  <c r="AK237" i="72"/>
  <c r="AJ237" i="72"/>
  <c r="AI237" i="72"/>
  <c r="AH237" i="72"/>
  <c r="AG237" i="72"/>
  <c r="AF237" i="72"/>
  <c r="AE237" i="72"/>
  <c r="AD237" i="72"/>
  <c r="AC237" i="72"/>
  <c r="AB237" i="72"/>
  <c r="AA237" i="72"/>
  <c r="Z237" i="72"/>
  <c r="Y237" i="72"/>
  <c r="X237" i="72"/>
  <c r="W237" i="72"/>
  <c r="V237" i="72"/>
  <c r="U237" i="72"/>
  <c r="T237" i="72"/>
  <c r="S237" i="72"/>
  <c r="AM236" i="72"/>
  <c r="AL236" i="72"/>
  <c r="AK236" i="72"/>
  <c r="AJ236" i="72"/>
  <c r="AI236" i="72"/>
  <c r="AH236" i="72"/>
  <c r="AG236" i="72"/>
  <c r="AF236" i="72"/>
  <c r="AE236" i="72"/>
  <c r="AD236" i="72"/>
  <c r="AC236" i="72"/>
  <c r="AB236" i="72"/>
  <c r="AA236" i="72"/>
  <c r="Z236" i="72"/>
  <c r="Y236" i="72"/>
  <c r="X236" i="72"/>
  <c r="W236" i="72"/>
  <c r="V236" i="72"/>
  <c r="U236" i="72"/>
  <c r="T236" i="72"/>
  <c r="S236" i="72"/>
  <c r="AM235" i="72"/>
  <c r="AL235" i="72"/>
  <c r="AK235" i="72"/>
  <c r="AJ235" i="72"/>
  <c r="AI235" i="72"/>
  <c r="AH235" i="72"/>
  <c r="AG235" i="72"/>
  <c r="AF235" i="72"/>
  <c r="AE235" i="72"/>
  <c r="AD235" i="72"/>
  <c r="AC235" i="72"/>
  <c r="AB235" i="72"/>
  <c r="AA235" i="72"/>
  <c r="Z235" i="72"/>
  <c r="Y235" i="72"/>
  <c r="X235" i="72"/>
  <c r="W235" i="72"/>
  <c r="V235" i="72"/>
  <c r="U235" i="72"/>
  <c r="T235" i="72"/>
  <c r="S235" i="72"/>
  <c r="AM234" i="72"/>
  <c r="AL234" i="72"/>
  <c r="AK234" i="72"/>
  <c r="AJ234" i="72"/>
  <c r="AI234" i="72"/>
  <c r="AH234" i="72"/>
  <c r="AG234" i="72"/>
  <c r="AF234" i="72"/>
  <c r="AE234" i="72"/>
  <c r="AD234" i="72"/>
  <c r="AC234" i="72"/>
  <c r="AB234" i="72"/>
  <c r="AA234" i="72"/>
  <c r="Z234" i="72"/>
  <c r="Y234" i="72"/>
  <c r="X234" i="72"/>
  <c r="W234" i="72"/>
  <c r="V234" i="72"/>
  <c r="U234" i="72"/>
  <c r="T234" i="72"/>
  <c r="S234" i="72"/>
  <c r="AM233" i="72"/>
  <c r="AL233" i="72"/>
  <c r="AK233" i="72"/>
  <c r="AJ233" i="72"/>
  <c r="AI233" i="72"/>
  <c r="AH233" i="72"/>
  <c r="AG233" i="72"/>
  <c r="AF233" i="72"/>
  <c r="AE233" i="72"/>
  <c r="AD233" i="72"/>
  <c r="AC233" i="72"/>
  <c r="AB233" i="72"/>
  <c r="AA233" i="72"/>
  <c r="Z233" i="72"/>
  <c r="Y233" i="72"/>
  <c r="X233" i="72"/>
  <c r="W233" i="72"/>
  <c r="V233" i="72"/>
  <c r="U233" i="72"/>
  <c r="T233" i="72"/>
  <c r="S233" i="72"/>
  <c r="AM232" i="72"/>
  <c r="AL232" i="72"/>
  <c r="AK232" i="72"/>
  <c r="AJ232" i="72"/>
  <c r="AI232" i="72"/>
  <c r="AH232" i="72"/>
  <c r="AG232" i="72"/>
  <c r="AF232" i="72"/>
  <c r="AE232" i="72"/>
  <c r="AD232" i="72"/>
  <c r="AC232" i="72"/>
  <c r="AB232" i="72"/>
  <c r="AA232" i="72"/>
  <c r="Z232" i="72"/>
  <c r="Y232" i="72"/>
  <c r="X232" i="72"/>
  <c r="W232" i="72"/>
  <c r="V232" i="72"/>
  <c r="U232" i="72"/>
  <c r="T232" i="72"/>
  <c r="S232" i="72"/>
  <c r="AM231" i="72"/>
  <c r="AL231" i="72"/>
  <c r="AK231" i="72"/>
  <c r="AJ231" i="72"/>
  <c r="AI231" i="72"/>
  <c r="AH231" i="72"/>
  <c r="AG231" i="72"/>
  <c r="AF231" i="72"/>
  <c r="AE231" i="72"/>
  <c r="AD231" i="72"/>
  <c r="AC231" i="72"/>
  <c r="AB231" i="72"/>
  <c r="AA231" i="72"/>
  <c r="Z231" i="72"/>
  <c r="Y231" i="72"/>
  <c r="X231" i="72"/>
  <c r="W231" i="72"/>
  <c r="V231" i="72"/>
  <c r="U231" i="72"/>
  <c r="T231" i="72"/>
  <c r="S231" i="72"/>
  <c r="AM230" i="72"/>
  <c r="AL230" i="72"/>
  <c r="AK230" i="72"/>
  <c r="AJ230" i="72"/>
  <c r="AI230" i="72"/>
  <c r="AH230" i="72"/>
  <c r="AG230" i="72"/>
  <c r="AF230" i="72"/>
  <c r="AE230" i="72"/>
  <c r="AD230" i="72"/>
  <c r="AC230" i="72"/>
  <c r="AB230" i="72"/>
  <c r="AA230" i="72"/>
  <c r="Z230" i="72"/>
  <c r="Y230" i="72"/>
  <c r="X230" i="72"/>
  <c r="W230" i="72"/>
  <c r="V230" i="72"/>
  <c r="U230" i="72"/>
  <c r="T230" i="72"/>
  <c r="S230" i="72"/>
  <c r="AM229" i="72"/>
  <c r="AL229" i="72"/>
  <c r="AK229" i="72"/>
  <c r="AJ229" i="72"/>
  <c r="AI229" i="72"/>
  <c r="AH229" i="72"/>
  <c r="AG229" i="72"/>
  <c r="AF229" i="72"/>
  <c r="AE229" i="72"/>
  <c r="AD229" i="72"/>
  <c r="AC229" i="72"/>
  <c r="AB229" i="72"/>
  <c r="AA229" i="72"/>
  <c r="Z229" i="72"/>
  <c r="Y229" i="72"/>
  <c r="X229" i="72"/>
  <c r="W229" i="72"/>
  <c r="V229" i="72"/>
  <c r="U229" i="72"/>
  <c r="T229" i="72"/>
  <c r="S229" i="72"/>
  <c r="AM228" i="72"/>
  <c r="AL228" i="72"/>
  <c r="AK228" i="72"/>
  <c r="AJ228" i="72"/>
  <c r="AI228" i="72"/>
  <c r="AH228" i="72"/>
  <c r="AG228" i="72"/>
  <c r="AF228" i="72"/>
  <c r="AE228" i="72"/>
  <c r="AD228" i="72"/>
  <c r="AC228" i="72"/>
  <c r="AB228" i="72"/>
  <c r="AA228" i="72"/>
  <c r="Z228" i="72"/>
  <c r="Y228" i="72"/>
  <c r="X228" i="72"/>
  <c r="W228" i="72"/>
  <c r="V228" i="72"/>
  <c r="U228" i="72"/>
  <c r="T228" i="72"/>
  <c r="S228" i="72"/>
  <c r="AM227" i="72"/>
  <c r="AL227" i="72"/>
  <c r="AK227" i="72"/>
  <c r="AJ227" i="72"/>
  <c r="AI227" i="72"/>
  <c r="AH227" i="72"/>
  <c r="AG227" i="72"/>
  <c r="AF227" i="72"/>
  <c r="AE227" i="72"/>
  <c r="AD227" i="72"/>
  <c r="AC227" i="72"/>
  <c r="AB227" i="72"/>
  <c r="AA227" i="72"/>
  <c r="Z227" i="72"/>
  <c r="Y227" i="72"/>
  <c r="X227" i="72"/>
  <c r="W227" i="72"/>
  <c r="V227" i="72"/>
  <c r="U227" i="72"/>
  <c r="T227" i="72"/>
  <c r="S227" i="72"/>
  <c r="AM226" i="72"/>
  <c r="AL226" i="72"/>
  <c r="AK226" i="72"/>
  <c r="AJ226" i="72"/>
  <c r="AI226" i="72"/>
  <c r="AH226" i="72"/>
  <c r="AG226" i="72"/>
  <c r="AF226" i="72"/>
  <c r="AE226" i="72"/>
  <c r="AD226" i="72"/>
  <c r="AC226" i="72"/>
  <c r="AB226" i="72"/>
  <c r="AA226" i="72"/>
  <c r="Z226" i="72"/>
  <c r="Y226" i="72"/>
  <c r="X226" i="72"/>
  <c r="W226" i="72"/>
  <c r="V226" i="72"/>
  <c r="U226" i="72"/>
  <c r="T226" i="72"/>
  <c r="S226" i="72"/>
  <c r="AM225" i="72"/>
  <c r="AL225" i="72"/>
  <c r="AK225" i="72"/>
  <c r="AJ225" i="72"/>
  <c r="AI225" i="72"/>
  <c r="AH225" i="72"/>
  <c r="AG225" i="72"/>
  <c r="AF225" i="72"/>
  <c r="AE225" i="72"/>
  <c r="AD225" i="72"/>
  <c r="AC225" i="72"/>
  <c r="AB225" i="72"/>
  <c r="AA225" i="72"/>
  <c r="Z225" i="72"/>
  <c r="Y225" i="72"/>
  <c r="X225" i="72"/>
  <c r="W225" i="72"/>
  <c r="V225" i="72"/>
  <c r="U225" i="72"/>
  <c r="T225" i="72"/>
  <c r="S225" i="72"/>
  <c r="AM224" i="72"/>
  <c r="AL224" i="72"/>
  <c r="AK224" i="72"/>
  <c r="AJ224" i="72"/>
  <c r="AI224" i="72"/>
  <c r="AH224" i="72"/>
  <c r="AG224" i="72"/>
  <c r="AF224" i="72"/>
  <c r="AE224" i="72"/>
  <c r="AD224" i="72"/>
  <c r="AC224" i="72"/>
  <c r="AB224" i="72"/>
  <c r="AA224" i="72"/>
  <c r="Z224" i="72"/>
  <c r="Y224" i="72"/>
  <c r="X224" i="72"/>
  <c r="W224" i="72"/>
  <c r="V224" i="72"/>
  <c r="U224" i="72"/>
  <c r="T224" i="72"/>
  <c r="S224" i="72"/>
  <c r="AM223" i="72"/>
  <c r="AL223" i="72"/>
  <c r="AK223" i="72"/>
  <c r="AJ223" i="72"/>
  <c r="AI223" i="72"/>
  <c r="AH223" i="72"/>
  <c r="AG223" i="72"/>
  <c r="AF223" i="72"/>
  <c r="AE223" i="72"/>
  <c r="AD223" i="72"/>
  <c r="AC223" i="72"/>
  <c r="AB223" i="72"/>
  <c r="AA223" i="72"/>
  <c r="Z223" i="72"/>
  <c r="Y223" i="72"/>
  <c r="X223" i="72"/>
  <c r="W223" i="72"/>
  <c r="V223" i="72"/>
  <c r="U223" i="72"/>
  <c r="T223" i="72"/>
  <c r="S223" i="72"/>
  <c r="AM222" i="72"/>
  <c r="AL222" i="72"/>
  <c r="AK222" i="72"/>
  <c r="AJ222" i="72"/>
  <c r="AI222" i="72"/>
  <c r="AH222" i="72"/>
  <c r="AG222" i="72"/>
  <c r="AF222" i="72"/>
  <c r="AE222" i="72"/>
  <c r="AD222" i="72"/>
  <c r="AC222" i="72"/>
  <c r="AB222" i="72"/>
  <c r="AA222" i="72"/>
  <c r="Z222" i="72"/>
  <c r="Y222" i="72"/>
  <c r="AN222" i="72" s="1"/>
  <c r="X222" i="72"/>
  <c r="W222" i="72"/>
  <c r="V222" i="72"/>
  <c r="U222" i="72"/>
  <c r="T222" i="72"/>
  <c r="S222" i="72"/>
  <c r="AM221" i="72"/>
  <c r="AL221" i="72"/>
  <c r="AK221" i="72"/>
  <c r="AJ221" i="72"/>
  <c r="AI221" i="72"/>
  <c r="AH221" i="72"/>
  <c r="AG221" i="72"/>
  <c r="AF221" i="72"/>
  <c r="AE221" i="72"/>
  <c r="AD221" i="72"/>
  <c r="AC221" i="72"/>
  <c r="AB221" i="72"/>
  <c r="AA221" i="72"/>
  <c r="Z221" i="72"/>
  <c r="Y221" i="72"/>
  <c r="X221" i="72"/>
  <c r="W221" i="72"/>
  <c r="V221" i="72"/>
  <c r="U221" i="72"/>
  <c r="T221" i="72"/>
  <c r="S221" i="72"/>
  <c r="AM220" i="72"/>
  <c r="AL220" i="72"/>
  <c r="AK220" i="72"/>
  <c r="AJ220" i="72"/>
  <c r="AI220" i="72"/>
  <c r="AH220" i="72"/>
  <c r="AG220" i="72"/>
  <c r="AF220" i="72"/>
  <c r="AE220" i="72"/>
  <c r="AD220" i="72"/>
  <c r="AC220" i="72"/>
  <c r="AB220" i="72"/>
  <c r="AA220" i="72"/>
  <c r="Z220" i="72"/>
  <c r="Y220" i="72"/>
  <c r="X220" i="72"/>
  <c r="W220" i="72"/>
  <c r="V220" i="72"/>
  <c r="U220" i="72"/>
  <c r="T220" i="72"/>
  <c r="S220" i="72"/>
  <c r="AM219" i="72"/>
  <c r="AL219" i="72"/>
  <c r="AK219" i="72"/>
  <c r="AJ219" i="72"/>
  <c r="AI219" i="72"/>
  <c r="AH219" i="72"/>
  <c r="AG219" i="72"/>
  <c r="AF219" i="72"/>
  <c r="AE219" i="72"/>
  <c r="AD219" i="72"/>
  <c r="AC219" i="72"/>
  <c r="AB219" i="72"/>
  <c r="AA219" i="72"/>
  <c r="Z219" i="72"/>
  <c r="Y219" i="72"/>
  <c r="X219" i="72"/>
  <c r="W219" i="72"/>
  <c r="V219" i="72"/>
  <c r="U219" i="72"/>
  <c r="T219" i="72"/>
  <c r="S219" i="72"/>
  <c r="AM218" i="72"/>
  <c r="AL218" i="72"/>
  <c r="AK218" i="72"/>
  <c r="AJ218" i="72"/>
  <c r="AI218" i="72"/>
  <c r="AH218" i="72"/>
  <c r="AG218" i="72"/>
  <c r="AF218" i="72"/>
  <c r="AE218" i="72"/>
  <c r="AD218" i="72"/>
  <c r="AC218" i="72"/>
  <c r="AB218" i="72"/>
  <c r="AA218" i="72"/>
  <c r="Z218" i="72"/>
  <c r="Y218" i="72"/>
  <c r="X218" i="72"/>
  <c r="W218" i="72"/>
  <c r="V218" i="72"/>
  <c r="U218" i="72"/>
  <c r="T218" i="72"/>
  <c r="S218" i="72"/>
  <c r="AM217" i="72"/>
  <c r="AL217" i="72"/>
  <c r="AK217" i="72"/>
  <c r="AJ217" i="72"/>
  <c r="AI217" i="72"/>
  <c r="AH217" i="72"/>
  <c r="AG217" i="72"/>
  <c r="AF217" i="72"/>
  <c r="AE217" i="72"/>
  <c r="AD217" i="72"/>
  <c r="AC217" i="72"/>
  <c r="AB217" i="72"/>
  <c r="AA217" i="72"/>
  <c r="Z217" i="72"/>
  <c r="Y217" i="72"/>
  <c r="X217" i="72"/>
  <c r="W217" i="72"/>
  <c r="V217" i="72"/>
  <c r="U217" i="72"/>
  <c r="T217" i="72"/>
  <c r="S217" i="72"/>
  <c r="AM216" i="72"/>
  <c r="AL216" i="72"/>
  <c r="AK216" i="72"/>
  <c r="AJ216" i="72"/>
  <c r="AI216" i="72"/>
  <c r="AH216" i="72"/>
  <c r="AG216" i="72"/>
  <c r="AF216" i="72"/>
  <c r="AE216" i="72"/>
  <c r="AD216" i="72"/>
  <c r="AC216" i="72"/>
  <c r="AB216" i="72"/>
  <c r="AA216" i="72"/>
  <c r="Z216" i="72"/>
  <c r="Y216" i="72"/>
  <c r="X216" i="72"/>
  <c r="W216" i="72"/>
  <c r="V216" i="72"/>
  <c r="U216" i="72"/>
  <c r="T216" i="72"/>
  <c r="S216" i="72"/>
  <c r="AM215" i="72"/>
  <c r="AL215" i="72"/>
  <c r="AK215" i="72"/>
  <c r="AJ215" i="72"/>
  <c r="AI215" i="72"/>
  <c r="AH215" i="72"/>
  <c r="AG215" i="72"/>
  <c r="AF215" i="72"/>
  <c r="AE215" i="72"/>
  <c r="AD215" i="72"/>
  <c r="AC215" i="72"/>
  <c r="AB215" i="72"/>
  <c r="AA215" i="72"/>
  <c r="Z215" i="72"/>
  <c r="Y215" i="72"/>
  <c r="X215" i="72"/>
  <c r="W215" i="72"/>
  <c r="V215" i="72"/>
  <c r="U215" i="72"/>
  <c r="T215" i="72"/>
  <c r="S215" i="72"/>
  <c r="AM214" i="72"/>
  <c r="AL214" i="72"/>
  <c r="AK214" i="72"/>
  <c r="AJ214" i="72"/>
  <c r="AI214" i="72"/>
  <c r="AH214" i="72"/>
  <c r="AG214" i="72"/>
  <c r="AF214" i="72"/>
  <c r="AE214" i="72"/>
  <c r="AD214" i="72"/>
  <c r="AC214" i="72"/>
  <c r="AB214" i="72"/>
  <c r="AA214" i="72"/>
  <c r="Z214" i="72"/>
  <c r="Y214" i="72"/>
  <c r="X214" i="72"/>
  <c r="W214" i="72"/>
  <c r="V214" i="72"/>
  <c r="U214" i="72"/>
  <c r="T214" i="72"/>
  <c r="S214" i="72"/>
  <c r="AM213" i="72"/>
  <c r="AL213" i="72"/>
  <c r="AK213" i="72"/>
  <c r="AJ213" i="72"/>
  <c r="AI213" i="72"/>
  <c r="AH213" i="72"/>
  <c r="AG213" i="72"/>
  <c r="AF213" i="72"/>
  <c r="AE213" i="72"/>
  <c r="AD213" i="72"/>
  <c r="AC213" i="72"/>
  <c r="AB213" i="72"/>
  <c r="AA213" i="72"/>
  <c r="Z213" i="72"/>
  <c r="Y213" i="72"/>
  <c r="X213" i="72"/>
  <c r="W213" i="72"/>
  <c r="V213" i="72"/>
  <c r="U213" i="72"/>
  <c r="T213" i="72"/>
  <c r="S213" i="72"/>
  <c r="AM212" i="72"/>
  <c r="AL212" i="72"/>
  <c r="AK212" i="72"/>
  <c r="AJ212" i="72"/>
  <c r="AI212" i="72"/>
  <c r="AH212" i="72"/>
  <c r="AG212" i="72"/>
  <c r="AF212" i="72"/>
  <c r="AE212" i="72"/>
  <c r="AD212" i="72"/>
  <c r="AC212" i="72"/>
  <c r="AB212" i="72"/>
  <c r="AA212" i="72"/>
  <c r="Z212" i="72"/>
  <c r="Y212" i="72"/>
  <c r="X212" i="72"/>
  <c r="W212" i="72"/>
  <c r="V212" i="72"/>
  <c r="U212" i="72"/>
  <c r="T212" i="72"/>
  <c r="S212" i="72"/>
  <c r="AM211" i="72"/>
  <c r="AL211" i="72"/>
  <c r="AK211" i="72"/>
  <c r="AJ211" i="72"/>
  <c r="AI211" i="72"/>
  <c r="AH211" i="72"/>
  <c r="AG211" i="72"/>
  <c r="AF211" i="72"/>
  <c r="AE211" i="72"/>
  <c r="AD211" i="72"/>
  <c r="AC211" i="72"/>
  <c r="AB211" i="72"/>
  <c r="AA211" i="72"/>
  <c r="Z211" i="72"/>
  <c r="Y211" i="72"/>
  <c r="X211" i="72"/>
  <c r="W211" i="72"/>
  <c r="V211" i="72"/>
  <c r="U211" i="72"/>
  <c r="T211" i="72"/>
  <c r="S211" i="72"/>
  <c r="AM210" i="72"/>
  <c r="AL210" i="72"/>
  <c r="AK210" i="72"/>
  <c r="AJ210" i="72"/>
  <c r="AI210" i="72"/>
  <c r="AH210" i="72"/>
  <c r="AG210" i="72"/>
  <c r="AF210" i="72"/>
  <c r="AE210" i="72"/>
  <c r="AD210" i="72"/>
  <c r="AC210" i="72"/>
  <c r="AB210" i="72"/>
  <c r="AA210" i="72"/>
  <c r="Z210" i="72"/>
  <c r="Y210" i="72"/>
  <c r="X210" i="72"/>
  <c r="W210" i="72"/>
  <c r="V210" i="72"/>
  <c r="U210" i="72"/>
  <c r="T210" i="72"/>
  <c r="S210" i="72"/>
  <c r="AM209" i="72"/>
  <c r="AL209" i="72"/>
  <c r="AK209" i="72"/>
  <c r="AJ209" i="72"/>
  <c r="AI209" i="72"/>
  <c r="AH209" i="72"/>
  <c r="AG209" i="72"/>
  <c r="AF209" i="72"/>
  <c r="AE209" i="72"/>
  <c r="AD209" i="72"/>
  <c r="AC209" i="72"/>
  <c r="AB209" i="72"/>
  <c r="AA209" i="72"/>
  <c r="Z209" i="72"/>
  <c r="Y209" i="72"/>
  <c r="X209" i="72"/>
  <c r="W209" i="72"/>
  <c r="V209" i="72"/>
  <c r="U209" i="72"/>
  <c r="T209" i="72"/>
  <c r="S209" i="72"/>
  <c r="AM208" i="72"/>
  <c r="AL208" i="72"/>
  <c r="AK208" i="72"/>
  <c r="AJ208" i="72"/>
  <c r="AI208" i="72"/>
  <c r="AH208" i="72"/>
  <c r="AG208" i="72"/>
  <c r="AF208" i="72"/>
  <c r="AE208" i="72"/>
  <c r="AD208" i="72"/>
  <c r="AC208" i="72"/>
  <c r="AB208" i="72"/>
  <c r="AA208" i="72"/>
  <c r="Z208" i="72"/>
  <c r="Y208" i="72"/>
  <c r="X208" i="72"/>
  <c r="W208" i="72"/>
  <c r="V208" i="72"/>
  <c r="U208" i="72"/>
  <c r="T208" i="72"/>
  <c r="S208" i="72"/>
  <c r="AM207" i="72"/>
  <c r="AL207" i="72"/>
  <c r="AK207" i="72"/>
  <c r="AJ207" i="72"/>
  <c r="AI207" i="72"/>
  <c r="AH207" i="72"/>
  <c r="AG207" i="72"/>
  <c r="AF207" i="72"/>
  <c r="AE207" i="72"/>
  <c r="AD207" i="72"/>
  <c r="AC207" i="72"/>
  <c r="AB207" i="72"/>
  <c r="AA207" i="72"/>
  <c r="Z207" i="72"/>
  <c r="Y207" i="72"/>
  <c r="X207" i="72"/>
  <c r="W207" i="72"/>
  <c r="V207" i="72"/>
  <c r="U207" i="72"/>
  <c r="T207" i="72"/>
  <c r="S207" i="72"/>
  <c r="AM206" i="72"/>
  <c r="AL206" i="72"/>
  <c r="AK206" i="72"/>
  <c r="AJ206" i="72"/>
  <c r="AI206" i="72"/>
  <c r="AH206" i="72"/>
  <c r="AG206" i="72"/>
  <c r="AF206" i="72"/>
  <c r="AE206" i="72"/>
  <c r="AD206" i="72"/>
  <c r="AC206" i="72"/>
  <c r="AB206" i="72"/>
  <c r="AA206" i="72"/>
  <c r="Z206" i="72"/>
  <c r="Y206" i="72"/>
  <c r="X206" i="72"/>
  <c r="W206" i="72"/>
  <c r="V206" i="72"/>
  <c r="U206" i="72"/>
  <c r="T206" i="72"/>
  <c r="S206" i="72"/>
  <c r="AM205" i="72"/>
  <c r="AL205" i="72"/>
  <c r="AK205" i="72"/>
  <c r="AJ205" i="72"/>
  <c r="AI205" i="72"/>
  <c r="AH205" i="72"/>
  <c r="AG205" i="72"/>
  <c r="AF205" i="72"/>
  <c r="AE205" i="72"/>
  <c r="AD205" i="72"/>
  <c r="AC205" i="72"/>
  <c r="AB205" i="72"/>
  <c r="AA205" i="72"/>
  <c r="Z205" i="72"/>
  <c r="Y205" i="72"/>
  <c r="X205" i="72"/>
  <c r="W205" i="72"/>
  <c r="V205" i="72"/>
  <c r="U205" i="72"/>
  <c r="T205" i="72"/>
  <c r="S205" i="72"/>
  <c r="AM204" i="72"/>
  <c r="AL204" i="72"/>
  <c r="AK204" i="72"/>
  <c r="AJ204" i="72"/>
  <c r="AI204" i="72"/>
  <c r="AH204" i="72"/>
  <c r="AG204" i="72"/>
  <c r="AF204" i="72"/>
  <c r="AE204" i="72"/>
  <c r="AD204" i="72"/>
  <c r="AC204" i="72"/>
  <c r="AB204" i="72"/>
  <c r="AA204" i="72"/>
  <c r="Z204" i="72"/>
  <c r="Y204" i="72"/>
  <c r="X204" i="72"/>
  <c r="W204" i="72"/>
  <c r="V204" i="72"/>
  <c r="U204" i="72"/>
  <c r="T204" i="72"/>
  <c r="S204" i="72"/>
  <c r="AM203" i="72"/>
  <c r="AL203" i="72"/>
  <c r="AK203" i="72"/>
  <c r="AJ203" i="72"/>
  <c r="AI203" i="72"/>
  <c r="AH203" i="72"/>
  <c r="AG203" i="72"/>
  <c r="AF203" i="72"/>
  <c r="AE203" i="72"/>
  <c r="AD203" i="72"/>
  <c r="AC203" i="72"/>
  <c r="AB203" i="72"/>
  <c r="AA203" i="72"/>
  <c r="Z203" i="72"/>
  <c r="Y203" i="72"/>
  <c r="X203" i="72"/>
  <c r="W203" i="72"/>
  <c r="V203" i="72"/>
  <c r="U203" i="72"/>
  <c r="T203" i="72"/>
  <c r="S203" i="72"/>
  <c r="AM202" i="72"/>
  <c r="AL202" i="72"/>
  <c r="AK202" i="72"/>
  <c r="AJ202" i="72"/>
  <c r="AI202" i="72"/>
  <c r="AH202" i="72"/>
  <c r="AG202" i="72"/>
  <c r="AF202" i="72"/>
  <c r="AE202" i="72"/>
  <c r="AD202" i="72"/>
  <c r="AC202" i="72"/>
  <c r="AB202" i="72"/>
  <c r="AA202" i="72"/>
  <c r="Z202" i="72"/>
  <c r="Y202" i="72"/>
  <c r="X202" i="72"/>
  <c r="W202" i="72"/>
  <c r="V202" i="72"/>
  <c r="U202" i="72"/>
  <c r="T202" i="72"/>
  <c r="S202" i="72"/>
  <c r="AM201" i="72"/>
  <c r="AL201" i="72"/>
  <c r="AK201" i="72"/>
  <c r="AJ201" i="72"/>
  <c r="AI201" i="72"/>
  <c r="AH201" i="72"/>
  <c r="AG201" i="72"/>
  <c r="AF201" i="72"/>
  <c r="AE201" i="72"/>
  <c r="AD201" i="72"/>
  <c r="AC201" i="72"/>
  <c r="AB201" i="72"/>
  <c r="AA201" i="72"/>
  <c r="Z201" i="72"/>
  <c r="Y201" i="72"/>
  <c r="X201" i="72"/>
  <c r="W201" i="72"/>
  <c r="V201" i="72"/>
  <c r="U201" i="72"/>
  <c r="T201" i="72"/>
  <c r="S201" i="72"/>
  <c r="AM200" i="72"/>
  <c r="AL200" i="72"/>
  <c r="AK200" i="72"/>
  <c r="AJ200" i="72"/>
  <c r="AI200" i="72"/>
  <c r="AH200" i="72"/>
  <c r="AG200" i="72"/>
  <c r="AF200" i="72"/>
  <c r="AE200" i="72"/>
  <c r="AD200" i="72"/>
  <c r="AC200" i="72"/>
  <c r="AB200" i="72"/>
  <c r="AA200" i="72"/>
  <c r="Z200" i="72"/>
  <c r="Y200" i="72"/>
  <c r="X200" i="72"/>
  <c r="W200" i="72"/>
  <c r="V200" i="72"/>
  <c r="U200" i="72"/>
  <c r="T200" i="72"/>
  <c r="S200" i="72"/>
  <c r="AM199" i="72"/>
  <c r="AL199" i="72"/>
  <c r="AK199" i="72"/>
  <c r="AJ199" i="72"/>
  <c r="AI199" i="72"/>
  <c r="AH199" i="72"/>
  <c r="AG199" i="72"/>
  <c r="AF199" i="72"/>
  <c r="AE199" i="72"/>
  <c r="AD199" i="72"/>
  <c r="AC199" i="72"/>
  <c r="AB199" i="72"/>
  <c r="AA199" i="72"/>
  <c r="Z199" i="72"/>
  <c r="Y199" i="72"/>
  <c r="X199" i="72"/>
  <c r="W199" i="72"/>
  <c r="V199" i="72"/>
  <c r="U199" i="72"/>
  <c r="T199" i="72"/>
  <c r="S199" i="72"/>
  <c r="AM198" i="72"/>
  <c r="AL198" i="72"/>
  <c r="AK198" i="72"/>
  <c r="AJ198" i="72"/>
  <c r="AI198" i="72"/>
  <c r="AH198" i="72"/>
  <c r="AG198" i="72"/>
  <c r="AF198" i="72"/>
  <c r="AE198" i="72"/>
  <c r="AD198" i="72"/>
  <c r="AC198" i="72"/>
  <c r="AB198" i="72"/>
  <c r="AA198" i="72"/>
  <c r="Z198" i="72"/>
  <c r="Y198" i="72"/>
  <c r="X198" i="72"/>
  <c r="W198" i="72"/>
  <c r="V198" i="72"/>
  <c r="U198" i="72"/>
  <c r="T198" i="72"/>
  <c r="S198" i="72"/>
  <c r="AM197" i="72"/>
  <c r="AL197" i="72"/>
  <c r="AK197" i="72"/>
  <c r="AJ197" i="72"/>
  <c r="AI197" i="72"/>
  <c r="AH197" i="72"/>
  <c r="AG197" i="72"/>
  <c r="AF197" i="72"/>
  <c r="AE197" i="72"/>
  <c r="AD197" i="72"/>
  <c r="AC197" i="72"/>
  <c r="AB197" i="72"/>
  <c r="AA197" i="72"/>
  <c r="Z197" i="72"/>
  <c r="Y197" i="72"/>
  <c r="X197" i="72"/>
  <c r="W197" i="72"/>
  <c r="V197" i="72"/>
  <c r="U197" i="72"/>
  <c r="T197" i="72"/>
  <c r="S197" i="72"/>
  <c r="AM196" i="72"/>
  <c r="AL196" i="72"/>
  <c r="AK196" i="72"/>
  <c r="AJ196" i="72"/>
  <c r="AI196" i="72"/>
  <c r="AH196" i="72"/>
  <c r="AG196" i="72"/>
  <c r="AF196" i="72"/>
  <c r="AE196" i="72"/>
  <c r="AD196" i="72"/>
  <c r="AC196" i="72"/>
  <c r="AB196" i="72"/>
  <c r="AA196" i="72"/>
  <c r="Z196" i="72"/>
  <c r="Y196" i="72"/>
  <c r="X196" i="72"/>
  <c r="W196" i="72"/>
  <c r="V196" i="72"/>
  <c r="U196" i="72"/>
  <c r="T196" i="72"/>
  <c r="S196" i="72"/>
  <c r="AM195" i="72"/>
  <c r="AL195" i="72"/>
  <c r="AK195" i="72"/>
  <c r="AJ195" i="72"/>
  <c r="AI195" i="72"/>
  <c r="AH195" i="72"/>
  <c r="AG195" i="72"/>
  <c r="AF195" i="72"/>
  <c r="AE195" i="72"/>
  <c r="AD195" i="72"/>
  <c r="AC195" i="72"/>
  <c r="AB195" i="72"/>
  <c r="AA195" i="72"/>
  <c r="Z195" i="72"/>
  <c r="Y195" i="72"/>
  <c r="X195" i="72"/>
  <c r="W195" i="72"/>
  <c r="V195" i="72"/>
  <c r="U195" i="72"/>
  <c r="T195" i="72"/>
  <c r="S195" i="72"/>
  <c r="AM194" i="72"/>
  <c r="AL194" i="72"/>
  <c r="AK194" i="72"/>
  <c r="AJ194" i="72"/>
  <c r="AI194" i="72"/>
  <c r="AH194" i="72"/>
  <c r="AG194" i="72"/>
  <c r="AF194" i="72"/>
  <c r="AE194" i="72"/>
  <c r="AD194" i="72"/>
  <c r="AC194" i="72"/>
  <c r="AB194" i="72"/>
  <c r="AA194" i="72"/>
  <c r="Z194" i="72"/>
  <c r="Y194" i="72"/>
  <c r="X194" i="72"/>
  <c r="W194" i="72"/>
  <c r="V194" i="72"/>
  <c r="U194" i="72"/>
  <c r="T194" i="72"/>
  <c r="S194" i="72"/>
  <c r="AM193" i="72"/>
  <c r="AL193" i="72"/>
  <c r="AK193" i="72"/>
  <c r="AJ193" i="72"/>
  <c r="AI193" i="72"/>
  <c r="AH193" i="72"/>
  <c r="AG193" i="72"/>
  <c r="AF193" i="72"/>
  <c r="AE193" i="72"/>
  <c r="AD193" i="72"/>
  <c r="AC193" i="72"/>
  <c r="AB193" i="72"/>
  <c r="AA193" i="72"/>
  <c r="Z193" i="72"/>
  <c r="Y193" i="72"/>
  <c r="X193" i="72"/>
  <c r="W193" i="72"/>
  <c r="V193" i="72"/>
  <c r="U193" i="72"/>
  <c r="T193" i="72"/>
  <c r="S193" i="72"/>
  <c r="AM192" i="72"/>
  <c r="AL192" i="72"/>
  <c r="AK192" i="72"/>
  <c r="AJ192" i="72"/>
  <c r="AI192" i="72"/>
  <c r="AH192" i="72"/>
  <c r="AG192" i="72"/>
  <c r="AF192" i="72"/>
  <c r="AE192" i="72"/>
  <c r="AD192" i="72"/>
  <c r="AC192" i="72"/>
  <c r="AB192" i="72"/>
  <c r="AA192" i="72"/>
  <c r="Z192" i="72"/>
  <c r="Y192" i="72"/>
  <c r="X192" i="72"/>
  <c r="W192" i="72"/>
  <c r="V192" i="72"/>
  <c r="U192" i="72"/>
  <c r="T192" i="72"/>
  <c r="S192" i="72"/>
  <c r="AM191" i="72"/>
  <c r="AL191" i="72"/>
  <c r="AK191" i="72"/>
  <c r="AJ191" i="72"/>
  <c r="AI191" i="72"/>
  <c r="AH191" i="72"/>
  <c r="AG191" i="72"/>
  <c r="AF191" i="72"/>
  <c r="AE191" i="72"/>
  <c r="AD191" i="72"/>
  <c r="AC191" i="72"/>
  <c r="AB191" i="72"/>
  <c r="AA191" i="72"/>
  <c r="Z191" i="72"/>
  <c r="Y191" i="72"/>
  <c r="X191" i="72"/>
  <c r="W191" i="72"/>
  <c r="V191" i="72"/>
  <c r="U191" i="72"/>
  <c r="T191" i="72"/>
  <c r="S191" i="72"/>
  <c r="AM190" i="72"/>
  <c r="AL190" i="72"/>
  <c r="AK190" i="72"/>
  <c r="AJ190" i="72"/>
  <c r="AI190" i="72"/>
  <c r="AH190" i="72"/>
  <c r="AG190" i="72"/>
  <c r="AF190" i="72"/>
  <c r="AE190" i="72"/>
  <c r="AD190" i="72"/>
  <c r="AC190" i="72"/>
  <c r="AB190" i="72"/>
  <c r="AA190" i="72"/>
  <c r="Z190" i="72"/>
  <c r="Y190" i="72"/>
  <c r="X190" i="72"/>
  <c r="W190" i="72"/>
  <c r="V190" i="72"/>
  <c r="U190" i="72"/>
  <c r="T190" i="72"/>
  <c r="S190" i="72"/>
  <c r="AM189" i="72"/>
  <c r="AL189" i="72"/>
  <c r="AK189" i="72"/>
  <c r="AJ189" i="72"/>
  <c r="AI189" i="72"/>
  <c r="AH189" i="72"/>
  <c r="AG189" i="72"/>
  <c r="AF189" i="72"/>
  <c r="AE189" i="72"/>
  <c r="AD189" i="72"/>
  <c r="AC189" i="72"/>
  <c r="AB189" i="72"/>
  <c r="AA189" i="72"/>
  <c r="Z189" i="72"/>
  <c r="Y189" i="72"/>
  <c r="X189" i="72"/>
  <c r="W189" i="72"/>
  <c r="V189" i="72"/>
  <c r="U189" i="72"/>
  <c r="T189" i="72"/>
  <c r="S189" i="72"/>
  <c r="AM188" i="72"/>
  <c r="AL188" i="72"/>
  <c r="AK188" i="72"/>
  <c r="AJ188" i="72"/>
  <c r="AI188" i="72"/>
  <c r="AH188" i="72"/>
  <c r="AG188" i="72"/>
  <c r="AF188" i="72"/>
  <c r="AE188" i="72"/>
  <c r="AD188" i="72"/>
  <c r="AC188" i="72"/>
  <c r="AB188" i="72"/>
  <c r="AA188" i="72"/>
  <c r="Z188" i="72"/>
  <c r="Y188" i="72"/>
  <c r="X188" i="72"/>
  <c r="W188" i="72"/>
  <c r="V188" i="72"/>
  <c r="U188" i="72"/>
  <c r="T188" i="72"/>
  <c r="S188" i="72"/>
  <c r="AM187" i="72"/>
  <c r="AL187" i="72"/>
  <c r="AK187" i="72"/>
  <c r="AJ187" i="72"/>
  <c r="AI187" i="72"/>
  <c r="AH187" i="72"/>
  <c r="AG187" i="72"/>
  <c r="AF187" i="72"/>
  <c r="AE187" i="72"/>
  <c r="AD187" i="72"/>
  <c r="AC187" i="72"/>
  <c r="AB187" i="72"/>
  <c r="AA187" i="72"/>
  <c r="Z187" i="72"/>
  <c r="Y187" i="72"/>
  <c r="X187" i="72"/>
  <c r="W187" i="72"/>
  <c r="V187" i="72"/>
  <c r="U187" i="72"/>
  <c r="T187" i="72"/>
  <c r="S187" i="72"/>
  <c r="AM186" i="72"/>
  <c r="AL186" i="72"/>
  <c r="AK186" i="72"/>
  <c r="AJ186" i="72"/>
  <c r="AI186" i="72"/>
  <c r="AH186" i="72"/>
  <c r="AG186" i="72"/>
  <c r="AF186" i="72"/>
  <c r="AE186" i="72"/>
  <c r="AD186" i="72"/>
  <c r="AC186" i="72"/>
  <c r="AB186" i="72"/>
  <c r="AA186" i="72"/>
  <c r="Z186" i="72"/>
  <c r="Y186" i="72"/>
  <c r="X186" i="72"/>
  <c r="W186" i="72"/>
  <c r="V186" i="72"/>
  <c r="U186" i="72"/>
  <c r="T186" i="72"/>
  <c r="S186" i="72"/>
  <c r="AM185" i="72"/>
  <c r="AL185" i="72"/>
  <c r="AK185" i="72"/>
  <c r="AJ185" i="72"/>
  <c r="AI185" i="72"/>
  <c r="AH185" i="72"/>
  <c r="AG185" i="72"/>
  <c r="AF185" i="72"/>
  <c r="AE185" i="72"/>
  <c r="AD185" i="72"/>
  <c r="AC185" i="72"/>
  <c r="AB185" i="72"/>
  <c r="AA185" i="72"/>
  <c r="Z185" i="72"/>
  <c r="Y185" i="72"/>
  <c r="X185" i="72"/>
  <c r="W185" i="72"/>
  <c r="V185" i="72"/>
  <c r="U185" i="72"/>
  <c r="T185" i="72"/>
  <c r="S185" i="72"/>
  <c r="AM184" i="72"/>
  <c r="AL184" i="72"/>
  <c r="AK184" i="72"/>
  <c r="AJ184" i="72"/>
  <c r="AI184" i="72"/>
  <c r="AH184" i="72"/>
  <c r="AG184" i="72"/>
  <c r="AF184" i="72"/>
  <c r="AE184" i="72"/>
  <c r="AD184" i="72"/>
  <c r="AC184" i="72"/>
  <c r="AB184" i="72"/>
  <c r="AA184" i="72"/>
  <c r="Z184" i="72"/>
  <c r="Y184" i="72"/>
  <c r="X184" i="72"/>
  <c r="W184" i="72"/>
  <c r="V184" i="72"/>
  <c r="U184" i="72"/>
  <c r="T184" i="72"/>
  <c r="S184" i="72"/>
  <c r="AM183" i="72"/>
  <c r="AL183" i="72"/>
  <c r="AK183" i="72"/>
  <c r="AJ183" i="72"/>
  <c r="AI183" i="72"/>
  <c r="AH183" i="72"/>
  <c r="AG183" i="72"/>
  <c r="AF183" i="72"/>
  <c r="AE183" i="72"/>
  <c r="AD183" i="72"/>
  <c r="AC183" i="72"/>
  <c r="AB183" i="72"/>
  <c r="AA183" i="72"/>
  <c r="Z183" i="72"/>
  <c r="Y183" i="72"/>
  <c r="X183" i="72"/>
  <c r="W183" i="72"/>
  <c r="V183" i="72"/>
  <c r="U183" i="72"/>
  <c r="T183" i="72"/>
  <c r="S183" i="72"/>
  <c r="AM182" i="72"/>
  <c r="AL182" i="72"/>
  <c r="AK182" i="72"/>
  <c r="AJ182" i="72"/>
  <c r="AI182" i="72"/>
  <c r="AH182" i="72"/>
  <c r="AG182" i="72"/>
  <c r="AF182" i="72"/>
  <c r="AE182" i="72"/>
  <c r="AD182" i="72"/>
  <c r="AC182" i="72"/>
  <c r="AB182" i="72"/>
  <c r="AA182" i="72"/>
  <c r="Z182" i="72"/>
  <c r="Y182" i="72"/>
  <c r="X182" i="72"/>
  <c r="W182" i="72"/>
  <c r="V182" i="72"/>
  <c r="U182" i="72"/>
  <c r="T182" i="72"/>
  <c r="S182" i="72"/>
  <c r="AM181" i="72"/>
  <c r="AL181" i="72"/>
  <c r="AK181" i="72"/>
  <c r="AJ181" i="72"/>
  <c r="AI181" i="72"/>
  <c r="AH181" i="72"/>
  <c r="AG181" i="72"/>
  <c r="AF181" i="72"/>
  <c r="AE181" i="72"/>
  <c r="AD181" i="72"/>
  <c r="AC181" i="72"/>
  <c r="AB181" i="72"/>
  <c r="AA181" i="72"/>
  <c r="Z181" i="72"/>
  <c r="Y181" i="72"/>
  <c r="X181" i="72"/>
  <c r="W181" i="72"/>
  <c r="V181" i="72"/>
  <c r="U181" i="72"/>
  <c r="T181" i="72"/>
  <c r="S181" i="72"/>
  <c r="AM180" i="72"/>
  <c r="AL180" i="72"/>
  <c r="AK180" i="72"/>
  <c r="AJ180" i="72"/>
  <c r="AI180" i="72"/>
  <c r="AH180" i="72"/>
  <c r="AG180" i="72"/>
  <c r="AF180" i="72"/>
  <c r="AE180" i="72"/>
  <c r="AD180" i="72"/>
  <c r="AC180" i="72"/>
  <c r="AB180" i="72"/>
  <c r="AA180" i="72"/>
  <c r="Z180" i="72"/>
  <c r="Y180" i="72"/>
  <c r="X180" i="72"/>
  <c r="W180" i="72"/>
  <c r="V180" i="72"/>
  <c r="U180" i="72"/>
  <c r="T180" i="72"/>
  <c r="S180" i="72"/>
  <c r="AM179" i="72"/>
  <c r="AL179" i="72"/>
  <c r="AK179" i="72"/>
  <c r="AJ179" i="72"/>
  <c r="AI179" i="72"/>
  <c r="AH179" i="72"/>
  <c r="AG179" i="72"/>
  <c r="AF179" i="72"/>
  <c r="AE179" i="72"/>
  <c r="AD179" i="72"/>
  <c r="AC179" i="72"/>
  <c r="AB179" i="72"/>
  <c r="AA179" i="72"/>
  <c r="Z179" i="72"/>
  <c r="Y179" i="72"/>
  <c r="X179" i="72"/>
  <c r="W179" i="72"/>
  <c r="V179" i="72"/>
  <c r="U179" i="72"/>
  <c r="T179" i="72"/>
  <c r="S179" i="72"/>
  <c r="AM178" i="72"/>
  <c r="AL178" i="72"/>
  <c r="AK178" i="72"/>
  <c r="AJ178" i="72"/>
  <c r="AI178" i="72"/>
  <c r="AH178" i="72"/>
  <c r="AG178" i="72"/>
  <c r="AF178" i="72"/>
  <c r="AE178" i="72"/>
  <c r="AD178" i="72"/>
  <c r="AC178" i="72"/>
  <c r="AB178" i="72"/>
  <c r="AA178" i="72"/>
  <c r="Z178" i="72"/>
  <c r="Y178" i="72"/>
  <c r="X178" i="72"/>
  <c r="W178" i="72"/>
  <c r="V178" i="72"/>
  <c r="U178" i="72"/>
  <c r="T178" i="72"/>
  <c r="S178" i="72"/>
  <c r="AM177" i="72"/>
  <c r="AL177" i="72"/>
  <c r="AK177" i="72"/>
  <c r="AJ177" i="72"/>
  <c r="AI177" i="72"/>
  <c r="AH177" i="72"/>
  <c r="AG177" i="72"/>
  <c r="AF177" i="72"/>
  <c r="AE177" i="72"/>
  <c r="AD177" i="72"/>
  <c r="AC177" i="72"/>
  <c r="AB177" i="72"/>
  <c r="AA177" i="72"/>
  <c r="Z177" i="72"/>
  <c r="Y177" i="72"/>
  <c r="X177" i="72"/>
  <c r="W177" i="72"/>
  <c r="V177" i="72"/>
  <c r="U177" i="72"/>
  <c r="T177" i="72"/>
  <c r="S177" i="72"/>
  <c r="AM176" i="72"/>
  <c r="AL176" i="72"/>
  <c r="AK176" i="72"/>
  <c r="AJ176" i="72"/>
  <c r="AI176" i="72"/>
  <c r="AH176" i="72"/>
  <c r="AG176" i="72"/>
  <c r="AF176" i="72"/>
  <c r="AE176" i="72"/>
  <c r="AD176" i="72"/>
  <c r="AC176" i="72"/>
  <c r="AB176" i="72"/>
  <c r="AA176" i="72"/>
  <c r="Z176" i="72"/>
  <c r="Y176" i="72"/>
  <c r="X176" i="72"/>
  <c r="W176" i="72"/>
  <c r="V176" i="72"/>
  <c r="U176" i="72"/>
  <c r="T176" i="72"/>
  <c r="S176" i="72"/>
  <c r="AM175" i="72"/>
  <c r="AL175" i="72"/>
  <c r="AK175" i="72"/>
  <c r="AJ175" i="72"/>
  <c r="AI175" i="72"/>
  <c r="AH175" i="72"/>
  <c r="AG175" i="72"/>
  <c r="AF175" i="72"/>
  <c r="AE175" i="72"/>
  <c r="AD175" i="72"/>
  <c r="AC175" i="72"/>
  <c r="AB175" i="72"/>
  <c r="AA175" i="72"/>
  <c r="Z175" i="72"/>
  <c r="Y175" i="72"/>
  <c r="X175" i="72"/>
  <c r="W175" i="72"/>
  <c r="V175" i="72"/>
  <c r="U175" i="72"/>
  <c r="T175" i="72"/>
  <c r="S175" i="72"/>
  <c r="AM174" i="72"/>
  <c r="AL174" i="72"/>
  <c r="AK174" i="72"/>
  <c r="AJ174" i="72"/>
  <c r="AI174" i="72"/>
  <c r="AH174" i="72"/>
  <c r="AG174" i="72"/>
  <c r="AF174" i="72"/>
  <c r="AE174" i="72"/>
  <c r="AD174" i="72"/>
  <c r="AC174" i="72"/>
  <c r="AB174" i="72"/>
  <c r="AA174" i="72"/>
  <c r="Z174" i="72"/>
  <c r="Y174" i="72"/>
  <c r="X174" i="72"/>
  <c r="W174" i="72"/>
  <c r="V174" i="72"/>
  <c r="U174" i="72"/>
  <c r="T174" i="72"/>
  <c r="S174" i="72"/>
  <c r="AM173" i="72"/>
  <c r="AL173" i="72"/>
  <c r="AK173" i="72"/>
  <c r="AJ173" i="72"/>
  <c r="AI173" i="72"/>
  <c r="AH173" i="72"/>
  <c r="AG173" i="72"/>
  <c r="AF173" i="72"/>
  <c r="AE173" i="72"/>
  <c r="AD173" i="72"/>
  <c r="AC173" i="72"/>
  <c r="AB173" i="72"/>
  <c r="AA173" i="72"/>
  <c r="Z173" i="72"/>
  <c r="Y173" i="72"/>
  <c r="X173" i="72"/>
  <c r="W173" i="72"/>
  <c r="V173" i="72"/>
  <c r="U173" i="72"/>
  <c r="T173" i="72"/>
  <c r="S173" i="72"/>
  <c r="AM172" i="72"/>
  <c r="AL172" i="72"/>
  <c r="AK172" i="72"/>
  <c r="AJ172" i="72"/>
  <c r="AI172" i="72"/>
  <c r="AH172" i="72"/>
  <c r="AG172" i="72"/>
  <c r="AF172" i="72"/>
  <c r="AE172" i="72"/>
  <c r="AD172" i="72"/>
  <c r="AC172" i="72"/>
  <c r="AB172" i="72"/>
  <c r="AA172" i="72"/>
  <c r="Z172" i="72"/>
  <c r="Y172" i="72"/>
  <c r="X172" i="72"/>
  <c r="W172" i="72"/>
  <c r="V172" i="72"/>
  <c r="U172" i="72"/>
  <c r="T172" i="72"/>
  <c r="S172" i="72"/>
  <c r="AM171" i="72"/>
  <c r="AL171" i="72"/>
  <c r="AK171" i="72"/>
  <c r="AJ171" i="72"/>
  <c r="AI171" i="72"/>
  <c r="AH171" i="72"/>
  <c r="AG171" i="72"/>
  <c r="AF171" i="72"/>
  <c r="AE171" i="72"/>
  <c r="AD171" i="72"/>
  <c r="AC171" i="72"/>
  <c r="AB171" i="72"/>
  <c r="AA171" i="72"/>
  <c r="Z171" i="72"/>
  <c r="Y171" i="72"/>
  <c r="X171" i="72"/>
  <c r="W171" i="72"/>
  <c r="V171" i="72"/>
  <c r="U171" i="72"/>
  <c r="T171" i="72"/>
  <c r="S171" i="72"/>
  <c r="AM170" i="72"/>
  <c r="AL170" i="72"/>
  <c r="AK170" i="72"/>
  <c r="AJ170" i="72"/>
  <c r="AI170" i="72"/>
  <c r="AH170" i="72"/>
  <c r="AG170" i="72"/>
  <c r="AF170" i="72"/>
  <c r="AE170" i="72"/>
  <c r="AD170" i="72"/>
  <c r="AC170" i="72"/>
  <c r="AB170" i="72"/>
  <c r="AA170" i="72"/>
  <c r="Z170" i="72"/>
  <c r="Y170" i="72"/>
  <c r="X170" i="72"/>
  <c r="W170" i="72"/>
  <c r="V170" i="72"/>
  <c r="U170" i="72"/>
  <c r="T170" i="72"/>
  <c r="S170" i="72"/>
  <c r="AM169" i="72"/>
  <c r="AL169" i="72"/>
  <c r="AK169" i="72"/>
  <c r="AJ169" i="72"/>
  <c r="AI169" i="72"/>
  <c r="AH169" i="72"/>
  <c r="AG169" i="72"/>
  <c r="AF169" i="72"/>
  <c r="AE169" i="72"/>
  <c r="AD169" i="72"/>
  <c r="AC169" i="72"/>
  <c r="AB169" i="72"/>
  <c r="AA169" i="72"/>
  <c r="Z169" i="72"/>
  <c r="Y169" i="72"/>
  <c r="X169" i="72"/>
  <c r="W169" i="72"/>
  <c r="V169" i="72"/>
  <c r="U169" i="72"/>
  <c r="T169" i="72"/>
  <c r="S169" i="72"/>
  <c r="AM168" i="72"/>
  <c r="AL168" i="72"/>
  <c r="AK168" i="72"/>
  <c r="AJ168" i="72"/>
  <c r="AI168" i="72"/>
  <c r="AH168" i="72"/>
  <c r="AG168" i="72"/>
  <c r="AF168" i="72"/>
  <c r="AE168" i="72"/>
  <c r="AD168" i="72"/>
  <c r="AC168" i="72"/>
  <c r="AB168" i="72"/>
  <c r="AA168" i="72"/>
  <c r="Z168" i="72"/>
  <c r="Y168" i="72"/>
  <c r="X168" i="72"/>
  <c r="W168" i="72"/>
  <c r="V168" i="72"/>
  <c r="U168" i="72"/>
  <c r="T168" i="72"/>
  <c r="S168" i="72"/>
  <c r="AM167" i="72"/>
  <c r="AL167" i="72"/>
  <c r="AK167" i="72"/>
  <c r="AJ167" i="72"/>
  <c r="AI167" i="72"/>
  <c r="AH167" i="72"/>
  <c r="AG167" i="72"/>
  <c r="AF167" i="72"/>
  <c r="AE167" i="72"/>
  <c r="AD167" i="72"/>
  <c r="AC167" i="72"/>
  <c r="AB167" i="72"/>
  <c r="AA167" i="72"/>
  <c r="Z167" i="72"/>
  <c r="Y167" i="72"/>
  <c r="X167" i="72"/>
  <c r="W167" i="72"/>
  <c r="V167" i="72"/>
  <c r="U167" i="72"/>
  <c r="T167" i="72"/>
  <c r="S167" i="72"/>
  <c r="AM166" i="72"/>
  <c r="AL166" i="72"/>
  <c r="AK166" i="72"/>
  <c r="AJ166" i="72"/>
  <c r="AI166" i="72"/>
  <c r="AH166" i="72"/>
  <c r="AG166" i="72"/>
  <c r="AF166" i="72"/>
  <c r="AE166" i="72"/>
  <c r="AD166" i="72"/>
  <c r="AC166" i="72"/>
  <c r="AB166" i="72"/>
  <c r="AA166" i="72"/>
  <c r="Z166" i="72"/>
  <c r="Y166" i="72"/>
  <c r="X166" i="72"/>
  <c r="W166" i="72"/>
  <c r="V166" i="72"/>
  <c r="U166" i="72"/>
  <c r="T166" i="72"/>
  <c r="S166" i="72"/>
  <c r="AM165" i="72"/>
  <c r="AL165" i="72"/>
  <c r="AK165" i="72"/>
  <c r="AJ165" i="72"/>
  <c r="AI165" i="72"/>
  <c r="AH165" i="72"/>
  <c r="AG165" i="72"/>
  <c r="AF165" i="72"/>
  <c r="AE165" i="72"/>
  <c r="AD165" i="72"/>
  <c r="AC165" i="72"/>
  <c r="AB165" i="72"/>
  <c r="AA165" i="72"/>
  <c r="Z165" i="72"/>
  <c r="Y165" i="72"/>
  <c r="X165" i="72"/>
  <c r="W165" i="72"/>
  <c r="V165" i="72"/>
  <c r="U165" i="72"/>
  <c r="T165" i="72"/>
  <c r="S165" i="72"/>
  <c r="AM164" i="72"/>
  <c r="AL164" i="72"/>
  <c r="AK164" i="72"/>
  <c r="AJ164" i="72"/>
  <c r="AI164" i="72"/>
  <c r="AH164" i="72"/>
  <c r="AG164" i="72"/>
  <c r="AF164" i="72"/>
  <c r="AE164" i="72"/>
  <c r="AD164" i="72"/>
  <c r="AC164" i="72"/>
  <c r="AB164" i="72"/>
  <c r="AA164" i="72"/>
  <c r="Z164" i="72"/>
  <c r="Y164" i="72"/>
  <c r="X164" i="72"/>
  <c r="W164" i="72"/>
  <c r="V164" i="72"/>
  <c r="U164" i="72"/>
  <c r="T164" i="72"/>
  <c r="S164" i="72"/>
  <c r="AM163" i="72"/>
  <c r="AL163" i="72"/>
  <c r="AK163" i="72"/>
  <c r="AJ163" i="72"/>
  <c r="AI163" i="72"/>
  <c r="AH163" i="72"/>
  <c r="AG163" i="72"/>
  <c r="AF163" i="72"/>
  <c r="AE163" i="72"/>
  <c r="AD163" i="72"/>
  <c r="AC163" i="72"/>
  <c r="AB163" i="72"/>
  <c r="AA163" i="72"/>
  <c r="Z163" i="72"/>
  <c r="Y163" i="72"/>
  <c r="X163" i="72"/>
  <c r="W163" i="72"/>
  <c r="V163" i="72"/>
  <c r="U163" i="72"/>
  <c r="T163" i="72"/>
  <c r="S163" i="72"/>
  <c r="AM162" i="72"/>
  <c r="AL162" i="72"/>
  <c r="AK162" i="72"/>
  <c r="AJ162" i="72"/>
  <c r="AI162" i="72"/>
  <c r="AH162" i="72"/>
  <c r="AG162" i="72"/>
  <c r="AF162" i="72"/>
  <c r="AE162" i="72"/>
  <c r="AD162" i="72"/>
  <c r="AC162" i="72"/>
  <c r="AB162" i="72"/>
  <c r="AA162" i="72"/>
  <c r="Z162" i="72"/>
  <c r="Y162" i="72"/>
  <c r="X162" i="72"/>
  <c r="W162" i="72"/>
  <c r="V162" i="72"/>
  <c r="U162" i="72"/>
  <c r="T162" i="72"/>
  <c r="S162" i="72"/>
  <c r="AM161" i="72"/>
  <c r="AL161" i="72"/>
  <c r="AK161" i="72"/>
  <c r="AJ161" i="72"/>
  <c r="AI161" i="72"/>
  <c r="AH161" i="72"/>
  <c r="AG161" i="72"/>
  <c r="AF161" i="72"/>
  <c r="AE161" i="72"/>
  <c r="AD161" i="72"/>
  <c r="AC161" i="72"/>
  <c r="AB161" i="72"/>
  <c r="AA161" i="72"/>
  <c r="Z161" i="72"/>
  <c r="Y161" i="72"/>
  <c r="X161" i="72"/>
  <c r="W161" i="72"/>
  <c r="V161" i="72"/>
  <c r="U161" i="72"/>
  <c r="T161" i="72"/>
  <c r="S161" i="72"/>
  <c r="AM160" i="72"/>
  <c r="AL160" i="72"/>
  <c r="AK160" i="72"/>
  <c r="AJ160" i="72"/>
  <c r="AI160" i="72"/>
  <c r="AH160" i="72"/>
  <c r="AG160" i="72"/>
  <c r="AF160" i="72"/>
  <c r="AE160" i="72"/>
  <c r="AD160" i="72"/>
  <c r="AC160" i="72"/>
  <c r="AB160" i="72"/>
  <c r="AA160" i="72"/>
  <c r="Z160" i="72"/>
  <c r="Y160" i="72"/>
  <c r="X160" i="72"/>
  <c r="W160" i="72"/>
  <c r="V160" i="72"/>
  <c r="U160" i="72"/>
  <c r="T160" i="72"/>
  <c r="S160" i="72"/>
  <c r="AM159" i="72"/>
  <c r="AL159" i="72"/>
  <c r="AK159" i="72"/>
  <c r="AJ159" i="72"/>
  <c r="AI159" i="72"/>
  <c r="AH159" i="72"/>
  <c r="AG159" i="72"/>
  <c r="AF159" i="72"/>
  <c r="AE159" i="72"/>
  <c r="AD159" i="72"/>
  <c r="AC159" i="72"/>
  <c r="AB159" i="72"/>
  <c r="AA159" i="72"/>
  <c r="Z159" i="72"/>
  <c r="Y159" i="72"/>
  <c r="X159" i="72"/>
  <c r="W159" i="72"/>
  <c r="V159" i="72"/>
  <c r="U159" i="72"/>
  <c r="T159" i="72"/>
  <c r="S159" i="72"/>
  <c r="AM158" i="72"/>
  <c r="AL158" i="72"/>
  <c r="AK158" i="72"/>
  <c r="AJ158" i="72"/>
  <c r="AI158" i="72"/>
  <c r="AH158" i="72"/>
  <c r="AG158" i="72"/>
  <c r="AF158" i="72"/>
  <c r="AE158" i="72"/>
  <c r="AD158" i="72"/>
  <c r="AC158" i="72"/>
  <c r="AB158" i="72"/>
  <c r="AA158" i="72"/>
  <c r="Z158" i="72"/>
  <c r="Y158" i="72"/>
  <c r="X158" i="72"/>
  <c r="W158" i="72"/>
  <c r="V158" i="72"/>
  <c r="U158" i="72"/>
  <c r="T158" i="72"/>
  <c r="S158" i="72"/>
  <c r="AM157" i="72"/>
  <c r="AL157" i="72"/>
  <c r="AK157" i="72"/>
  <c r="AJ157" i="72"/>
  <c r="AI157" i="72"/>
  <c r="AH157" i="72"/>
  <c r="AG157" i="72"/>
  <c r="AF157" i="72"/>
  <c r="AE157" i="72"/>
  <c r="AD157" i="72"/>
  <c r="AC157" i="72"/>
  <c r="AB157" i="72"/>
  <c r="AA157" i="72"/>
  <c r="Z157" i="72"/>
  <c r="Y157" i="72"/>
  <c r="X157" i="72"/>
  <c r="W157" i="72"/>
  <c r="V157" i="72"/>
  <c r="U157" i="72"/>
  <c r="T157" i="72"/>
  <c r="S157" i="72"/>
  <c r="AM156" i="72"/>
  <c r="AL156" i="72"/>
  <c r="AK156" i="72"/>
  <c r="AJ156" i="72"/>
  <c r="AI156" i="72"/>
  <c r="AH156" i="72"/>
  <c r="AG156" i="72"/>
  <c r="AF156" i="72"/>
  <c r="AE156" i="72"/>
  <c r="AD156" i="72"/>
  <c r="AC156" i="72"/>
  <c r="AB156" i="72"/>
  <c r="AA156" i="72"/>
  <c r="Z156" i="72"/>
  <c r="Y156" i="72"/>
  <c r="X156" i="72"/>
  <c r="W156" i="72"/>
  <c r="V156" i="72"/>
  <c r="U156" i="72"/>
  <c r="T156" i="72"/>
  <c r="S156" i="72"/>
  <c r="AM155" i="72"/>
  <c r="AL155" i="72"/>
  <c r="AK155" i="72"/>
  <c r="AJ155" i="72"/>
  <c r="AI155" i="72"/>
  <c r="AH155" i="72"/>
  <c r="AG155" i="72"/>
  <c r="AF155" i="72"/>
  <c r="AE155" i="72"/>
  <c r="AD155" i="72"/>
  <c r="AC155" i="72"/>
  <c r="AB155" i="72"/>
  <c r="AA155" i="72"/>
  <c r="Z155" i="72"/>
  <c r="Y155" i="72"/>
  <c r="X155" i="72"/>
  <c r="W155" i="72"/>
  <c r="V155" i="72"/>
  <c r="U155" i="72"/>
  <c r="T155" i="72"/>
  <c r="S155" i="72"/>
  <c r="AM154" i="72"/>
  <c r="AL154" i="72"/>
  <c r="AK154" i="72"/>
  <c r="AJ154" i="72"/>
  <c r="AI154" i="72"/>
  <c r="AH154" i="72"/>
  <c r="AG154" i="72"/>
  <c r="AF154" i="72"/>
  <c r="AE154" i="72"/>
  <c r="AD154" i="72"/>
  <c r="AC154" i="72"/>
  <c r="AB154" i="72"/>
  <c r="AA154" i="72"/>
  <c r="Z154" i="72"/>
  <c r="Y154" i="72"/>
  <c r="X154" i="72"/>
  <c r="W154" i="72"/>
  <c r="V154" i="72"/>
  <c r="U154" i="72"/>
  <c r="T154" i="72"/>
  <c r="S154" i="72"/>
  <c r="AM153" i="72"/>
  <c r="AL153" i="72"/>
  <c r="AK153" i="72"/>
  <c r="AJ153" i="72"/>
  <c r="AI153" i="72"/>
  <c r="AH153" i="72"/>
  <c r="AG153" i="72"/>
  <c r="AF153" i="72"/>
  <c r="AE153" i="72"/>
  <c r="AD153" i="72"/>
  <c r="AC153" i="72"/>
  <c r="AB153" i="72"/>
  <c r="AA153" i="72"/>
  <c r="Z153" i="72"/>
  <c r="Y153" i="72"/>
  <c r="X153" i="72"/>
  <c r="W153" i="72"/>
  <c r="V153" i="72"/>
  <c r="U153" i="72"/>
  <c r="T153" i="72"/>
  <c r="S153" i="72"/>
  <c r="AM152" i="72"/>
  <c r="AL152" i="72"/>
  <c r="AK152" i="72"/>
  <c r="AJ152" i="72"/>
  <c r="AI152" i="72"/>
  <c r="AH152" i="72"/>
  <c r="AG152" i="72"/>
  <c r="AF152" i="72"/>
  <c r="AE152" i="72"/>
  <c r="AD152" i="72"/>
  <c r="AC152" i="72"/>
  <c r="AB152" i="72"/>
  <c r="AA152" i="72"/>
  <c r="Z152" i="72"/>
  <c r="Y152" i="72"/>
  <c r="X152" i="72"/>
  <c r="W152" i="72"/>
  <c r="V152" i="72"/>
  <c r="U152" i="72"/>
  <c r="T152" i="72"/>
  <c r="S152" i="72"/>
  <c r="AM151" i="72"/>
  <c r="AL151" i="72"/>
  <c r="AK151" i="72"/>
  <c r="AJ151" i="72"/>
  <c r="AI151" i="72"/>
  <c r="AH151" i="72"/>
  <c r="AG151" i="72"/>
  <c r="AF151" i="72"/>
  <c r="AE151" i="72"/>
  <c r="AD151" i="72"/>
  <c r="AC151" i="72"/>
  <c r="AB151" i="72"/>
  <c r="AA151" i="72"/>
  <c r="Z151" i="72"/>
  <c r="Y151" i="72"/>
  <c r="X151" i="72"/>
  <c r="W151" i="72"/>
  <c r="V151" i="72"/>
  <c r="U151" i="72"/>
  <c r="T151" i="72"/>
  <c r="S151" i="72"/>
  <c r="AM150" i="72"/>
  <c r="AL150" i="72"/>
  <c r="AK150" i="72"/>
  <c r="AJ150" i="72"/>
  <c r="AI150" i="72"/>
  <c r="AH150" i="72"/>
  <c r="AG150" i="72"/>
  <c r="AF150" i="72"/>
  <c r="AE150" i="72"/>
  <c r="AD150" i="72"/>
  <c r="AC150" i="72"/>
  <c r="AB150" i="72"/>
  <c r="AA150" i="72"/>
  <c r="Z150" i="72"/>
  <c r="Y150" i="72"/>
  <c r="X150" i="72"/>
  <c r="W150" i="72"/>
  <c r="V150" i="72"/>
  <c r="U150" i="72"/>
  <c r="T150" i="72"/>
  <c r="S150" i="72"/>
  <c r="AM149" i="72"/>
  <c r="AL149" i="72"/>
  <c r="AK149" i="72"/>
  <c r="AJ149" i="72"/>
  <c r="AI149" i="72"/>
  <c r="AH149" i="72"/>
  <c r="AG149" i="72"/>
  <c r="AF149" i="72"/>
  <c r="AE149" i="72"/>
  <c r="AD149" i="72"/>
  <c r="AC149" i="72"/>
  <c r="AB149" i="72"/>
  <c r="AA149" i="72"/>
  <c r="Z149" i="72"/>
  <c r="Y149" i="72"/>
  <c r="X149" i="72"/>
  <c r="W149" i="72"/>
  <c r="V149" i="72"/>
  <c r="U149" i="72"/>
  <c r="T149" i="72"/>
  <c r="S149" i="72"/>
  <c r="AM148" i="72"/>
  <c r="AL148" i="72"/>
  <c r="AK148" i="72"/>
  <c r="AJ148" i="72"/>
  <c r="AI148" i="72"/>
  <c r="AH148" i="72"/>
  <c r="AG148" i="72"/>
  <c r="AF148" i="72"/>
  <c r="AE148" i="72"/>
  <c r="AD148" i="72"/>
  <c r="AC148" i="72"/>
  <c r="AB148" i="72"/>
  <c r="AA148" i="72"/>
  <c r="Z148" i="72"/>
  <c r="Y148" i="72"/>
  <c r="X148" i="72"/>
  <c r="W148" i="72"/>
  <c r="V148" i="72"/>
  <c r="U148" i="72"/>
  <c r="T148" i="72"/>
  <c r="S148" i="72"/>
  <c r="AM147" i="72"/>
  <c r="AL147" i="72"/>
  <c r="AK147" i="72"/>
  <c r="AJ147" i="72"/>
  <c r="AI147" i="72"/>
  <c r="AH147" i="72"/>
  <c r="AG147" i="72"/>
  <c r="AF147" i="72"/>
  <c r="AE147" i="72"/>
  <c r="AD147" i="72"/>
  <c r="AC147" i="72"/>
  <c r="AB147" i="72"/>
  <c r="AA147" i="72"/>
  <c r="Z147" i="72"/>
  <c r="Y147" i="72"/>
  <c r="X147" i="72"/>
  <c r="W147" i="72"/>
  <c r="V147" i="72"/>
  <c r="U147" i="72"/>
  <c r="T147" i="72"/>
  <c r="S147" i="72"/>
  <c r="AM146" i="72"/>
  <c r="AL146" i="72"/>
  <c r="AK146" i="72"/>
  <c r="AJ146" i="72"/>
  <c r="AI146" i="72"/>
  <c r="AH146" i="72"/>
  <c r="AG146" i="72"/>
  <c r="AF146" i="72"/>
  <c r="AE146" i="72"/>
  <c r="AD146" i="72"/>
  <c r="AC146" i="72"/>
  <c r="AB146" i="72"/>
  <c r="AA146" i="72"/>
  <c r="Z146" i="72"/>
  <c r="Y146" i="72"/>
  <c r="X146" i="72"/>
  <c r="W146" i="72"/>
  <c r="V146" i="72"/>
  <c r="U146" i="72"/>
  <c r="T146" i="72"/>
  <c r="S146" i="72"/>
  <c r="AM145" i="72"/>
  <c r="AL145" i="72"/>
  <c r="AK145" i="72"/>
  <c r="AJ145" i="72"/>
  <c r="AI145" i="72"/>
  <c r="AH145" i="72"/>
  <c r="AG145" i="72"/>
  <c r="AF145" i="72"/>
  <c r="AE145" i="72"/>
  <c r="AD145" i="72"/>
  <c r="AC145" i="72"/>
  <c r="AB145" i="72"/>
  <c r="AA145" i="72"/>
  <c r="Z145" i="72"/>
  <c r="Y145" i="72"/>
  <c r="X145" i="72"/>
  <c r="W145" i="72"/>
  <c r="V145" i="72"/>
  <c r="U145" i="72"/>
  <c r="T145" i="72"/>
  <c r="S145" i="72"/>
  <c r="AM144" i="72"/>
  <c r="AL144" i="72"/>
  <c r="AK144" i="72"/>
  <c r="AJ144" i="72"/>
  <c r="AI144" i="72"/>
  <c r="AH144" i="72"/>
  <c r="AG144" i="72"/>
  <c r="AF144" i="72"/>
  <c r="AE144" i="72"/>
  <c r="AD144" i="72"/>
  <c r="AC144" i="72"/>
  <c r="AB144" i="72"/>
  <c r="AA144" i="72"/>
  <c r="Z144" i="72"/>
  <c r="Y144" i="72"/>
  <c r="X144" i="72"/>
  <c r="W144" i="72"/>
  <c r="V144" i="72"/>
  <c r="U144" i="72"/>
  <c r="T144" i="72"/>
  <c r="S144" i="72"/>
  <c r="AM143" i="72"/>
  <c r="AL143" i="72"/>
  <c r="AK143" i="72"/>
  <c r="AJ143" i="72"/>
  <c r="AI143" i="72"/>
  <c r="AH143" i="72"/>
  <c r="AG143" i="72"/>
  <c r="AF143" i="72"/>
  <c r="AE143" i="72"/>
  <c r="AD143" i="72"/>
  <c r="AC143" i="72"/>
  <c r="AB143" i="72"/>
  <c r="AA143" i="72"/>
  <c r="Y143" i="72"/>
  <c r="X143" i="72"/>
  <c r="W143" i="72"/>
  <c r="V143" i="72"/>
  <c r="U143" i="72"/>
  <c r="T143" i="72"/>
  <c r="S143" i="72"/>
  <c r="AM142" i="72"/>
  <c r="AL142" i="72"/>
  <c r="AK142" i="72"/>
  <c r="AJ142" i="72"/>
  <c r="AI142" i="72"/>
  <c r="AH142" i="72"/>
  <c r="AG142" i="72"/>
  <c r="AF142" i="72"/>
  <c r="AE142" i="72"/>
  <c r="AD142" i="72"/>
  <c r="AC142" i="72"/>
  <c r="AB142" i="72"/>
  <c r="AA142" i="72"/>
  <c r="Z142" i="72"/>
  <c r="Y142" i="72"/>
  <c r="AN142" i="72" s="1"/>
  <c r="X142" i="72"/>
  <c r="W142" i="72"/>
  <c r="V142" i="72"/>
  <c r="U142" i="72"/>
  <c r="T142" i="72"/>
  <c r="S142" i="72"/>
  <c r="AM141" i="72"/>
  <c r="AL141" i="72"/>
  <c r="AK141" i="72"/>
  <c r="AJ141" i="72"/>
  <c r="AI141" i="72"/>
  <c r="AH141" i="72"/>
  <c r="AG141" i="72"/>
  <c r="AF141" i="72"/>
  <c r="AE141" i="72"/>
  <c r="AD141" i="72"/>
  <c r="AC141" i="72"/>
  <c r="AB141" i="72"/>
  <c r="AA141" i="72"/>
  <c r="Z141" i="72"/>
  <c r="Y141" i="72"/>
  <c r="X141" i="72"/>
  <c r="W141" i="72"/>
  <c r="V141" i="72"/>
  <c r="U141" i="72"/>
  <c r="T141" i="72"/>
  <c r="S141" i="72"/>
  <c r="AM140" i="72"/>
  <c r="AL140" i="72"/>
  <c r="AK140" i="72"/>
  <c r="AJ140" i="72"/>
  <c r="AI140" i="72"/>
  <c r="AH140" i="72"/>
  <c r="AG140" i="72"/>
  <c r="AF140" i="72"/>
  <c r="AE140" i="72"/>
  <c r="AD140" i="72"/>
  <c r="AC140" i="72"/>
  <c r="AB140" i="72"/>
  <c r="AA140" i="72"/>
  <c r="Z140" i="72"/>
  <c r="Y140" i="72"/>
  <c r="X140" i="72"/>
  <c r="W140" i="72"/>
  <c r="V140" i="72"/>
  <c r="U140" i="72"/>
  <c r="T140" i="72"/>
  <c r="S140" i="72"/>
  <c r="AM139" i="72"/>
  <c r="AL139" i="72"/>
  <c r="AK139" i="72"/>
  <c r="AJ139" i="72"/>
  <c r="AI139" i="72"/>
  <c r="AH139" i="72"/>
  <c r="AG139" i="72"/>
  <c r="AF139" i="72"/>
  <c r="AE139" i="72"/>
  <c r="AD139" i="72"/>
  <c r="AC139" i="72"/>
  <c r="AB139" i="72"/>
  <c r="AA139" i="72"/>
  <c r="Z139" i="72"/>
  <c r="Y139" i="72"/>
  <c r="X139" i="72"/>
  <c r="W139" i="72"/>
  <c r="V139" i="72"/>
  <c r="U139" i="72"/>
  <c r="T139" i="72"/>
  <c r="S139" i="72"/>
  <c r="AM138" i="72"/>
  <c r="AL138" i="72"/>
  <c r="AK138" i="72"/>
  <c r="AJ138" i="72"/>
  <c r="AI138" i="72"/>
  <c r="AH138" i="72"/>
  <c r="AG138" i="72"/>
  <c r="AF138" i="72"/>
  <c r="AE138" i="72"/>
  <c r="AD138" i="72"/>
  <c r="AC138" i="72"/>
  <c r="AB138" i="72"/>
  <c r="AA138" i="72"/>
  <c r="Z138" i="72"/>
  <c r="Y138" i="72"/>
  <c r="AN138" i="72" s="1"/>
  <c r="X138" i="72"/>
  <c r="W138" i="72"/>
  <c r="V138" i="72"/>
  <c r="U138" i="72"/>
  <c r="T138" i="72"/>
  <c r="S138" i="72"/>
  <c r="AM137" i="72"/>
  <c r="AL137" i="72"/>
  <c r="AK137" i="72"/>
  <c r="AJ137" i="72"/>
  <c r="AI137" i="72"/>
  <c r="AH137" i="72"/>
  <c r="AG137" i="72"/>
  <c r="AF137" i="72"/>
  <c r="AE137" i="72"/>
  <c r="AD137" i="72"/>
  <c r="AC137" i="72"/>
  <c r="AB137" i="72"/>
  <c r="AA137" i="72"/>
  <c r="Z137" i="72"/>
  <c r="Y137" i="72"/>
  <c r="X137" i="72"/>
  <c r="W137" i="72"/>
  <c r="V137" i="72"/>
  <c r="U137" i="72"/>
  <c r="T137" i="72"/>
  <c r="S137" i="72"/>
  <c r="AM136" i="72"/>
  <c r="AL136" i="72"/>
  <c r="AK136" i="72"/>
  <c r="AJ136" i="72"/>
  <c r="AI136" i="72"/>
  <c r="AH136" i="72"/>
  <c r="AG136" i="72"/>
  <c r="AF136" i="72"/>
  <c r="AE136" i="72"/>
  <c r="AD136" i="72"/>
  <c r="AC136" i="72"/>
  <c r="AB136" i="72"/>
  <c r="AA136" i="72"/>
  <c r="Z136" i="72"/>
  <c r="Y136" i="72"/>
  <c r="X136" i="72"/>
  <c r="W136" i="72"/>
  <c r="V136" i="72"/>
  <c r="U136" i="72"/>
  <c r="T136" i="72"/>
  <c r="S136" i="72"/>
  <c r="AM135" i="72"/>
  <c r="AL135" i="72"/>
  <c r="AK135" i="72"/>
  <c r="AJ135" i="72"/>
  <c r="AI135" i="72"/>
  <c r="AH135" i="72"/>
  <c r="AG135" i="72"/>
  <c r="AF135" i="72"/>
  <c r="AE135" i="72"/>
  <c r="AD135" i="72"/>
  <c r="AC135" i="72"/>
  <c r="AB135" i="72"/>
  <c r="AA135" i="72"/>
  <c r="Z135" i="72"/>
  <c r="Y135" i="72"/>
  <c r="X135" i="72"/>
  <c r="W135" i="72"/>
  <c r="V135" i="72"/>
  <c r="U135" i="72"/>
  <c r="T135" i="72"/>
  <c r="S135" i="72"/>
  <c r="AM134" i="72"/>
  <c r="AL134" i="72"/>
  <c r="AK134" i="72"/>
  <c r="AJ134" i="72"/>
  <c r="AI134" i="72"/>
  <c r="AH134" i="72"/>
  <c r="AG134" i="72"/>
  <c r="AF134" i="72"/>
  <c r="AE134" i="72"/>
  <c r="AD134" i="72"/>
  <c r="AC134" i="72"/>
  <c r="AB134" i="72"/>
  <c r="AA134" i="72"/>
  <c r="Z134" i="72"/>
  <c r="Y134" i="72"/>
  <c r="AN134" i="72" s="1"/>
  <c r="X134" i="72"/>
  <c r="W134" i="72"/>
  <c r="V134" i="72"/>
  <c r="U134" i="72"/>
  <c r="T134" i="72"/>
  <c r="S134" i="72"/>
  <c r="AM133" i="72"/>
  <c r="AL133" i="72"/>
  <c r="AK133" i="72"/>
  <c r="AJ133" i="72"/>
  <c r="AI133" i="72"/>
  <c r="AH133" i="72"/>
  <c r="AG133" i="72"/>
  <c r="AF133" i="72"/>
  <c r="AE133" i="72"/>
  <c r="AD133" i="72"/>
  <c r="AC133" i="72"/>
  <c r="AB133" i="72"/>
  <c r="AA133" i="72"/>
  <c r="Z133" i="72"/>
  <c r="Y133" i="72"/>
  <c r="X133" i="72"/>
  <c r="W133" i="72"/>
  <c r="V133" i="72"/>
  <c r="U133" i="72"/>
  <c r="T133" i="72"/>
  <c r="S133" i="72"/>
  <c r="AM132" i="72"/>
  <c r="AL132" i="72"/>
  <c r="AK132" i="72"/>
  <c r="AJ132" i="72"/>
  <c r="AI132" i="72"/>
  <c r="AH132" i="72"/>
  <c r="AG132" i="72"/>
  <c r="AF132" i="72"/>
  <c r="AE132" i="72"/>
  <c r="AD132" i="72"/>
  <c r="AC132" i="72"/>
  <c r="AB132" i="72"/>
  <c r="AA132" i="72"/>
  <c r="Z132" i="72"/>
  <c r="Y132" i="72"/>
  <c r="X132" i="72"/>
  <c r="W132" i="72"/>
  <c r="V132" i="72"/>
  <c r="U132" i="72"/>
  <c r="T132" i="72"/>
  <c r="S132" i="72"/>
  <c r="AM131" i="72"/>
  <c r="AL131" i="72"/>
  <c r="AK131" i="72"/>
  <c r="AJ131" i="72"/>
  <c r="AI131" i="72"/>
  <c r="AH131" i="72"/>
  <c r="AG131" i="72"/>
  <c r="AF131" i="72"/>
  <c r="AE131" i="72"/>
  <c r="AD131" i="72"/>
  <c r="AC131" i="72"/>
  <c r="AB131" i="72"/>
  <c r="AA131" i="72"/>
  <c r="Z131" i="72"/>
  <c r="Y131" i="72"/>
  <c r="X131" i="72"/>
  <c r="W131" i="72"/>
  <c r="V131" i="72"/>
  <c r="U131" i="72"/>
  <c r="T131" i="72"/>
  <c r="S131" i="72"/>
  <c r="AM130" i="72"/>
  <c r="AL130" i="72"/>
  <c r="AK130" i="72"/>
  <c r="AJ130" i="72"/>
  <c r="AI130" i="72"/>
  <c r="AH130" i="72"/>
  <c r="AG130" i="72"/>
  <c r="AF130" i="72"/>
  <c r="AE130" i="72"/>
  <c r="AD130" i="72"/>
  <c r="AC130" i="72"/>
  <c r="AB130" i="72"/>
  <c r="AA130" i="72"/>
  <c r="Z130" i="72"/>
  <c r="Y130" i="72"/>
  <c r="AN130" i="72" s="1"/>
  <c r="X130" i="72"/>
  <c r="W130" i="72"/>
  <c r="V130" i="72"/>
  <c r="U130" i="72"/>
  <c r="T130" i="72"/>
  <c r="S130" i="72"/>
  <c r="AM129" i="72"/>
  <c r="AL129" i="72"/>
  <c r="AK129" i="72"/>
  <c r="AJ129" i="72"/>
  <c r="AI129" i="72"/>
  <c r="AH129" i="72"/>
  <c r="AG129" i="72"/>
  <c r="AF129" i="72"/>
  <c r="AE129" i="72"/>
  <c r="AD129" i="72"/>
  <c r="AC129" i="72"/>
  <c r="AB129" i="72"/>
  <c r="AA129" i="72"/>
  <c r="Z129" i="72"/>
  <c r="Y129" i="72"/>
  <c r="X129" i="72"/>
  <c r="W129" i="72"/>
  <c r="V129" i="72"/>
  <c r="U129" i="72"/>
  <c r="T129" i="72"/>
  <c r="S129" i="72"/>
  <c r="AM128" i="72"/>
  <c r="AL128" i="72"/>
  <c r="AK128" i="72"/>
  <c r="AJ128" i="72"/>
  <c r="AI128" i="72"/>
  <c r="AH128" i="72"/>
  <c r="AG128" i="72"/>
  <c r="AF128" i="72"/>
  <c r="AE128" i="72"/>
  <c r="AD128" i="72"/>
  <c r="AC128" i="72"/>
  <c r="AB128" i="72"/>
  <c r="AA128" i="72"/>
  <c r="Z128" i="72"/>
  <c r="Y128" i="72"/>
  <c r="X128" i="72"/>
  <c r="W128" i="72"/>
  <c r="V128" i="72"/>
  <c r="U128" i="72"/>
  <c r="T128" i="72"/>
  <c r="S128" i="72"/>
  <c r="AM127" i="72"/>
  <c r="AL127" i="72"/>
  <c r="AK127" i="72"/>
  <c r="AJ127" i="72"/>
  <c r="AI127" i="72"/>
  <c r="AH127" i="72"/>
  <c r="AG127" i="72"/>
  <c r="AF127" i="72"/>
  <c r="AE127" i="72"/>
  <c r="AD127" i="72"/>
  <c r="AC127" i="72"/>
  <c r="AB127" i="72"/>
  <c r="AA127" i="72"/>
  <c r="Z127" i="72"/>
  <c r="Y127" i="72"/>
  <c r="X127" i="72"/>
  <c r="W127" i="72"/>
  <c r="V127" i="72"/>
  <c r="U127" i="72"/>
  <c r="T127" i="72"/>
  <c r="S127" i="72"/>
  <c r="AM126" i="72"/>
  <c r="AL126" i="72"/>
  <c r="AK126" i="72"/>
  <c r="AJ126" i="72"/>
  <c r="AI126" i="72"/>
  <c r="AH126" i="72"/>
  <c r="AG126" i="72"/>
  <c r="AF126" i="72"/>
  <c r="AE126" i="72"/>
  <c r="AD126" i="72"/>
  <c r="AC126" i="72"/>
  <c r="AB126" i="72"/>
  <c r="AA126" i="72"/>
  <c r="Z126" i="72"/>
  <c r="Y126" i="72"/>
  <c r="AN126" i="72" s="1"/>
  <c r="X126" i="72"/>
  <c r="W126" i="72"/>
  <c r="V126" i="72"/>
  <c r="U126" i="72"/>
  <c r="T126" i="72"/>
  <c r="S126" i="72"/>
  <c r="AM125" i="72"/>
  <c r="AL125" i="72"/>
  <c r="AK125" i="72"/>
  <c r="AJ125" i="72"/>
  <c r="AI125" i="72"/>
  <c r="AH125" i="72"/>
  <c r="AG125" i="72"/>
  <c r="AF125" i="72"/>
  <c r="AE125" i="72"/>
  <c r="AD125" i="72"/>
  <c r="AC125" i="72"/>
  <c r="AB125" i="72"/>
  <c r="AA125" i="72"/>
  <c r="Z125" i="72"/>
  <c r="Y125" i="72"/>
  <c r="X125" i="72"/>
  <c r="W125" i="72"/>
  <c r="V125" i="72"/>
  <c r="U125" i="72"/>
  <c r="T125" i="72"/>
  <c r="S125" i="72"/>
  <c r="AM124" i="72"/>
  <c r="AL124" i="72"/>
  <c r="AK124" i="72"/>
  <c r="AJ124" i="72"/>
  <c r="AI124" i="72"/>
  <c r="AH124" i="72"/>
  <c r="AG124" i="72"/>
  <c r="AF124" i="72"/>
  <c r="AE124" i="72"/>
  <c r="AD124" i="72"/>
  <c r="AC124" i="72"/>
  <c r="AB124" i="72"/>
  <c r="AA124" i="72"/>
  <c r="Z124" i="72"/>
  <c r="Y124" i="72"/>
  <c r="X124" i="72"/>
  <c r="W124" i="72"/>
  <c r="V124" i="72"/>
  <c r="U124" i="72"/>
  <c r="T124" i="72"/>
  <c r="S124" i="72"/>
  <c r="AM123" i="72"/>
  <c r="AL123" i="72"/>
  <c r="AK123" i="72"/>
  <c r="AJ123" i="72"/>
  <c r="AI123" i="72"/>
  <c r="AH123" i="72"/>
  <c r="AG123" i="72"/>
  <c r="AF123" i="72"/>
  <c r="AE123" i="72"/>
  <c r="AD123" i="72"/>
  <c r="AC123" i="72"/>
  <c r="AB123" i="72"/>
  <c r="AA123" i="72"/>
  <c r="Z123" i="72"/>
  <c r="Y123" i="72"/>
  <c r="X123" i="72"/>
  <c r="W123" i="72"/>
  <c r="V123" i="72"/>
  <c r="U123" i="72"/>
  <c r="T123" i="72"/>
  <c r="S123" i="72"/>
  <c r="AM122" i="72"/>
  <c r="AL122" i="72"/>
  <c r="AK122" i="72"/>
  <c r="AJ122" i="72"/>
  <c r="AI122" i="72"/>
  <c r="AH122" i="72"/>
  <c r="AG122" i="72"/>
  <c r="AF122" i="72"/>
  <c r="AE122" i="72"/>
  <c r="AD122" i="72"/>
  <c r="AC122" i="72"/>
  <c r="AB122" i="72"/>
  <c r="AA122" i="72"/>
  <c r="Z122" i="72"/>
  <c r="Y122" i="72"/>
  <c r="AN122" i="72" s="1"/>
  <c r="X122" i="72"/>
  <c r="W122" i="72"/>
  <c r="V122" i="72"/>
  <c r="U122" i="72"/>
  <c r="T122" i="72"/>
  <c r="S122" i="72"/>
  <c r="AM121" i="72"/>
  <c r="AL121" i="72"/>
  <c r="AK121" i="72"/>
  <c r="AJ121" i="72"/>
  <c r="AI121" i="72"/>
  <c r="AH121" i="72"/>
  <c r="AG121" i="72"/>
  <c r="AF121" i="72"/>
  <c r="AE121" i="72"/>
  <c r="AD121" i="72"/>
  <c r="AC121" i="72"/>
  <c r="AB121" i="72"/>
  <c r="AA121" i="72"/>
  <c r="Z121" i="72"/>
  <c r="Y121" i="72"/>
  <c r="X121" i="72"/>
  <c r="W121" i="72"/>
  <c r="V121" i="72"/>
  <c r="U121" i="72"/>
  <c r="T121" i="72"/>
  <c r="S121" i="72"/>
  <c r="AM120" i="72"/>
  <c r="AL120" i="72"/>
  <c r="AK120" i="72"/>
  <c r="AJ120" i="72"/>
  <c r="AI120" i="72"/>
  <c r="AH120" i="72"/>
  <c r="AG120" i="72"/>
  <c r="AF120" i="72"/>
  <c r="AE120" i="72"/>
  <c r="AD120" i="72"/>
  <c r="AC120" i="72"/>
  <c r="AB120" i="72"/>
  <c r="AA120" i="72"/>
  <c r="Z120" i="72"/>
  <c r="Y120" i="72"/>
  <c r="X120" i="72"/>
  <c r="W120" i="72"/>
  <c r="V120" i="72"/>
  <c r="U120" i="72"/>
  <c r="T120" i="72"/>
  <c r="S120" i="72"/>
  <c r="AM119" i="72"/>
  <c r="AL119" i="72"/>
  <c r="AK119" i="72"/>
  <c r="AJ119" i="72"/>
  <c r="AI119" i="72"/>
  <c r="AH119" i="72"/>
  <c r="AG119" i="72"/>
  <c r="AF119" i="72"/>
  <c r="AE119" i="72"/>
  <c r="AD119" i="72"/>
  <c r="AC119" i="72"/>
  <c r="AB119" i="72"/>
  <c r="AA119" i="72"/>
  <c r="Z119" i="72"/>
  <c r="Y119" i="72"/>
  <c r="X119" i="72"/>
  <c r="W119" i="72"/>
  <c r="V119" i="72"/>
  <c r="U119" i="72"/>
  <c r="T119" i="72"/>
  <c r="S119" i="72"/>
  <c r="AM118" i="72"/>
  <c r="AL118" i="72"/>
  <c r="AK118" i="72"/>
  <c r="AJ118" i="72"/>
  <c r="AI118" i="72"/>
  <c r="AH118" i="72"/>
  <c r="AG118" i="72"/>
  <c r="AF118" i="72"/>
  <c r="AE118" i="72"/>
  <c r="AD118" i="72"/>
  <c r="AC118" i="72"/>
  <c r="AB118" i="72"/>
  <c r="AA118" i="72"/>
  <c r="Z118" i="72"/>
  <c r="Y118" i="72"/>
  <c r="AN118" i="72" s="1"/>
  <c r="X118" i="72"/>
  <c r="W118" i="72"/>
  <c r="V118" i="72"/>
  <c r="U118" i="72"/>
  <c r="T118" i="72"/>
  <c r="S118" i="72"/>
  <c r="AM117" i="72"/>
  <c r="AL117" i="72"/>
  <c r="AK117" i="72"/>
  <c r="AJ117" i="72"/>
  <c r="AI117" i="72"/>
  <c r="AH117" i="72"/>
  <c r="AG117" i="72"/>
  <c r="AF117" i="72"/>
  <c r="AE117" i="72"/>
  <c r="AD117" i="72"/>
  <c r="AC117" i="72"/>
  <c r="AB117" i="72"/>
  <c r="AA117" i="72"/>
  <c r="Z117" i="72"/>
  <c r="Y117" i="72"/>
  <c r="X117" i="72"/>
  <c r="W117" i="72"/>
  <c r="V117" i="72"/>
  <c r="U117" i="72"/>
  <c r="T117" i="72"/>
  <c r="S117" i="72"/>
  <c r="AM116" i="72"/>
  <c r="AL116" i="72"/>
  <c r="AK116" i="72"/>
  <c r="AJ116" i="72"/>
  <c r="AI116" i="72"/>
  <c r="AH116" i="72"/>
  <c r="AG116" i="72"/>
  <c r="AF116" i="72"/>
  <c r="AE116" i="72"/>
  <c r="AD116" i="72"/>
  <c r="AC116" i="72"/>
  <c r="AB116" i="72"/>
  <c r="AA116" i="72"/>
  <c r="Z116" i="72"/>
  <c r="Y116" i="72"/>
  <c r="X116" i="72"/>
  <c r="W116" i="72"/>
  <c r="V116" i="72"/>
  <c r="U116" i="72"/>
  <c r="T116" i="72"/>
  <c r="S116" i="72"/>
  <c r="AM115" i="72"/>
  <c r="AL115" i="72"/>
  <c r="AK115" i="72"/>
  <c r="AJ115" i="72"/>
  <c r="AI115" i="72"/>
  <c r="AH115" i="72"/>
  <c r="AG115" i="72"/>
  <c r="AF115" i="72"/>
  <c r="AE115" i="72"/>
  <c r="AD115" i="72"/>
  <c r="AC115" i="72"/>
  <c r="AB115" i="72"/>
  <c r="AA115" i="72"/>
  <c r="Z115" i="72"/>
  <c r="Y115" i="72"/>
  <c r="X115" i="72"/>
  <c r="W115" i="72"/>
  <c r="V115" i="72"/>
  <c r="U115" i="72"/>
  <c r="T115" i="72"/>
  <c r="S115" i="72"/>
  <c r="AM114" i="72"/>
  <c r="AL114" i="72"/>
  <c r="AK114" i="72"/>
  <c r="AJ114" i="72"/>
  <c r="AI114" i="72"/>
  <c r="AH114" i="72"/>
  <c r="AG114" i="72"/>
  <c r="AF114" i="72"/>
  <c r="AE114" i="72"/>
  <c r="AD114" i="72"/>
  <c r="AC114" i="72"/>
  <c r="AB114" i="72"/>
  <c r="AA114" i="72"/>
  <c r="Z114" i="72"/>
  <c r="Y114" i="72"/>
  <c r="AN114" i="72" s="1"/>
  <c r="X114" i="72"/>
  <c r="W114" i="72"/>
  <c r="V114" i="72"/>
  <c r="U114" i="72"/>
  <c r="T114" i="72"/>
  <c r="S114" i="72"/>
  <c r="AM113" i="72"/>
  <c r="AL113" i="72"/>
  <c r="AK113" i="72"/>
  <c r="AJ113" i="72"/>
  <c r="AI113" i="72"/>
  <c r="AH113" i="72"/>
  <c r="AG113" i="72"/>
  <c r="AF113" i="72"/>
  <c r="AE113" i="72"/>
  <c r="AD113" i="72"/>
  <c r="AC113" i="72"/>
  <c r="AB113" i="72"/>
  <c r="AA113" i="72"/>
  <c r="Z113" i="72"/>
  <c r="Y113" i="72"/>
  <c r="X113" i="72"/>
  <c r="W113" i="72"/>
  <c r="V113" i="72"/>
  <c r="U113" i="72"/>
  <c r="T113" i="72"/>
  <c r="S113" i="72"/>
  <c r="AM112" i="72"/>
  <c r="AL112" i="72"/>
  <c r="AK112" i="72"/>
  <c r="AJ112" i="72"/>
  <c r="AI112" i="72"/>
  <c r="AH112" i="72"/>
  <c r="AG112" i="72"/>
  <c r="AF112" i="72"/>
  <c r="AE112" i="72"/>
  <c r="AD112" i="72"/>
  <c r="AC112" i="72"/>
  <c r="AB112" i="72"/>
  <c r="AA112" i="72"/>
  <c r="Z112" i="72"/>
  <c r="Y112" i="72"/>
  <c r="X112" i="72"/>
  <c r="W112" i="72"/>
  <c r="V112" i="72"/>
  <c r="U112" i="72"/>
  <c r="T112" i="72"/>
  <c r="S112" i="72"/>
  <c r="AM111" i="72"/>
  <c r="AL111" i="72"/>
  <c r="AK111" i="72"/>
  <c r="AJ111" i="72"/>
  <c r="AI111" i="72"/>
  <c r="AH111" i="72"/>
  <c r="AG111" i="72"/>
  <c r="AF111" i="72"/>
  <c r="AE111" i="72"/>
  <c r="AD111" i="72"/>
  <c r="AC111" i="72"/>
  <c r="AB111" i="72"/>
  <c r="AA111" i="72"/>
  <c r="Z111" i="72"/>
  <c r="Y111" i="72"/>
  <c r="X111" i="72"/>
  <c r="W111" i="72"/>
  <c r="V111" i="72"/>
  <c r="U111" i="72"/>
  <c r="T111" i="72"/>
  <c r="S111" i="72"/>
  <c r="AM110" i="72"/>
  <c r="AL110" i="72"/>
  <c r="AK110" i="72"/>
  <c r="AJ110" i="72"/>
  <c r="AI110" i="72"/>
  <c r="AH110" i="72"/>
  <c r="AG110" i="72"/>
  <c r="AF110" i="72"/>
  <c r="AE110" i="72"/>
  <c r="AD110" i="72"/>
  <c r="AC110" i="72"/>
  <c r="AB110" i="72"/>
  <c r="AA110" i="72"/>
  <c r="Z110" i="72"/>
  <c r="Y110" i="72"/>
  <c r="AN110" i="72" s="1"/>
  <c r="X110" i="72"/>
  <c r="W110" i="72"/>
  <c r="V110" i="72"/>
  <c r="U110" i="72"/>
  <c r="T110" i="72"/>
  <c r="S110" i="72"/>
  <c r="AM109" i="72"/>
  <c r="AL109" i="72"/>
  <c r="AK109" i="72"/>
  <c r="AJ109" i="72"/>
  <c r="AI109" i="72"/>
  <c r="AH109" i="72"/>
  <c r="AG109" i="72"/>
  <c r="AF109" i="72"/>
  <c r="AE109" i="72"/>
  <c r="AD109" i="72"/>
  <c r="AC109" i="72"/>
  <c r="AB109" i="72"/>
  <c r="AA109" i="72"/>
  <c r="Z109" i="72"/>
  <c r="Y109" i="72"/>
  <c r="X109" i="72"/>
  <c r="W109" i="72"/>
  <c r="V109" i="72"/>
  <c r="U109" i="72"/>
  <c r="T109" i="72"/>
  <c r="S109" i="72"/>
  <c r="AM108" i="72"/>
  <c r="AL108" i="72"/>
  <c r="AK108" i="72"/>
  <c r="AJ108" i="72"/>
  <c r="AI108" i="72"/>
  <c r="AH108" i="72"/>
  <c r="AG108" i="72"/>
  <c r="AF108" i="72"/>
  <c r="AE108" i="72"/>
  <c r="AD108" i="72"/>
  <c r="AC108" i="72"/>
  <c r="AB108" i="72"/>
  <c r="AA108" i="72"/>
  <c r="Z108" i="72"/>
  <c r="Y108" i="72"/>
  <c r="X108" i="72"/>
  <c r="W108" i="72"/>
  <c r="V108" i="72"/>
  <c r="U108" i="72"/>
  <c r="T108" i="72"/>
  <c r="S108" i="72"/>
  <c r="AM107" i="72"/>
  <c r="AL107" i="72"/>
  <c r="AK107" i="72"/>
  <c r="AJ107" i="72"/>
  <c r="AI107" i="72"/>
  <c r="AH107" i="72"/>
  <c r="AG107" i="72"/>
  <c r="AF107" i="72"/>
  <c r="AE107" i="72"/>
  <c r="AD107" i="72"/>
  <c r="AC107" i="72"/>
  <c r="AB107" i="72"/>
  <c r="AA107" i="72"/>
  <c r="Z107" i="72"/>
  <c r="Y107" i="72"/>
  <c r="X107" i="72"/>
  <c r="W107" i="72"/>
  <c r="V107" i="72"/>
  <c r="U107" i="72"/>
  <c r="T107" i="72"/>
  <c r="S107" i="72"/>
  <c r="AM106" i="72"/>
  <c r="AL106" i="72"/>
  <c r="AK106" i="72"/>
  <c r="AJ106" i="72"/>
  <c r="AI106" i="72"/>
  <c r="AH106" i="72"/>
  <c r="AG106" i="72"/>
  <c r="AF106" i="72"/>
  <c r="AE106" i="72"/>
  <c r="AD106" i="72"/>
  <c r="AC106" i="72"/>
  <c r="AB106" i="72"/>
  <c r="AA106" i="72"/>
  <c r="Z106" i="72"/>
  <c r="Y106" i="72"/>
  <c r="AN106" i="72" s="1"/>
  <c r="X106" i="72"/>
  <c r="W106" i="72"/>
  <c r="V106" i="72"/>
  <c r="U106" i="72"/>
  <c r="T106" i="72"/>
  <c r="S106" i="72"/>
  <c r="AM105" i="72"/>
  <c r="AL105" i="72"/>
  <c r="AK105" i="72"/>
  <c r="AJ105" i="72"/>
  <c r="AI105" i="72"/>
  <c r="AH105" i="72"/>
  <c r="AG105" i="72"/>
  <c r="AF105" i="72"/>
  <c r="AE105" i="72"/>
  <c r="AD105" i="72"/>
  <c r="AC105" i="72"/>
  <c r="AB105" i="72"/>
  <c r="AA105" i="72"/>
  <c r="Z105" i="72"/>
  <c r="Y105" i="72"/>
  <c r="X105" i="72"/>
  <c r="W105" i="72"/>
  <c r="V105" i="72"/>
  <c r="U105" i="72"/>
  <c r="T105" i="72"/>
  <c r="S105" i="72"/>
  <c r="AM104" i="72"/>
  <c r="AL104" i="72"/>
  <c r="AK104" i="72"/>
  <c r="AJ104" i="72"/>
  <c r="AI104" i="72"/>
  <c r="AH104" i="72"/>
  <c r="AG104" i="72"/>
  <c r="AR104" i="72" s="1"/>
  <c r="AF104" i="72"/>
  <c r="AE104" i="72"/>
  <c r="AD104" i="72"/>
  <c r="AC104" i="72"/>
  <c r="AB104" i="72"/>
  <c r="AA104" i="72"/>
  <c r="Z104" i="72"/>
  <c r="Y104" i="72"/>
  <c r="X104" i="72"/>
  <c r="W104" i="72"/>
  <c r="V104" i="72"/>
  <c r="U104" i="72"/>
  <c r="T104" i="72"/>
  <c r="S104" i="72"/>
  <c r="AM103" i="72"/>
  <c r="AL103" i="72"/>
  <c r="AK103" i="72"/>
  <c r="AJ103" i="72"/>
  <c r="AI103" i="72"/>
  <c r="AH103" i="72"/>
  <c r="AG103" i="72"/>
  <c r="AF103" i="72"/>
  <c r="AE103" i="72"/>
  <c r="AD103" i="72"/>
  <c r="AC103" i="72"/>
  <c r="AB103" i="72"/>
  <c r="AA103" i="72"/>
  <c r="Z103" i="72"/>
  <c r="Y103" i="72"/>
  <c r="X103" i="72"/>
  <c r="W103" i="72"/>
  <c r="V103" i="72"/>
  <c r="U103" i="72"/>
  <c r="T103" i="72"/>
  <c r="S103" i="72"/>
  <c r="AM102" i="72"/>
  <c r="AL102" i="72"/>
  <c r="AK102" i="72"/>
  <c r="AJ102" i="72"/>
  <c r="AI102" i="72"/>
  <c r="AH102" i="72"/>
  <c r="AG102" i="72"/>
  <c r="AF102" i="72"/>
  <c r="AE102" i="72"/>
  <c r="AD102" i="72"/>
  <c r="AC102" i="72"/>
  <c r="AB102" i="72"/>
  <c r="AA102" i="72"/>
  <c r="Z102" i="72"/>
  <c r="Y102" i="72"/>
  <c r="AN102" i="72" s="1"/>
  <c r="X102" i="72"/>
  <c r="W102" i="72"/>
  <c r="V102" i="72"/>
  <c r="U102" i="72"/>
  <c r="T102" i="72"/>
  <c r="S102" i="72"/>
  <c r="AM101" i="72"/>
  <c r="AL101" i="72"/>
  <c r="AK101" i="72"/>
  <c r="AJ101" i="72"/>
  <c r="AI101" i="72"/>
  <c r="AH101" i="72"/>
  <c r="AG101" i="72"/>
  <c r="AF101" i="72"/>
  <c r="AE101" i="72"/>
  <c r="AD101" i="72"/>
  <c r="AC101" i="72"/>
  <c r="AB101" i="72"/>
  <c r="AA101" i="72"/>
  <c r="Z101" i="72"/>
  <c r="Y101" i="72"/>
  <c r="X101" i="72"/>
  <c r="W101" i="72"/>
  <c r="V101" i="72"/>
  <c r="U101" i="72"/>
  <c r="T101" i="72"/>
  <c r="S101" i="72"/>
  <c r="AM100" i="72"/>
  <c r="AL100" i="72"/>
  <c r="AK100" i="72"/>
  <c r="AJ100" i="72"/>
  <c r="AI100" i="72"/>
  <c r="AH100" i="72"/>
  <c r="AG100" i="72"/>
  <c r="AF100" i="72"/>
  <c r="AE100" i="72"/>
  <c r="AD100" i="72"/>
  <c r="AC100" i="72"/>
  <c r="AB100" i="72"/>
  <c r="AA100" i="72"/>
  <c r="Z100" i="72"/>
  <c r="Y100" i="72"/>
  <c r="X100" i="72"/>
  <c r="W100" i="72"/>
  <c r="V100" i="72"/>
  <c r="U100" i="72"/>
  <c r="T100" i="72"/>
  <c r="S100" i="72"/>
  <c r="AM99" i="72"/>
  <c r="AL99" i="72"/>
  <c r="AK99" i="72"/>
  <c r="AJ99" i="72"/>
  <c r="AI99" i="72"/>
  <c r="AH99" i="72"/>
  <c r="AG99" i="72"/>
  <c r="AF99" i="72"/>
  <c r="AE99" i="72"/>
  <c r="AD99" i="72"/>
  <c r="AC99" i="72"/>
  <c r="AB99" i="72"/>
  <c r="AA99" i="72"/>
  <c r="Z99" i="72"/>
  <c r="Y99" i="72"/>
  <c r="X99" i="72"/>
  <c r="W99" i="72"/>
  <c r="V99" i="72"/>
  <c r="U99" i="72"/>
  <c r="T99" i="72"/>
  <c r="S99" i="72"/>
  <c r="AM98" i="72"/>
  <c r="AL98" i="72"/>
  <c r="AK98" i="72"/>
  <c r="AJ98" i="72"/>
  <c r="AI98" i="72"/>
  <c r="AH98" i="72"/>
  <c r="AG98" i="72"/>
  <c r="AF98" i="72"/>
  <c r="AE98" i="72"/>
  <c r="AD98" i="72"/>
  <c r="AC98" i="72"/>
  <c r="AB98" i="72"/>
  <c r="AA98" i="72"/>
  <c r="Z98" i="72"/>
  <c r="Y98" i="72"/>
  <c r="AN98" i="72" s="1"/>
  <c r="X98" i="72"/>
  <c r="W98" i="72"/>
  <c r="V98" i="72"/>
  <c r="U98" i="72"/>
  <c r="T98" i="72"/>
  <c r="S98" i="72"/>
  <c r="AM97" i="72"/>
  <c r="AL97" i="72"/>
  <c r="AK97" i="72"/>
  <c r="AJ97" i="72"/>
  <c r="AI97" i="72"/>
  <c r="AH97" i="72"/>
  <c r="AG97" i="72"/>
  <c r="AF97" i="72"/>
  <c r="AE97" i="72"/>
  <c r="AD97" i="72"/>
  <c r="AC97" i="72"/>
  <c r="AB97" i="72"/>
  <c r="AA97" i="72"/>
  <c r="Z97" i="72"/>
  <c r="Y97" i="72"/>
  <c r="X97" i="72"/>
  <c r="W97" i="72"/>
  <c r="V97" i="72"/>
  <c r="U97" i="72"/>
  <c r="T97" i="72"/>
  <c r="S97" i="72"/>
  <c r="AM96" i="72"/>
  <c r="AL96" i="72"/>
  <c r="AK96" i="72"/>
  <c r="AJ96" i="72"/>
  <c r="AI96" i="72"/>
  <c r="AH96" i="72"/>
  <c r="AG96" i="72"/>
  <c r="AF96" i="72"/>
  <c r="AE96" i="72"/>
  <c r="AD96" i="72"/>
  <c r="AC96" i="72"/>
  <c r="AB96" i="72"/>
  <c r="AA96" i="72"/>
  <c r="Z96" i="72"/>
  <c r="Y96" i="72"/>
  <c r="X96" i="72"/>
  <c r="W96" i="72"/>
  <c r="V96" i="72"/>
  <c r="U96" i="72"/>
  <c r="T96" i="72"/>
  <c r="S96" i="72"/>
  <c r="AM95" i="72"/>
  <c r="AL95" i="72"/>
  <c r="AK95" i="72"/>
  <c r="AJ95" i="72"/>
  <c r="AI95" i="72"/>
  <c r="AH95" i="72"/>
  <c r="AG95" i="72"/>
  <c r="AF95" i="72"/>
  <c r="AE95" i="72"/>
  <c r="AD95" i="72"/>
  <c r="AC95" i="72"/>
  <c r="AB95" i="72"/>
  <c r="AA95" i="72"/>
  <c r="Z95" i="72"/>
  <c r="Y95" i="72"/>
  <c r="X95" i="72"/>
  <c r="W95" i="72"/>
  <c r="V95" i="72"/>
  <c r="U95" i="72"/>
  <c r="T95" i="72"/>
  <c r="S95" i="72"/>
  <c r="AM94" i="72"/>
  <c r="AL94" i="72"/>
  <c r="AK94" i="72"/>
  <c r="AJ94" i="72"/>
  <c r="AI94" i="72"/>
  <c r="AH94" i="72"/>
  <c r="AG94" i="72"/>
  <c r="AF94" i="72"/>
  <c r="AE94" i="72"/>
  <c r="AD94" i="72"/>
  <c r="AC94" i="72"/>
  <c r="AB94" i="72"/>
  <c r="AA94" i="72"/>
  <c r="Z94" i="72"/>
  <c r="Y94" i="72"/>
  <c r="AN94" i="72" s="1"/>
  <c r="X94" i="72"/>
  <c r="W94" i="72"/>
  <c r="V94" i="72"/>
  <c r="U94" i="72"/>
  <c r="T94" i="72"/>
  <c r="S94" i="72"/>
  <c r="AM93" i="72"/>
  <c r="AL93" i="72"/>
  <c r="AK93" i="72"/>
  <c r="AJ93" i="72"/>
  <c r="AI93" i="72"/>
  <c r="AH93" i="72"/>
  <c r="AG93" i="72"/>
  <c r="AF93" i="72"/>
  <c r="AE93" i="72"/>
  <c r="AD93" i="72"/>
  <c r="AC93" i="72"/>
  <c r="AB93" i="72"/>
  <c r="AA93" i="72"/>
  <c r="Z93" i="72"/>
  <c r="Y93" i="72"/>
  <c r="X93" i="72"/>
  <c r="W93" i="72"/>
  <c r="V93" i="72"/>
  <c r="U93" i="72"/>
  <c r="T93" i="72"/>
  <c r="S93" i="72"/>
  <c r="AM92" i="72"/>
  <c r="AL92" i="72"/>
  <c r="AK92" i="72"/>
  <c r="AJ92" i="72"/>
  <c r="AI92" i="72"/>
  <c r="AH92" i="72"/>
  <c r="AG92" i="72"/>
  <c r="AF92" i="72"/>
  <c r="AE92" i="72"/>
  <c r="AD92" i="72"/>
  <c r="AC92" i="72"/>
  <c r="AB92" i="72"/>
  <c r="AA92" i="72"/>
  <c r="Z92" i="72"/>
  <c r="Y92" i="72"/>
  <c r="X92" i="72"/>
  <c r="W92" i="72"/>
  <c r="V92" i="72"/>
  <c r="U92" i="72"/>
  <c r="T92" i="72"/>
  <c r="S92" i="72"/>
  <c r="AM91" i="72"/>
  <c r="AL91" i="72"/>
  <c r="AK91" i="72"/>
  <c r="AJ91" i="72"/>
  <c r="AI91" i="72"/>
  <c r="AH91" i="72"/>
  <c r="AG91" i="72"/>
  <c r="AF91" i="72"/>
  <c r="AE91" i="72"/>
  <c r="AD91" i="72"/>
  <c r="AC91" i="72"/>
  <c r="AB91" i="72"/>
  <c r="AA91" i="72"/>
  <c r="Z91" i="72"/>
  <c r="Y91" i="72"/>
  <c r="X91" i="72"/>
  <c r="W91" i="72"/>
  <c r="V91" i="72"/>
  <c r="U91" i="72"/>
  <c r="T91" i="72"/>
  <c r="S91" i="72"/>
  <c r="AM90" i="72"/>
  <c r="AL90" i="72"/>
  <c r="AK90" i="72"/>
  <c r="AJ90" i="72"/>
  <c r="AI90" i="72"/>
  <c r="AH90" i="72"/>
  <c r="AG90" i="72"/>
  <c r="AF90" i="72"/>
  <c r="AE90" i="72"/>
  <c r="AD90" i="72"/>
  <c r="AC90" i="72"/>
  <c r="AB90" i="72"/>
  <c r="AA90" i="72"/>
  <c r="Z90" i="72"/>
  <c r="Y90" i="72"/>
  <c r="AN90" i="72" s="1"/>
  <c r="X90" i="72"/>
  <c r="W90" i="72"/>
  <c r="V90" i="72"/>
  <c r="U90" i="72"/>
  <c r="T90" i="72"/>
  <c r="S90" i="72"/>
  <c r="AM89" i="72"/>
  <c r="AL89" i="72"/>
  <c r="AK89" i="72"/>
  <c r="AJ89" i="72"/>
  <c r="AI89" i="72"/>
  <c r="AH89" i="72"/>
  <c r="AG89" i="72"/>
  <c r="AF89" i="72"/>
  <c r="AE89" i="72"/>
  <c r="AD89" i="72"/>
  <c r="AC89" i="72"/>
  <c r="AB89" i="72"/>
  <c r="AA89" i="72"/>
  <c r="Z89" i="72"/>
  <c r="Y89" i="72"/>
  <c r="X89" i="72"/>
  <c r="W89" i="72"/>
  <c r="V89" i="72"/>
  <c r="U89" i="72"/>
  <c r="T89" i="72"/>
  <c r="S89" i="72"/>
  <c r="AM88" i="72"/>
  <c r="AL88" i="72"/>
  <c r="AK88" i="72"/>
  <c r="AJ88" i="72"/>
  <c r="AI88" i="72"/>
  <c r="AH88" i="72"/>
  <c r="AG88" i="72"/>
  <c r="AF88" i="72"/>
  <c r="AE88" i="72"/>
  <c r="AD88" i="72"/>
  <c r="AC88" i="72"/>
  <c r="AB88" i="72"/>
  <c r="AA88" i="72"/>
  <c r="Z88" i="72"/>
  <c r="Y88" i="72"/>
  <c r="X88" i="72"/>
  <c r="W88" i="72"/>
  <c r="V88" i="72"/>
  <c r="U88" i="72"/>
  <c r="T88" i="72"/>
  <c r="S88" i="72"/>
  <c r="AM87" i="72"/>
  <c r="AL87" i="72"/>
  <c r="AK87" i="72"/>
  <c r="AJ87" i="72"/>
  <c r="AI87" i="72"/>
  <c r="AH87" i="72"/>
  <c r="AG87" i="72"/>
  <c r="AF87" i="72"/>
  <c r="AE87" i="72"/>
  <c r="AD87" i="72"/>
  <c r="AC87" i="72"/>
  <c r="AB87" i="72"/>
  <c r="AA87" i="72"/>
  <c r="Z87" i="72"/>
  <c r="Y87" i="72"/>
  <c r="X87" i="72"/>
  <c r="W87" i="72"/>
  <c r="V87" i="72"/>
  <c r="U87" i="72"/>
  <c r="T87" i="72"/>
  <c r="S87" i="72"/>
  <c r="AM86" i="72"/>
  <c r="AL86" i="72"/>
  <c r="AK86" i="72"/>
  <c r="AJ86" i="72"/>
  <c r="AI86" i="72"/>
  <c r="AH86" i="72"/>
  <c r="AG86" i="72"/>
  <c r="AF86" i="72"/>
  <c r="AE86" i="72"/>
  <c r="AD86" i="72"/>
  <c r="AC86" i="72"/>
  <c r="AB86" i="72"/>
  <c r="AA86" i="72"/>
  <c r="Z86" i="72"/>
  <c r="Y86" i="72"/>
  <c r="AN86" i="72" s="1"/>
  <c r="X86" i="72"/>
  <c r="W86" i="72"/>
  <c r="V86" i="72"/>
  <c r="U86" i="72"/>
  <c r="T86" i="72"/>
  <c r="S86" i="72"/>
  <c r="AM85" i="72"/>
  <c r="AL85" i="72"/>
  <c r="AK85" i="72"/>
  <c r="AJ85" i="72"/>
  <c r="AI85" i="72"/>
  <c r="AH85" i="72"/>
  <c r="AG85" i="72"/>
  <c r="AF85" i="72"/>
  <c r="AE85" i="72"/>
  <c r="AD85" i="72"/>
  <c r="AC85" i="72"/>
  <c r="AB85" i="72"/>
  <c r="AA85" i="72"/>
  <c r="Z85" i="72"/>
  <c r="Y85" i="72"/>
  <c r="X85" i="72"/>
  <c r="W85" i="72"/>
  <c r="V85" i="72"/>
  <c r="U85" i="72"/>
  <c r="T85" i="72"/>
  <c r="S85" i="72"/>
  <c r="AM84" i="72"/>
  <c r="AL84" i="72"/>
  <c r="AK84" i="72"/>
  <c r="AJ84" i="72"/>
  <c r="AI84" i="72"/>
  <c r="AH84" i="72"/>
  <c r="AG84" i="72"/>
  <c r="AF84" i="72"/>
  <c r="AE84" i="72"/>
  <c r="AD84" i="72"/>
  <c r="AC84" i="72"/>
  <c r="AB84" i="72"/>
  <c r="AA84" i="72"/>
  <c r="Z84" i="72"/>
  <c r="Y84" i="72"/>
  <c r="X84" i="72"/>
  <c r="W84" i="72"/>
  <c r="V84" i="72"/>
  <c r="U84" i="72"/>
  <c r="T84" i="72"/>
  <c r="S84" i="72"/>
  <c r="AM83" i="72"/>
  <c r="AL83" i="72"/>
  <c r="AK83" i="72"/>
  <c r="AJ83" i="72"/>
  <c r="AI83" i="72"/>
  <c r="AH83" i="72"/>
  <c r="AG83" i="72"/>
  <c r="AF83" i="72"/>
  <c r="AE83" i="72"/>
  <c r="AD83" i="72"/>
  <c r="AC83" i="72"/>
  <c r="AB83" i="72"/>
  <c r="AA83" i="72"/>
  <c r="Z83" i="72"/>
  <c r="Y83" i="72"/>
  <c r="X83" i="72"/>
  <c r="W83" i="72"/>
  <c r="V83" i="72"/>
  <c r="U83" i="72"/>
  <c r="T83" i="72"/>
  <c r="S83" i="72"/>
  <c r="AM82" i="72"/>
  <c r="AL82" i="72"/>
  <c r="AK82" i="72"/>
  <c r="AJ82" i="72"/>
  <c r="AI82" i="72"/>
  <c r="AH82" i="72"/>
  <c r="AG82" i="72"/>
  <c r="AF82" i="72"/>
  <c r="AE82" i="72"/>
  <c r="AD82" i="72"/>
  <c r="AC82" i="72"/>
  <c r="AB82" i="72"/>
  <c r="AA82" i="72"/>
  <c r="Z82" i="72"/>
  <c r="Y82" i="72"/>
  <c r="AN82" i="72" s="1"/>
  <c r="X82" i="72"/>
  <c r="W82" i="72"/>
  <c r="V82" i="72"/>
  <c r="U82" i="72"/>
  <c r="T82" i="72"/>
  <c r="S82" i="72"/>
  <c r="AM81" i="72"/>
  <c r="AL81" i="72"/>
  <c r="AK81" i="72"/>
  <c r="AJ81" i="72"/>
  <c r="AI81" i="72"/>
  <c r="AH81" i="72"/>
  <c r="AG81" i="72"/>
  <c r="AF81" i="72"/>
  <c r="AE81" i="72"/>
  <c r="AD81" i="72"/>
  <c r="AC81" i="72"/>
  <c r="AB81" i="72"/>
  <c r="AA81" i="72"/>
  <c r="Z81" i="72"/>
  <c r="Y81" i="72"/>
  <c r="X81" i="72"/>
  <c r="W81" i="72"/>
  <c r="V81" i="72"/>
  <c r="U81" i="72"/>
  <c r="T81" i="72"/>
  <c r="S81" i="72"/>
  <c r="AM80" i="72"/>
  <c r="AL80" i="72"/>
  <c r="AK80" i="72"/>
  <c r="AJ80" i="72"/>
  <c r="AI80" i="72"/>
  <c r="AH80" i="72"/>
  <c r="AG80" i="72"/>
  <c r="AF80" i="72"/>
  <c r="AE80" i="72"/>
  <c r="AD80" i="72"/>
  <c r="AC80" i="72"/>
  <c r="AB80" i="72"/>
  <c r="AA80" i="72"/>
  <c r="Z80" i="72"/>
  <c r="Y80" i="72"/>
  <c r="X80" i="72"/>
  <c r="W80" i="72"/>
  <c r="V80" i="72"/>
  <c r="U80" i="72"/>
  <c r="T80" i="72"/>
  <c r="S80" i="72"/>
  <c r="AM79" i="72"/>
  <c r="AL79" i="72"/>
  <c r="AK79" i="72"/>
  <c r="AJ79" i="72"/>
  <c r="AI79" i="72"/>
  <c r="AH79" i="72"/>
  <c r="AG79" i="72"/>
  <c r="AF79" i="72"/>
  <c r="AE79" i="72"/>
  <c r="AD79" i="72"/>
  <c r="AC79" i="72"/>
  <c r="AB79" i="72"/>
  <c r="AA79" i="72"/>
  <c r="Z79" i="72"/>
  <c r="Y79" i="72"/>
  <c r="X79" i="72"/>
  <c r="W79" i="72"/>
  <c r="V79" i="72"/>
  <c r="U79" i="72"/>
  <c r="T79" i="72"/>
  <c r="S79" i="72"/>
  <c r="AM78" i="72"/>
  <c r="AL78" i="72"/>
  <c r="AK78" i="72"/>
  <c r="AJ78" i="72"/>
  <c r="AI78" i="72"/>
  <c r="AH78" i="72"/>
  <c r="AG78" i="72"/>
  <c r="AF78" i="72"/>
  <c r="AE78" i="72"/>
  <c r="AD78" i="72"/>
  <c r="AC78" i="72"/>
  <c r="AB78" i="72"/>
  <c r="AA78" i="72"/>
  <c r="Z78" i="72"/>
  <c r="Y78" i="72"/>
  <c r="AN78" i="72" s="1"/>
  <c r="X78" i="72"/>
  <c r="W78" i="72"/>
  <c r="V78" i="72"/>
  <c r="U78" i="72"/>
  <c r="T78" i="72"/>
  <c r="S78" i="72"/>
  <c r="AM77" i="72"/>
  <c r="AL77" i="72"/>
  <c r="AK77" i="72"/>
  <c r="AJ77" i="72"/>
  <c r="AI77" i="72"/>
  <c r="AH77" i="72"/>
  <c r="AG77" i="72"/>
  <c r="AF77" i="72"/>
  <c r="AE77" i="72"/>
  <c r="AD77" i="72"/>
  <c r="AC77" i="72"/>
  <c r="AB77" i="72"/>
  <c r="AA77" i="72"/>
  <c r="Z77" i="72"/>
  <c r="Y77" i="72"/>
  <c r="X77" i="72"/>
  <c r="W77" i="72"/>
  <c r="V77" i="72"/>
  <c r="U77" i="72"/>
  <c r="T77" i="72"/>
  <c r="S77" i="72"/>
  <c r="AM76" i="72"/>
  <c r="AL76" i="72"/>
  <c r="AK76" i="72"/>
  <c r="AJ76" i="72"/>
  <c r="AI76" i="72"/>
  <c r="AH76" i="72"/>
  <c r="AG76" i="72"/>
  <c r="AF76" i="72"/>
  <c r="AE76" i="72"/>
  <c r="AD76" i="72"/>
  <c r="AC76" i="72"/>
  <c r="AB76" i="72"/>
  <c r="AA76" i="72"/>
  <c r="Z76" i="72"/>
  <c r="Y76" i="72"/>
  <c r="X76" i="72"/>
  <c r="W76" i="72"/>
  <c r="V76" i="72"/>
  <c r="U76" i="72"/>
  <c r="T76" i="72"/>
  <c r="S76" i="72"/>
  <c r="AM75" i="72"/>
  <c r="AL75" i="72"/>
  <c r="AK75" i="72"/>
  <c r="AJ75" i="72"/>
  <c r="AI75" i="72"/>
  <c r="AH75" i="72"/>
  <c r="AG75" i="72"/>
  <c r="AF75" i="72"/>
  <c r="AE75" i="72"/>
  <c r="AD75" i="72"/>
  <c r="AC75" i="72"/>
  <c r="AB75" i="72"/>
  <c r="AA75" i="72"/>
  <c r="Z75" i="72"/>
  <c r="Y75" i="72"/>
  <c r="X75" i="72"/>
  <c r="W75" i="72"/>
  <c r="V75" i="72"/>
  <c r="U75" i="72"/>
  <c r="T75" i="72"/>
  <c r="S75" i="72"/>
  <c r="AM74" i="72"/>
  <c r="AL74" i="72"/>
  <c r="AK74" i="72"/>
  <c r="AJ74" i="72"/>
  <c r="AI74" i="72"/>
  <c r="AH74" i="72"/>
  <c r="AG74" i="72"/>
  <c r="AF74" i="72"/>
  <c r="AE74" i="72"/>
  <c r="AD74" i="72"/>
  <c r="AC74" i="72"/>
  <c r="AB74" i="72"/>
  <c r="AA74" i="72"/>
  <c r="Z74" i="72"/>
  <c r="Y74" i="72"/>
  <c r="AN74" i="72" s="1"/>
  <c r="X74" i="72"/>
  <c r="W74" i="72"/>
  <c r="V74" i="72"/>
  <c r="U74" i="72"/>
  <c r="T74" i="72"/>
  <c r="S74" i="72"/>
  <c r="AM73" i="72"/>
  <c r="AL73" i="72"/>
  <c r="AK73" i="72"/>
  <c r="AJ73" i="72"/>
  <c r="AI73" i="72"/>
  <c r="AH73" i="72"/>
  <c r="AG73" i="72"/>
  <c r="AF73" i="72"/>
  <c r="AE73" i="72"/>
  <c r="AD73" i="72"/>
  <c r="AC73" i="72"/>
  <c r="AB73" i="72"/>
  <c r="AA73" i="72"/>
  <c r="Z73" i="72"/>
  <c r="Y73" i="72"/>
  <c r="X73" i="72"/>
  <c r="W73" i="72"/>
  <c r="V73" i="72"/>
  <c r="U73" i="72"/>
  <c r="T73" i="72"/>
  <c r="S73" i="72"/>
  <c r="AM72" i="72"/>
  <c r="AL72" i="72"/>
  <c r="AK72" i="72"/>
  <c r="AJ72" i="72"/>
  <c r="AI72" i="72"/>
  <c r="AH72" i="72"/>
  <c r="AG72" i="72"/>
  <c r="AF72" i="72"/>
  <c r="AE72" i="72"/>
  <c r="AD72" i="72"/>
  <c r="AC72" i="72"/>
  <c r="AB72" i="72"/>
  <c r="AA72" i="72"/>
  <c r="Z72" i="72"/>
  <c r="Y72" i="72"/>
  <c r="X72" i="72"/>
  <c r="W72" i="72"/>
  <c r="V72" i="72"/>
  <c r="U72" i="72"/>
  <c r="T72" i="72"/>
  <c r="S72" i="72"/>
  <c r="AM71" i="72"/>
  <c r="AL71" i="72"/>
  <c r="AK71" i="72"/>
  <c r="AJ71" i="72"/>
  <c r="AI71" i="72"/>
  <c r="AH71" i="72"/>
  <c r="AG71" i="72"/>
  <c r="AF71" i="72"/>
  <c r="AE71" i="72"/>
  <c r="AD71" i="72"/>
  <c r="AC71" i="72"/>
  <c r="AB71" i="72"/>
  <c r="AA71" i="72"/>
  <c r="Z71" i="72"/>
  <c r="Y71" i="72"/>
  <c r="X71" i="72"/>
  <c r="W71" i="72"/>
  <c r="V71" i="72"/>
  <c r="U71" i="72"/>
  <c r="T71" i="72"/>
  <c r="S71" i="72"/>
  <c r="AM70" i="72"/>
  <c r="AL70" i="72"/>
  <c r="AK70" i="72"/>
  <c r="AJ70" i="72"/>
  <c r="AI70" i="72"/>
  <c r="AH70" i="72"/>
  <c r="AG70" i="72"/>
  <c r="AF70" i="72"/>
  <c r="AE70" i="72"/>
  <c r="AD70" i="72"/>
  <c r="AC70" i="72"/>
  <c r="AB70" i="72"/>
  <c r="AA70" i="72"/>
  <c r="Z70" i="72"/>
  <c r="Y70" i="72"/>
  <c r="AN70" i="72" s="1"/>
  <c r="X70" i="72"/>
  <c r="W70" i="72"/>
  <c r="V70" i="72"/>
  <c r="U70" i="72"/>
  <c r="T70" i="72"/>
  <c r="S70" i="72"/>
  <c r="AM69" i="72"/>
  <c r="AL69" i="72"/>
  <c r="AK69" i="72"/>
  <c r="AJ69" i="72"/>
  <c r="AI69" i="72"/>
  <c r="AH69" i="72"/>
  <c r="AG69" i="72"/>
  <c r="AF69" i="72"/>
  <c r="AE69" i="72"/>
  <c r="AD69" i="72"/>
  <c r="AC69" i="72"/>
  <c r="AB69" i="72"/>
  <c r="AA69" i="72"/>
  <c r="Z69" i="72"/>
  <c r="Y69" i="72"/>
  <c r="X69" i="72"/>
  <c r="W69" i="72"/>
  <c r="V69" i="72"/>
  <c r="U69" i="72"/>
  <c r="T69" i="72"/>
  <c r="S69" i="72"/>
  <c r="AM68" i="72"/>
  <c r="AL68" i="72"/>
  <c r="AK68" i="72"/>
  <c r="AJ68" i="72"/>
  <c r="AI68" i="72"/>
  <c r="AH68" i="72"/>
  <c r="AG68" i="72"/>
  <c r="AF68" i="72"/>
  <c r="AE68" i="72"/>
  <c r="AD68" i="72"/>
  <c r="AC68" i="72"/>
  <c r="AB68" i="72"/>
  <c r="AA68" i="72"/>
  <c r="Z68" i="72"/>
  <c r="Y68" i="72"/>
  <c r="X68" i="72"/>
  <c r="W68" i="72"/>
  <c r="V68" i="72"/>
  <c r="U68" i="72"/>
  <c r="T68" i="72"/>
  <c r="S68" i="72"/>
  <c r="AM67" i="72"/>
  <c r="AL67" i="72"/>
  <c r="AK67" i="72"/>
  <c r="AJ67" i="72"/>
  <c r="AI67" i="72"/>
  <c r="AH67" i="72"/>
  <c r="AG67" i="72"/>
  <c r="AF67" i="72"/>
  <c r="AE67" i="72"/>
  <c r="AD67" i="72"/>
  <c r="AC67" i="72"/>
  <c r="AB67" i="72"/>
  <c r="AA67" i="72"/>
  <c r="Z67" i="72"/>
  <c r="Y67" i="72"/>
  <c r="X67" i="72"/>
  <c r="W67" i="72"/>
  <c r="V67" i="72"/>
  <c r="U67" i="72"/>
  <c r="T67" i="72"/>
  <c r="S67" i="72"/>
  <c r="AM66" i="72"/>
  <c r="AL66" i="72"/>
  <c r="AK66" i="72"/>
  <c r="AJ66" i="72"/>
  <c r="AI66" i="72"/>
  <c r="AH66" i="72"/>
  <c r="AG66" i="72"/>
  <c r="AF66" i="72"/>
  <c r="AE66" i="72"/>
  <c r="AD66" i="72"/>
  <c r="AC66" i="72"/>
  <c r="AB66" i="72"/>
  <c r="AA66" i="72"/>
  <c r="Z66" i="72"/>
  <c r="Y66" i="72"/>
  <c r="AN66" i="72" s="1"/>
  <c r="X66" i="72"/>
  <c r="W66" i="72"/>
  <c r="V66" i="72"/>
  <c r="U66" i="72"/>
  <c r="T66" i="72"/>
  <c r="S66" i="72"/>
  <c r="AM65" i="72"/>
  <c r="AL65" i="72"/>
  <c r="AK65" i="72"/>
  <c r="AJ65" i="72"/>
  <c r="AI65" i="72"/>
  <c r="AH65" i="72"/>
  <c r="AG65" i="72"/>
  <c r="AF65" i="72"/>
  <c r="AE65" i="72"/>
  <c r="AD65" i="72"/>
  <c r="AC65" i="72"/>
  <c r="AB65" i="72"/>
  <c r="AA65" i="72"/>
  <c r="Z65" i="72"/>
  <c r="Y65" i="72"/>
  <c r="X65" i="72"/>
  <c r="W65" i="72"/>
  <c r="V65" i="72"/>
  <c r="U65" i="72"/>
  <c r="T65" i="72"/>
  <c r="S65" i="72"/>
  <c r="AM64" i="72"/>
  <c r="AL64" i="72"/>
  <c r="AK64" i="72"/>
  <c r="AJ64" i="72"/>
  <c r="AI64" i="72"/>
  <c r="AH64" i="72"/>
  <c r="AG64" i="72"/>
  <c r="AF64" i="72"/>
  <c r="AE64" i="72"/>
  <c r="AD64" i="72"/>
  <c r="AC64" i="72"/>
  <c r="AB64" i="72"/>
  <c r="AA64" i="72"/>
  <c r="Z64" i="72"/>
  <c r="Y64" i="72"/>
  <c r="X64" i="72"/>
  <c r="W64" i="72"/>
  <c r="V64" i="72"/>
  <c r="U64" i="72"/>
  <c r="T64" i="72"/>
  <c r="S64" i="72"/>
  <c r="AM63" i="72"/>
  <c r="AL63" i="72"/>
  <c r="AK63" i="72"/>
  <c r="AJ63" i="72"/>
  <c r="AI63" i="72"/>
  <c r="AH63" i="72"/>
  <c r="AG63" i="72"/>
  <c r="AF63" i="72"/>
  <c r="AE63" i="72"/>
  <c r="AD63" i="72"/>
  <c r="AC63" i="72"/>
  <c r="AB63" i="72"/>
  <c r="AA63" i="72"/>
  <c r="Z63" i="72"/>
  <c r="Y63" i="72"/>
  <c r="X63" i="72"/>
  <c r="W63" i="72"/>
  <c r="V63" i="72"/>
  <c r="U63" i="72"/>
  <c r="T63" i="72"/>
  <c r="S63" i="72"/>
  <c r="AM62" i="72"/>
  <c r="AL62" i="72"/>
  <c r="AK62" i="72"/>
  <c r="AJ62" i="72"/>
  <c r="AI62" i="72"/>
  <c r="AH62" i="72"/>
  <c r="AG62" i="72"/>
  <c r="AF62" i="72"/>
  <c r="AE62" i="72"/>
  <c r="AD62" i="72"/>
  <c r="AC62" i="72"/>
  <c r="AB62" i="72"/>
  <c r="AA62" i="72"/>
  <c r="Z62" i="72"/>
  <c r="Y62" i="72"/>
  <c r="X62" i="72"/>
  <c r="W62" i="72"/>
  <c r="V62" i="72"/>
  <c r="U62" i="72"/>
  <c r="T62" i="72"/>
  <c r="S62" i="72"/>
  <c r="AM61" i="72"/>
  <c r="AL61" i="72"/>
  <c r="AK61" i="72"/>
  <c r="AJ61" i="72"/>
  <c r="AI61" i="72"/>
  <c r="AH61" i="72"/>
  <c r="AG61" i="72"/>
  <c r="AF61" i="72"/>
  <c r="AE61" i="72"/>
  <c r="AD61" i="72"/>
  <c r="AC61" i="72"/>
  <c r="AB61" i="72"/>
  <c r="AA61" i="72"/>
  <c r="Z61" i="72"/>
  <c r="Y61" i="72"/>
  <c r="X61" i="72"/>
  <c r="W61" i="72"/>
  <c r="V61" i="72"/>
  <c r="U61" i="72"/>
  <c r="T61" i="72"/>
  <c r="S61" i="72"/>
  <c r="AM60" i="72"/>
  <c r="AL60" i="72"/>
  <c r="AK60" i="72"/>
  <c r="AJ60" i="72"/>
  <c r="AI60" i="72"/>
  <c r="AH60" i="72"/>
  <c r="AG60" i="72"/>
  <c r="AF60" i="72"/>
  <c r="AE60" i="72"/>
  <c r="AD60" i="72"/>
  <c r="AC60" i="72"/>
  <c r="AB60" i="72"/>
  <c r="AA60" i="72"/>
  <c r="Z60" i="72"/>
  <c r="Y60" i="72"/>
  <c r="X60" i="72"/>
  <c r="W60" i="72"/>
  <c r="V60" i="72"/>
  <c r="U60" i="72"/>
  <c r="T60" i="72"/>
  <c r="S60" i="72"/>
  <c r="AM59" i="72"/>
  <c r="AL59" i="72"/>
  <c r="AK59" i="72"/>
  <c r="AJ59" i="72"/>
  <c r="AI59" i="72"/>
  <c r="AH59" i="72"/>
  <c r="AG59" i="72"/>
  <c r="AF59" i="72"/>
  <c r="AE59" i="72"/>
  <c r="AD59" i="72"/>
  <c r="AC59" i="72"/>
  <c r="AB59" i="72"/>
  <c r="AA59" i="72"/>
  <c r="Z59" i="72"/>
  <c r="Y59" i="72"/>
  <c r="X59" i="72"/>
  <c r="W59" i="72"/>
  <c r="V59" i="72"/>
  <c r="U59" i="72"/>
  <c r="T59" i="72"/>
  <c r="S59" i="72"/>
  <c r="AM58" i="72"/>
  <c r="AL58" i="72"/>
  <c r="AK58" i="72"/>
  <c r="AJ58" i="72"/>
  <c r="AI58" i="72"/>
  <c r="AH58" i="72"/>
  <c r="AG58" i="72"/>
  <c r="AF58" i="72"/>
  <c r="AE58" i="72"/>
  <c r="AD58" i="72"/>
  <c r="AC58" i="72"/>
  <c r="AB58" i="72"/>
  <c r="AA58" i="72"/>
  <c r="Z58" i="72"/>
  <c r="Y58" i="72"/>
  <c r="X58" i="72"/>
  <c r="W58" i="72"/>
  <c r="V58" i="72"/>
  <c r="U58" i="72"/>
  <c r="T58" i="72"/>
  <c r="S58" i="72"/>
  <c r="AM57" i="72"/>
  <c r="AL57" i="72"/>
  <c r="AK57" i="72"/>
  <c r="AJ57" i="72"/>
  <c r="AI57" i="72"/>
  <c r="AH57" i="72"/>
  <c r="AG57" i="72"/>
  <c r="AF57" i="72"/>
  <c r="AE57" i="72"/>
  <c r="AD57" i="72"/>
  <c r="AC57" i="72"/>
  <c r="AB57" i="72"/>
  <c r="AA57" i="72"/>
  <c r="Z57" i="72"/>
  <c r="Y57" i="72"/>
  <c r="X57" i="72"/>
  <c r="W57" i="72"/>
  <c r="V57" i="72"/>
  <c r="U57" i="72"/>
  <c r="T57" i="72"/>
  <c r="S57" i="72"/>
  <c r="AM56" i="72"/>
  <c r="AL56" i="72"/>
  <c r="AK56" i="72"/>
  <c r="AJ56" i="72"/>
  <c r="AI56" i="72"/>
  <c r="AH56" i="72"/>
  <c r="AG56" i="72"/>
  <c r="AF56" i="72"/>
  <c r="AE56" i="72"/>
  <c r="AD56" i="72"/>
  <c r="AC56" i="72"/>
  <c r="AB56" i="72"/>
  <c r="AA56" i="72"/>
  <c r="Z56" i="72"/>
  <c r="Y56" i="72"/>
  <c r="X56" i="72"/>
  <c r="W56" i="72"/>
  <c r="V56" i="72"/>
  <c r="U56" i="72"/>
  <c r="T56" i="72"/>
  <c r="S56" i="72"/>
  <c r="AM55" i="72"/>
  <c r="AL55" i="72"/>
  <c r="AK55" i="72"/>
  <c r="AJ55" i="72"/>
  <c r="AI55" i="72"/>
  <c r="AH55" i="72"/>
  <c r="AG55" i="72"/>
  <c r="AF55" i="72"/>
  <c r="AE55" i="72"/>
  <c r="AD55" i="72"/>
  <c r="AC55" i="72"/>
  <c r="AB55" i="72"/>
  <c r="AA55" i="72"/>
  <c r="Z55" i="72"/>
  <c r="Y55" i="72"/>
  <c r="X55" i="72"/>
  <c r="W55" i="72"/>
  <c r="V55" i="72"/>
  <c r="U55" i="72"/>
  <c r="T55" i="72"/>
  <c r="S55" i="72"/>
  <c r="AM54" i="72"/>
  <c r="AL54" i="72"/>
  <c r="AK54" i="72"/>
  <c r="AJ54" i="72"/>
  <c r="AI54" i="72"/>
  <c r="AH54" i="72"/>
  <c r="AG54" i="72"/>
  <c r="AF54" i="72"/>
  <c r="AE54" i="72"/>
  <c r="AD54" i="72"/>
  <c r="AC54" i="72"/>
  <c r="AB54" i="72"/>
  <c r="AA54" i="72"/>
  <c r="Z54" i="72"/>
  <c r="Y54" i="72"/>
  <c r="X54" i="72"/>
  <c r="W54" i="72"/>
  <c r="V54" i="72"/>
  <c r="U54" i="72"/>
  <c r="T54" i="72"/>
  <c r="S54" i="72"/>
  <c r="AM53" i="72"/>
  <c r="AL53" i="72"/>
  <c r="AK53" i="72"/>
  <c r="AJ53" i="72"/>
  <c r="AI53" i="72"/>
  <c r="AH53" i="72"/>
  <c r="AG53" i="72"/>
  <c r="AF53" i="72"/>
  <c r="AE53" i="72"/>
  <c r="AD53" i="72"/>
  <c r="AC53" i="72"/>
  <c r="AB53" i="72"/>
  <c r="AA53" i="72"/>
  <c r="Z53" i="72"/>
  <c r="Y53" i="72"/>
  <c r="X53" i="72"/>
  <c r="W53" i="72"/>
  <c r="V53" i="72"/>
  <c r="U53" i="72"/>
  <c r="T53" i="72"/>
  <c r="S53" i="72"/>
  <c r="AM52" i="72"/>
  <c r="AL52" i="72"/>
  <c r="AK52" i="72"/>
  <c r="AJ52" i="72"/>
  <c r="AI52" i="72"/>
  <c r="AH52" i="72"/>
  <c r="AG52" i="72"/>
  <c r="AF52" i="72"/>
  <c r="AE52" i="72"/>
  <c r="AD52" i="72"/>
  <c r="AC52" i="72"/>
  <c r="AB52" i="72"/>
  <c r="AA52" i="72"/>
  <c r="Z52" i="72"/>
  <c r="Y52" i="72"/>
  <c r="X52" i="72"/>
  <c r="W52" i="72"/>
  <c r="V52" i="72"/>
  <c r="U52" i="72"/>
  <c r="T52" i="72"/>
  <c r="S52" i="72"/>
  <c r="AM51" i="72"/>
  <c r="AL51" i="72"/>
  <c r="AK51" i="72"/>
  <c r="AJ51" i="72"/>
  <c r="AI51" i="72"/>
  <c r="AH51" i="72"/>
  <c r="AG51" i="72"/>
  <c r="AF51" i="72"/>
  <c r="AE51" i="72"/>
  <c r="AD51" i="72"/>
  <c r="AC51" i="72"/>
  <c r="AB51" i="72"/>
  <c r="AA51" i="72"/>
  <c r="Z51" i="72"/>
  <c r="Y51" i="72"/>
  <c r="X51" i="72"/>
  <c r="W51" i="72"/>
  <c r="V51" i="72"/>
  <c r="U51" i="72"/>
  <c r="T51" i="72"/>
  <c r="S51" i="72"/>
  <c r="AM50" i="72"/>
  <c r="AL50" i="72"/>
  <c r="AK50" i="72"/>
  <c r="AJ50" i="72"/>
  <c r="AI50" i="72"/>
  <c r="AH50" i="72"/>
  <c r="AG50" i="72"/>
  <c r="AF50" i="72"/>
  <c r="AE50" i="72"/>
  <c r="AD50" i="72"/>
  <c r="AC50" i="72"/>
  <c r="AB50" i="72"/>
  <c r="AA50" i="72"/>
  <c r="Z50" i="72"/>
  <c r="Y50" i="72"/>
  <c r="X50" i="72"/>
  <c r="W50" i="72"/>
  <c r="V50" i="72"/>
  <c r="U50" i="72"/>
  <c r="T50" i="72"/>
  <c r="S50" i="72"/>
  <c r="AM49" i="72"/>
  <c r="AL49" i="72"/>
  <c r="AK49" i="72"/>
  <c r="AJ49" i="72"/>
  <c r="AI49" i="72"/>
  <c r="AH49" i="72"/>
  <c r="AG49" i="72"/>
  <c r="AF49" i="72"/>
  <c r="AE49" i="72"/>
  <c r="AD49" i="72"/>
  <c r="AC49" i="72"/>
  <c r="AB49" i="72"/>
  <c r="AA49" i="72"/>
  <c r="Z49" i="72"/>
  <c r="Y49" i="72"/>
  <c r="X49" i="72"/>
  <c r="W49" i="72"/>
  <c r="V49" i="72"/>
  <c r="U49" i="72"/>
  <c r="T49" i="72"/>
  <c r="S49" i="72"/>
  <c r="AM48" i="72"/>
  <c r="AL48" i="72"/>
  <c r="AK48" i="72"/>
  <c r="AJ48" i="72"/>
  <c r="AI48" i="72"/>
  <c r="AH48" i="72"/>
  <c r="AG48" i="72"/>
  <c r="AF48" i="72"/>
  <c r="AE48" i="72"/>
  <c r="AD48" i="72"/>
  <c r="AC48" i="72"/>
  <c r="AB48" i="72"/>
  <c r="AA48" i="72"/>
  <c r="Z48" i="72"/>
  <c r="Y48" i="72"/>
  <c r="X48" i="72"/>
  <c r="W48" i="72"/>
  <c r="V48" i="72"/>
  <c r="U48" i="72"/>
  <c r="T48" i="72"/>
  <c r="S48" i="72"/>
  <c r="AM47" i="72"/>
  <c r="AL47" i="72"/>
  <c r="AK47" i="72"/>
  <c r="AJ47" i="72"/>
  <c r="AI47" i="72"/>
  <c r="AH47" i="72"/>
  <c r="AG47" i="72"/>
  <c r="AF47" i="72"/>
  <c r="AE47" i="72"/>
  <c r="AD47" i="72"/>
  <c r="AC47" i="72"/>
  <c r="AB47" i="72"/>
  <c r="AA47" i="72"/>
  <c r="Z47" i="72"/>
  <c r="Y47" i="72"/>
  <c r="X47" i="72"/>
  <c r="W47" i="72"/>
  <c r="V47" i="72"/>
  <c r="U47" i="72"/>
  <c r="T47" i="72"/>
  <c r="S47" i="72"/>
  <c r="AM46" i="72"/>
  <c r="AL46" i="72"/>
  <c r="AK46" i="72"/>
  <c r="AJ46" i="72"/>
  <c r="AI46" i="72"/>
  <c r="AH46" i="72"/>
  <c r="AG46" i="72"/>
  <c r="AF46" i="72"/>
  <c r="AE46" i="72"/>
  <c r="AD46" i="72"/>
  <c r="AC46" i="72"/>
  <c r="AB46" i="72"/>
  <c r="AA46" i="72"/>
  <c r="Z46" i="72"/>
  <c r="Y46" i="72"/>
  <c r="X46" i="72"/>
  <c r="W46" i="72"/>
  <c r="V46" i="72"/>
  <c r="U46" i="72"/>
  <c r="T46" i="72"/>
  <c r="S46" i="72"/>
  <c r="AM45" i="72"/>
  <c r="AL45" i="72"/>
  <c r="AK45" i="72"/>
  <c r="AJ45" i="72"/>
  <c r="AI45" i="72"/>
  <c r="AH45" i="72"/>
  <c r="AG45" i="72"/>
  <c r="AF45" i="72"/>
  <c r="AE45" i="72"/>
  <c r="AD45" i="72"/>
  <c r="AC45" i="72"/>
  <c r="AB45" i="72"/>
  <c r="AA45" i="72"/>
  <c r="Z45" i="72"/>
  <c r="Y45" i="72"/>
  <c r="X45" i="72"/>
  <c r="W45" i="72"/>
  <c r="V45" i="72"/>
  <c r="U45" i="72"/>
  <c r="T45" i="72"/>
  <c r="S45" i="72"/>
  <c r="AM44" i="72"/>
  <c r="AL44" i="72"/>
  <c r="AK44" i="72"/>
  <c r="AJ44" i="72"/>
  <c r="AI44" i="72"/>
  <c r="AH44" i="72"/>
  <c r="AG44" i="72"/>
  <c r="AF44" i="72"/>
  <c r="AE44" i="72"/>
  <c r="AD44" i="72"/>
  <c r="AC44" i="72"/>
  <c r="AB44" i="72"/>
  <c r="AA44" i="72"/>
  <c r="Z44" i="72"/>
  <c r="Y44" i="72"/>
  <c r="X44" i="72"/>
  <c r="W44" i="72"/>
  <c r="V44" i="72"/>
  <c r="U44" i="72"/>
  <c r="T44" i="72"/>
  <c r="S44" i="72"/>
  <c r="AM43" i="72"/>
  <c r="AL43" i="72"/>
  <c r="AK43" i="72"/>
  <c r="AJ43" i="72"/>
  <c r="AI43" i="72"/>
  <c r="AH43" i="72"/>
  <c r="AG43" i="72"/>
  <c r="AF43" i="72"/>
  <c r="AE43" i="72"/>
  <c r="AD43" i="72"/>
  <c r="AC43" i="72"/>
  <c r="AB43" i="72"/>
  <c r="AA43" i="72"/>
  <c r="Z43" i="72"/>
  <c r="Y43" i="72"/>
  <c r="X43" i="72"/>
  <c r="W43" i="72"/>
  <c r="V43" i="72"/>
  <c r="U43" i="72"/>
  <c r="T43" i="72"/>
  <c r="S43" i="72"/>
  <c r="AM42" i="72"/>
  <c r="AL42" i="72"/>
  <c r="AK42" i="72"/>
  <c r="AJ42" i="72"/>
  <c r="AI42" i="72"/>
  <c r="AH42" i="72"/>
  <c r="AG42" i="72"/>
  <c r="AF42" i="72"/>
  <c r="AE42" i="72"/>
  <c r="AD42" i="72"/>
  <c r="AC42" i="72"/>
  <c r="AB42" i="72"/>
  <c r="AA42" i="72"/>
  <c r="Z42" i="72"/>
  <c r="Y42" i="72"/>
  <c r="X42" i="72"/>
  <c r="W42" i="72"/>
  <c r="V42" i="72"/>
  <c r="U42" i="72"/>
  <c r="T42" i="72"/>
  <c r="S42" i="72"/>
  <c r="AM41" i="72"/>
  <c r="AL41" i="72"/>
  <c r="AK41" i="72"/>
  <c r="AJ41" i="72"/>
  <c r="AI41" i="72"/>
  <c r="AH41" i="72"/>
  <c r="AG41" i="72"/>
  <c r="AF41" i="72"/>
  <c r="AE41" i="72"/>
  <c r="AD41" i="72"/>
  <c r="AC41" i="72"/>
  <c r="AB41" i="72"/>
  <c r="AA41" i="72"/>
  <c r="Z41" i="72"/>
  <c r="Y41" i="72"/>
  <c r="X41" i="72"/>
  <c r="W41" i="72"/>
  <c r="V41" i="72"/>
  <c r="U41" i="72"/>
  <c r="T41" i="72"/>
  <c r="S41" i="72"/>
  <c r="AM40" i="72"/>
  <c r="AL40" i="72"/>
  <c r="AK40" i="72"/>
  <c r="AJ40" i="72"/>
  <c r="AI40" i="72"/>
  <c r="AH40" i="72"/>
  <c r="AG40" i="72"/>
  <c r="AF40" i="72"/>
  <c r="AE40" i="72"/>
  <c r="AD40" i="72"/>
  <c r="AC40" i="72"/>
  <c r="AB40" i="72"/>
  <c r="AA40" i="72"/>
  <c r="Z40" i="72"/>
  <c r="Y40" i="72"/>
  <c r="X40" i="72"/>
  <c r="W40" i="72"/>
  <c r="V40" i="72"/>
  <c r="U40" i="72"/>
  <c r="T40" i="72"/>
  <c r="S40" i="72"/>
  <c r="AM39" i="72"/>
  <c r="AL39" i="72"/>
  <c r="AK39" i="72"/>
  <c r="AJ39" i="72"/>
  <c r="AI39" i="72"/>
  <c r="AH39" i="72"/>
  <c r="AG39" i="72"/>
  <c r="AF39" i="72"/>
  <c r="AE39" i="72"/>
  <c r="AD39" i="72"/>
  <c r="AC39" i="72"/>
  <c r="AB39" i="72"/>
  <c r="AA39" i="72"/>
  <c r="Z39" i="72"/>
  <c r="Y39" i="72"/>
  <c r="X39" i="72"/>
  <c r="W39" i="72"/>
  <c r="V39" i="72"/>
  <c r="U39" i="72"/>
  <c r="T39" i="72"/>
  <c r="S39" i="72"/>
  <c r="AM38" i="72"/>
  <c r="AL38" i="72"/>
  <c r="AK38" i="72"/>
  <c r="AJ38" i="72"/>
  <c r="AI38" i="72"/>
  <c r="AH38" i="72"/>
  <c r="AG38" i="72"/>
  <c r="AR38" i="72" s="1"/>
  <c r="AF38" i="72"/>
  <c r="AE38" i="72"/>
  <c r="AD38" i="72"/>
  <c r="AC38" i="72"/>
  <c r="AB38" i="72"/>
  <c r="AA38" i="72"/>
  <c r="Z38" i="72"/>
  <c r="Y38" i="72"/>
  <c r="X38" i="72"/>
  <c r="W38" i="72"/>
  <c r="V38" i="72"/>
  <c r="U38" i="72"/>
  <c r="T38" i="72"/>
  <c r="S38" i="72"/>
  <c r="AM37" i="72"/>
  <c r="AL37" i="72"/>
  <c r="AK37" i="72"/>
  <c r="AJ37" i="72"/>
  <c r="AI37" i="72"/>
  <c r="AH37" i="72"/>
  <c r="AG37" i="72"/>
  <c r="AF37" i="72"/>
  <c r="AE37" i="72"/>
  <c r="AD37" i="72"/>
  <c r="AC37" i="72"/>
  <c r="AB37" i="72"/>
  <c r="AA37" i="72"/>
  <c r="Z37" i="72"/>
  <c r="Y37" i="72"/>
  <c r="X37" i="72"/>
  <c r="W37" i="72"/>
  <c r="V37" i="72"/>
  <c r="U37" i="72"/>
  <c r="T37" i="72"/>
  <c r="S37" i="72"/>
  <c r="AM36" i="72"/>
  <c r="AL36" i="72"/>
  <c r="AK36" i="72"/>
  <c r="AJ36" i="72"/>
  <c r="AI36" i="72"/>
  <c r="AH36" i="72"/>
  <c r="AG36" i="72"/>
  <c r="AF36" i="72"/>
  <c r="AE36" i="72"/>
  <c r="AD36" i="72"/>
  <c r="AC36" i="72"/>
  <c r="AB36" i="72"/>
  <c r="AA36" i="72"/>
  <c r="Z36" i="72"/>
  <c r="Y36" i="72"/>
  <c r="X36" i="72"/>
  <c r="W36" i="72"/>
  <c r="V36" i="72"/>
  <c r="U36" i="72"/>
  <c r="T36" i="72"/>
  <c r="S36" i="72"/>
  <c r="AM35" i="72"/>
  <c r="AL35" i="72"/>
  <c r="AK35" i="72"/>
  <c r="AJ35" i="72"/>
  <c r="AI35" i="72"/>
  <c r="AH35" i="72"/>
  <c r="AG35" i="72"/>
  <c r="AF35" i="72"/>
  <c r="AE35" i="72"/>
  <c r="AD35" i="72"/>
  <c r="AC35" i="72"/>
  <c r="AB35" i="72"/>
  <c r="AA35" i="72"/>
  <c r="Z35" i="72"/>
  <c r="Y35" i="72"/>
  <c r="X35" i="72"/>
  <c r="W35" i="72"/>
  <c r="V35" i="72"/>
  <c r="U35" i="72"/>
  <c r="T35" i="72"/>
  <c r="S35" i="72"/>
  <c r="AM34" i="72"/>
  <c r="AL34" i="72"/>
  <c r="AK34" i="72"/>
  <c r="AJ34" i="72"/>
  <c r="AI34" i="72"/>
  <c r="AH34" i="72"/>
  <c r="AG34" i="72"/>
  <c r="AF34" i="72"/>
  <c r="AE34" i="72"/>
  <c r="AD34" i="72"/>
  <c r="AC34" i="72"/>
  <c r="AB34" i="72"/>
  <c r="AA34" i="72"/>
  <c r="Z34" i="72"/>
  <c r="Y34" i="72"/>
  <c r="X34" i="72"/>
  <c r="W34" i="72"/>
  <c r="V34" i="72"/>
  <c r="U34" i="72"/>
  <c r="T34" i="72"/>
  <c r="S34" i="72"/>
  <c r="AM33" i="72"/>
  <c r="AL33" i="72"/>
  <c r="AK33" i="72"/>
  <c r="AJ33" i="72"/>
  <c r="AI33" i="72"/>
  <c r="AH33" i="72"/>
  <c r="AG33" i="72"/>
  <c r="AF33" i="72"/>
  <c r="AE33" i="72"/>
  <c r="AD33" i="72"/>
  <c r="AC33" i="72"/>
  <c r="AB33" i="72"/>
  <c r="AA33" i="72"/>
  <c r="Z33" i="72"/>
  <c r="Y33" i="72"/>
  <c r="X33" i="72"/>
  <c r="W33" i="72"/>
  <c r="V33" i="72"/>
  <c r="U33" i="72"/>
  <c r="T33" i="72"/>
  <c r="S33" i="72"/>
  <c r="AM32" i="72"/>
  <c r="AL32" i="72"/>
  <c r="AK32" i="72"/>
  <c r="AJ32" i="72"/>
  <c r="AI32" i="72"/>
  <c r="AH32" i="72"/>
  <c r="AG32" i="72"/>
  <c r="AF32" i="72"/>
  <c r="AE32" i="72"/>
  <c r="AD32" i="72"/>
  <c r="AC32" i="72"/>
  <c r="AB32" i="72"/>
  <c r="AA32" i="72"/>
  <c r="Z32" i="72"/>
  <c r="Y32" i="72"/>
  <c r="X32" i="72"/>
  <c r="W32" i="72"/>
  <c r="V32" i="72"/>
  <c r="U32" i="72"/>
  <c r="T32" i="72"/>
  <c r="S32" i="72"/>
  <c r="AM31" i="72"/>
  <c r="AL31" i="72"/>
  <c r="AK31" i="72"/>
  <c r="AJ31" i="72"/>
  <c r="AI31" i="72"/>
  <c r="AH31" i="72"/>
  <c r="AG31" i="72"/>
  <c r="AF31" i="72"/>
  <c r="AE31" i="72"/>
  <c r="AD31" i="72"/>
  <c r="AC31" i="72"/>
  <c r="AB31" i="72"/>
  <c r="AA31" i="72"/>
  <c r="Z31" i="72"/>
  <c r="Y31" i="72"/>
  <c r="X31" i="72"/>
  <c r="W31" i="72"/>
  <c r="V31" i="72"/>
  <c r="U31" i="72"/>
  <c r="T31" i="72"/>
  <c r="S31" i="72"/>
  <c r="AM30" i="72"/>
  <c r="AL30" i="72"/>
  <c r="AK30" i="72"/>
  <c r="AJ30" i="72"/>
  <c r="AI30" i="72"/>
  <c r="AH30" i="72"/>
  <c r="AG30" i="72"/>
  <c r="AF30" i="72"/>
  <c r="AE30" i="72"/>
  <c r="AD30" i="72"/>
  <c r="AC30" i="72"/>
  <c r="AB30" i="72"/>
  <c r="AA30" i="72"/>
  <c r="Z30" i="72"/>
  <c r="Y30" i="72"/>
  <c r="X30" i="72"/>
  <c r="W30" i="72"/>
  <c r="V30" i="72"/>
  <c r="U30" i="72"/>
  <c r="T30" i="72"/>
  <c r="S30" i="72"/>
  <c r="AM29" i="72"/>
  <c r="AL29" i="72"/>
  <c r="AK29" i="72"/>
  <c r="AJ29" i="72"/>
  <c r="AI29" i="72"/>
  <c r="AH29" i="72"/>
  <c r="AG29" i="72"/>
  <c r="AF29" i="72"/>
  <c r="AE29" i="72"/>
  <c r="AD29" i="72"/>
  <c r="AC29" i="72"/>
  <c r="AB29" i="72"/>
  <c r="AA29" i="72"/>
  <c r="Z29" i="72"/>
  <c r="Y29" i="72"/>
  <c r="X29" i="72"/>
  <c r="W29" i="72"/>
  <c r="V29" i="72"/>
  <c r="U29" i="72"/>
  <c r="T29" i="72"/>
  <c r="S29" i="72"/>
  <c r="AM28" i="72"/>
  <c r="AL28" i="72"/>
  <c r="AK28" i="72"/>
  <c r="AJ28" i="72"/>
  <c r="AI28" i="72"/>
  <c r="AH28" i="72"/>
  <c r="AG28" i="72"/>
  <c r="AF28" i="72"/>
  <c r="AE28" i="72"/>
  <c r="AD28" i="72"/>
  <c r="AC28" i="72"/>
  <c r="AB28" i="72"/>
  <c r="AA28" i="72"/>
  <c r="Z28" i="72"/>
  <c r="Y28" i="72"/>
  <c r="X28" i="72"/>
  <c r="W28" i="72"/>
  <c r="V28" i="72"/>
  <c r="U28" i="72"/>
  <c r="T28" i="72"/>
  <c r="S28" i="72"/>
  <c r="AM27" i="72"/>
  <c r="AL27" i="72"/>
  <c r="AK27" i="72"/>
  <c r="AJ27" i="72"/>
  <c r="AI27" i="72"/>
  <c r="AH27" i="72"/>
  <c r="AG27" i="72"/>
  <c r="AF27" i="72"/>
  <c r="AE27" i="72"/>
  <c r="AD27" i="72"/>
  <c r="AC27" i="72"/>
  <c r="AB27" i="72"/>
  <c r="AA27" i="72"/>
  <c r="Z27" i="72"/>
  <c r="Y27" i="72"/>
  <c r="X27" i="72"/>
  <c r="W27" i="72"/>
  <c r="V27" i="72"/>
  <c r="U27" i="72"/>
  <c r="T27" i="72"/>
  <c r="S27" i="72"/>
  <c r="AM26" i="72"/>
  <c r="AL26" i="72"/>
  <c r="AK26" i="72"/>
  <c r="AJ26" i="72"/>
  <c r="AI26" i="72"/>
  <c r="AH26" i="72"/>
  <c r="AG26" i="72"/>
  <c r="AF26" i="72"/>
  <c r="AE26" i="72"/>
  <c r="AD26" i="72"/>
  <c r="AC26" i="72"/>
  <c r="AB26" i="72"/>
  <c r="AA26" i="72"/>
  <c r="Z26" i="72"/>
  <c r="Y26" i="72"/>
  <c r="X26" i="72"/>
  <c r="W26" i="72"/>
  <c r="V26" i="72"/>
  <c r="U26" i="72"/>
  <c r="T26" i="72"/>
  <c r="S26" i="72"/>
  <c r="AM25" i="72"/>
  <c r="AL25" i="72"/>
  <c r="AK25" i="72"/>
  <c r="AJ25" i="72"/>
  <c r="AI25" i="72"/>
  <c r="AH25" i="72"/>
  <c r="AG25" i="72"/>
  <c r="AF25" i="72"/>
  <c r="AE25" i="72"/>
  <c r="AD25" i="72"/>
  <c r="AC25" i="72"/>
  <c r="AB25" i="72"/>
  <c r="AA25" i="72"/>
  <c r="Z25" i="72"/>
  <c r="Y25" i="72"/>
  <c r="X25" i="72"/>
  <c r="W25" i="72"/>
  <c r="V25" i="72"/>
  <c r="U25" i="72"/>
  <c r="T25" i="72"/>
  <c r="S25" i="72"/>
  <c r="AM24" i="72"/>
  <c r="AL24" i="72"/>
  <c r="AK24" i="72"/>
  <c r="AJ24" i="72"/>
  <c r="AI24" i="72"/>
  <c r="AH24" i="72"/>
  <c r="AG24" i="72"/>
  <c r="AF24" i="72"/>
  <c r="AE24" i="72"/>
  <c r="AD24" i="72"/>
  <c r="AC24" i="72"/>
  <c r="AB24" i="72"/>
  <c r="AA24" i="72"/>
  <c r="Z24" i="72"/>
  <c r="Y24" i="72"/>
  <c r="X24" i="72"/>
  <c r="W24" i="72"/>
  <c r="V24" i="72"/>
  <c r="U24" i="72"/>
  <c r="T24" i="72"/>
  <c r="S24" i="72"/>
  <c r="AM23" i="72"/>
  <c r="AL23" i="72"/>
  <c r="AK23" i="72"/>
  <c r="AJ23" i="72"/>
  <c r="AI23" i="72"/>
  <c r="AH23" i="72"/>
  <c r="AG23" i="72"/>
  <c r="AF23" i="72"/>
  <c r="AE23" i="72"/>
  <c r="AD23" i="72"/>
  <c r="AC23" i="72"/>
  <c r="AB23" i="72"/>
  <c r="AA23" i="72"/>
  <c r="Z23" i="72"/>
  <c r="Y23" i="72"/>
  <c r="X23" i="72"/>
  <c r="W23" i="72"/>
  <c r="V23" i="72"/>
  <c r="U23" i="72"/>
  <c r="T23" i="72"/>
  <c r="S23" i="72"/>
  <c r="AM22" i="72"/>
  <c r="AL22" i="72"/>
  <c r="AK22" i="72"/>
  <c r="AJ22" i="72"/>
  <c r="AI22" i="72"/>
  <c r="AH22" i="72"/>
  <c r="AG22" i="72"/>
  <c r="AF22" i="72"/>
  <c r="AE22" i="72"/>
  <c r="AD22" i="72"/>
  <c r="AC22" i="72"/>
  <c r="AB22" i="72"/>
  <c r="AA22" i="72"/>
  <c r="Z22" i="72"/>
  <c r="Y22" i="72"/>
  <c r="X22" i="72"/>
  <c r="W22" i="72"/>
  <c r="V22" i="72"/>
  <c r="U22" i="72"/>
  <c r="T22" i="72"/>
  <c r="S22" i="72"/>
  <c r="AM21" i="72"/>
  <c r="AL21" i="72"/>
  <c r="AK21" i="72"/>
  <c r="AJ21" i="72"/>
  <c r="AI21" i="72"/>
  <c r="AH21" i="72"/>
  <c r="AG21" i="72"/>
  <c r="AF21" i="72"/>
  <c r="AE21" i="72"/>
  <c r="AD21" i="72"/>
  <c r="AC21" i="72"/>
  <c r="AB21" i="72"/>
  <c r="AA21" i="72"/>
  <c r="Z21" i="72"/>
  <c r="Y21" i="72"/>
  <c r="X21" i="72"/>
  <c r="W21" i="72"/>
  <c r="V21" i="72"/>
  <c r="U21" i="72"/>
  <c r="T21" i="72"/>
  <c r="S21" i="72"/>
  <c r="AM20" i="72"/>
  <c r="AL20" i="72"/>
  <c r="AK20" i="72"/>
  <c r="AJ20" i="72"/>
  <c r="AI20" i="72"/>
  <c r="AH20" i="72"/>
  <c r="AG20" i="72"/>
  <c r="AF20" i="72"/>
  <c r="AE20" i="72"/>
  <c r="AD20" i="72"/>
  <c r="AC20" i="72"/>
  <c r="AB20" i="72"/>
  <c r="AA20" i="72"/>
  <c r="Z20" i="72"/>
  <c r="Y20" i="72"/>
  <c r="X20" i="72"/>
  <c r="W20" i="72"/>
  <c r="V20" i="72"/>
  <c r="U20" i="72"/>
  <c r="T20" i="72"/>
  <c r="S20" i="72"/>
  <c r="AM19" i="72"/>
  <c r="AL19" i="72"/>
  <c r="AK19" i="72"/>
  <c r="AJ19" i="72"/>
  <c r="AI19" i="72"/>
  <c r="AH19" i="72"/>
  <c r="AG19" i="72"/>
  <c r="AF19" i="72"/>
  <c r="AE19" i="72"/>
  <c r="AD19" i="72"/>
  <c r="AC19" i="72"/>
  <c r="AB19" i="72"/>
  <c r="AA19" i="72"/>
  <c r="Z19" i="72"/>
  <c r="Y19" i="72"/>
  <c r="X19" i="72"/>
  <c r="W19" i="72"/>
  <c r="V19" i="72"/>
  <c r="U19" i="72"/>
  <c r="T19" i="72"/>
  <c r="S19" i="72"/>
  <c r="AM18" i="72"/>
  <c r="AL18" i="72"/>
  <c r="AK18" i="72"/>
  <c r="AJ18" i="72"/>
  <c r="AI18" i="72"/>
  <c r="AH18" i="72"/>
  <c r="AG18" i="72"/>
  <c r="AF18" i="72"/>
  <c r="AE18" i="72"/>
  <c r="AD18" i="72"/>
  <c r="AC18" i="72"/>
  <c r="AB18" i="72"/>
  <c r="AA18" i="72"/>
  <c r="Z18" i="72"/>
  <c r="Y18" i="72"/>
  <c r="X18" i="72"/>
  <c r="W18" i="72"/>
  <c r="V18" i="72"/>
  <c r="U18" i="72"/>
  <c r="T18" i="72"/>
  <c r="S18" i="72"/>
  <c r="AM17" i="72"/>
  <c r="AL17" i="72"/>
  <c r="AK17" i="72"/>
  <c r="AJ17" i="72"/>
  <c r="AI17" i="72"/>
  <c r="AH17" i="72"/>
  <c r="AG17" i="72"/>
  <c r="AF17" i="72"/>
  <c r="AE17" i="72"/>
  <c r="AD17" i="72"/>
  <c r="AC17" i="72"/>
  <c r="AB17" i="72"/>
  <c r="AA17" i="72"/>
  <c r="Z17" i="72"/>
  <c r="Y17" i="72"/>
  <c r="X17" i="72"/>
  <c r="W17" i="72"/>
  <c r="V17" i="72"/>
  <c r="U17" i="72"/>
  <c r="T17" i="72"/>
  <c r="S17" i="72"/>
  <c r="AM16" i="72"/>
  <c r="AL16" i="72"/>
  <c r="AK16" i="72"/>
  <c r="AJ16" i="72"/>
  <c r="AI16" i="72"/>
  <c r="AH16" i="72"/>
  <c r="AG16" i="72"/>
  <c r="AF16" i="72"/>
  <c r="AE16" i="72"/>
  <c r="AD16" i="72"/>
  <c r="AC16" i="72"/>
  <c r="AB16" i="72"/>
  <c r="AA16" i="72"/>
  <c r="Z16" i="72"/>
  <c r="Y16" i="72"/>
  <c r="X16" i="72"/>
  <c r="W16" i="72"/>
  <c r="V16" i="72"/>
  <c r="U16" i="72"/>
  <c r="T16" i="72"/>
  <c r="S16" i="72"/>
  <c r="AM15" i="72"/>
  <c r="AL15" i="72"/>
  <c r="AK15" i="72"/>
  <c r="AJ15" i="72"/>
  <c r="AI15" i="72"/>
  <c r="AH15" i="72"/>
  <c r="AG15" i="72"/>
  <c r="AF15" i="72"/>
  <c r="AE15" i="72"/>
  <c r="AD15" i="72"/>
  <c r="AC15" i="72"/>
  <c r="AB15" i="72"/>
  <c r="AA15" i="72"/>
  <c r="Z15" i="72"/>
  <c r="Y15" i="72"/>
  <c r="X15" i="72"/>
  <c r="W15" i="72"/>
  <c r="V15" i="72"/>
  <c r="U15" i="72"/>
  <c r="T15" i="72"/>
  <c r="S15" i="72"/>
  <c r="AM14" i="72"/>
  <c r="AL14" i="72"/>
  <c r="AK14" i="72"/>
  <c r="AJ14" i="72"/>
  <c r="AI14" i="72"/>
  <c r="AH14" i="72"/>
  <c r="AG14" i="72"/>
  <c r="AF14" i="72"/>
  <c r="AE14" i="72"/>
  <c r="AD14" i="72"/>
  <c r="AC14" i="72"/>
  <c r="AB14" i="72"/>
  <c r="AA14" i="72"/>
  <c r="Z14" i="72"/>
  <c r="Y14" i="72"/>
  <c r="X14" i="72"/>
  <c r="W14" i="72"/>
  <c r="V14" i="72"/>
  <c r="U14" i="72"/>
  <c r="T14" i="72"/>
  <c r="S14" i="72"/>
  <c r="AM13" i="72"/>
  <c r="AL13" i="72"/>
  <c r="AK13" i="72"/>
  <c r="AJ13" i="72"/>
  <c r="AI13" i="72"/>
  <c r="AH13" i="72"/>
  <c r="AG13" i="72"/>
  <c r="AF13" i="72"/>
  <c r="AE13" i="72"/>
  <c r="AD13" i="72"/>
  <c r="AC13" i="72"/>
  <c r="AB13" i="72"/>
  <c r="AA13" i="72"/>
  <c r="Z13" i="72"/>
  <c r="Y13" i="72"/>
  <c r="X13" i="72"/>
  <c r="W13" i="72"/>
  <c r="V13" i="72"/>
  <c r="U13" i="72"/>
  <c r="T13" i="72"/>
  <c r="S13" i="72"/>
  <c r="AM12" i="72"/>
  <c r="AL12" i="72"/>
  <c r="AK12" i="72"/>
  <c r="AJ12" i="72"/>
  <c r="AI12" i="72"/>
  <c r="AH12" i="72"/>
  <c r="AG12" i="72"/>
  <c r="AF12" i="72"/>
  <c r="AE12" i="72"/>
  <c r="AD12" i="72"/>
  <c r="AC12" i="72"/>
  <c r="AB12" i="72"/>
  <c r="AA12" i="72"/>
  <c r="Z12" i="72"/>
  <c r="Y12" i="72"/>
  <c r="X12" i="72"/>
  <c r="W12" i="72"/>
  <c r="V12" i="72"/>
  <c r="U12" i="72"/>
  <c r="T12" i="72"/>
  <c r="S12" i="72"/>
  <c r="AM11" i="72"/>
  <c r="AL11" i="72"/>
  <c r="AK11" i="72"/>
  <c r="AJ11" i="72"/>
  <c r="AI11" i="72"/>
  <c r="AH11" i="72"/>
  <c r="AG11" i="72"/>
  <c r="AF11" i="72"/>
  <c r="AE11" i="72"/>
  <c r="AD11" i="72"/>
  <c r="AC11" i="72"/>
  <c r="AB11" i="72"/>
  <c r="AA11" i="72"/>
  <c r="Z11" i="72"/>
  <c r="Y11" i="72"/>
  <c r="X11" i="72"/>
  <c r="W11" i="72"/>
  <c r="V11" i="72"/>
  <c r="U11" i="72"/>
  <c r="T11" i="72"/>
  <c r="S11" i="72"/>
  <c r="AM10" i="72"/>
  <c r="AL10" i="72"/>
  <c r="AK10" i="72"/>
  <c r="AJ10" i="72"/>
  <c r="AI10" i="72"/>
  <c r="AH10" i="72"/>
  <c r="AG10" i="72"/>
  <c r="AF10" i="72"/>
  <c r="AE10" i="72"/>
  <c r="AD10" i="72"/>
  <c r="AC10" i="72"/>
  <c r="AB10" i="72"/>
  <c r="AA10" i="72"/>
  <c r="Z10" i="72"/>
  <c r="Y10" i="72"/>
  <c r="X10" i="72"/>
  <c r="W10" i="72"/>
  <c r="V10" i="72"/>
  <c r="U10" i="72"/>
  <c r="T10" i="72"/>
  <c r="S10" i="72"/>
  <c r="AM9" i="72"/>
  <c r="AL9" i="72"/>
  <c r="AK9" i="72"/>
  <c r="AJ9" i="72"/>
  <c r="AI9" i="72"/>
  <c r="AH9" i="72"/>
  <c r="AG9" i="72"/>
  <c r="AF9" i="72"/>
  <c r="AE9" i="72"/>
  <c r="AD9" i="72"/>
  <c r="AC9" i="72"/>
  <c r="AB9" i="72"/>
  <c r="AA9" i="72"/>
  <c r="Z9" i="72"/>
  <c r="Y9" i="72"/>
  <c r="X9" i="72"/>
  <c r="W9" i="72"/>
  <c r="V9" i="72"/>
  <c r="U9" i="72"/>
  <c r="T9" i="72"/>
  <c r="S9" i="72"/>
  <c r="AM8" i="72"/>
  <c r="AL8" i="72"/>
  <c r="AK8" i="72"/>
  <c r="AJ8" i="72"/>
  <c r="AI8" i="72"/>
  <c r="AH8" i="72"/>
  <c r="AG8" i="72"/>
  <c r="AF8" i="72"/>
  <c r="AE8" i="72"/>
  <c r="AD8" i="72"/>
  <c r="AC8" i="72"/>
  <c r="AB8" i="72"/>
  <c r="AA8" i="72"/>
  <c r="Z8" i="72"/>
  <c r="Y8" i="72"/>
  <c r="X8" i="72"/>
  <c r="W8" i="72"/>
  <c r="V8" i="72"/>
  <c r="U8" i="72"/>
  <c r="T8" i="72"/>
  <c r="S8" i="72"/>
  <c r="AM7" i="72"/>
  <c r="AL7" i="72"/>
  <c r="AK7" i="72"/>
  <c r="AJ7" i="72"/>
  <c r="AI7" i="72"/>
  <c r="AH7" i="72"/>
  <c r="AG7" i="72"/>
  <c r="AF7" i="72"/>
  <c r="AE7" i="72"/>
  <c r="AD7" i="72"/>
  <c r="AC7" i="72"/>
  <c r="AB7" i="72"/>
  <c r="AA7" i="72"/>
  <c r="Z7" i="72"/>
  <c r="Y7" i="72"/>
  <c r="X7" i="72"/>
  <c r="W7" i="72"/>
  <c r="V7" i="72"/>
  <c r="U7" i="72"/>
  <c r="T7" i="72"/>
  <c r="S7" i="72"/>
  <c r="AM6" i="72"/>
  <c r="AL6" i="72"/>
  <c r="AK6" i="72"/>
  <c r="AJ6" i="72"/>
  <c r="AI6" i="72"/>
  <c r="AH6" i="72"/>
  <c r="AG6" i="72"/>
  <c r="AF6" i="72"/>
  <c r="AE6" i="72"/>
  <c r="AD6" i="72"/>
  <c r="AC6" i="72"/>
  <c r="AB6" i="72"/>
  <c r="AA6" i="72"/>
  <c r="Z6" i="72"/>
  <c r="Y6" i="72"/>
  <c r="X6" i="72"/>
  <c r="W6" i="72"/>
  <c r="V6" i="72"/>
  <c r="U6" i="72"/>
  <c r="T6" i="72"/>
  <c r="S6" i="72"/>
  <c r="AM5" i="72"/>
  <c r="AL5" i="72"/>
  <c r="AK5" i="72"/>
  <c r="AJ5" i="72"/>
  <c r="AI5" i="72"/>
  <c r="AH5" i="72"/>
  <c r="AG5" i="72"/>
  <c r="AF5" i="72"/>
  <c r="AE5" i="72"/>
  <c r="AD5" i="72"/>
  <c r="AC5" i="72"/>
  <c r="AB5" i="72"/>
  <c r="AA5" i="72"/>
  <c r="Z5" i="72"/>
  <c r="Y5" i="72"/>
  <c r="X5" i="72"/>
  <c r="W5" i="72"/>
  <c r="V5" i="72"/>
  <c r="U5" i="72"/>
  <c r="T5" i="72"/>
  <c r="S5" i="72"/>
  <c r="AM4" i="72"/>
  <c r="AL4" i="72"/>
  <c r="AK4" i="72"/>
  <c r="AJ4" i="72"/>
  <c r="AI4" i="72"/>
  <c r="AH4" i="72"/>
  <c r="AG4" i="72"/>
  <c r="AF4" i="72"/>
  <c r="AE4" i="72"/>
  <c r="AD4" i="72"/>
  <c r="AC4" i="72"/>
  <c r="AB4" i="72"/>
  <c r="AA4" i="72"/>
  <c r="Z4" i="72"/>
  <c r="Y4" i="72"/>
  <c r="X4" i="72"/>
  <c r="W4" i="72"/>
  <c r="V4" i="72"/>
  <c r="U4" i="72"/>
  <c r="T4" i="72"/>
  <c r="S4" i="72"/>
  <c r="AM3" i="72"/>
  <c r="AL3" i="72"/>
  <c r="AK3" i="72"/>
  <c r="AJ3" i="72"/>
  <c r="AI3" i="72"/>
  <c r="AH3" i="72"/>
  <c r="AG3" i="72"/>
  <c r="AF3" i="72"/>
  <c r="AE3" i="72"/>
  <c r="AD3" i="72"/>
  <c r="AC3" i="72"/>
  <c r="AB3" i="72"/>
  <c r="AA3" i="72"/>
  <c r="Z3" i="72"/>
  <c r="Y3" i="72"/>
  <c r="X3" i="72"/>
  <c r="W3" i="72"/>
  <c r="V3" i="72"/>
  <c r="U3" i="72"/>
  <c r="T3" i="72"/>
  <c r="S3" i="72"/>
  <c r="AM2" i="72"/>
  <c r="AL2" i="72"/>
  <c r="AK2" i="72"/>
  <c r="AJ2" i="72"/>
  <c r="AI2" i="72"/>
  <c r="AH2" i="72"/>
  <c r="AG2" i="72"/>
  <c r="AF2" i="72"/>
  <c r="AE2" i="72"/>
  <c r="AD2" i="72"/>
  <c r="AC2" i="72"/>
  <c r="AB2" i="72"/>
  <c r="AA2" i="72"/>
  <c r="Z2" i="72"/>
  <c r="Y2" i="72"/>
  <c r="X2" i="72"/>
  <c r="W2" i="72"/>
  <c r="V2" i="72"/>
  <c r="U2" i="72"/>
  <c r="T2" i="72"/>
  <c r="S2" i="72"/>
  <c r="D537" i="72"/>
  <c r="B537" i="72"/>
  <c r="D536" i="72"/>
  <c r="B536" i="72"/>
  <c r="D535" i="72"/>
  <c r="B535" i="72"/>
  <c r="D534" i="72"/>
  <c r="B534" i="72"/>
  <c r="D533" i="72"/>
  <c r="B533" i="72"/>
  <c r="D532" i="72"/>
  <c r="B532" i="72"/>
  <c r="D531" i="72"/>
  <c r="B531" i="72"/>
  <c r="D530" i="72"/>
  <c r="B530" i="72"/>
  <c r="D529" i="72"/>
  <c r="B529" i="72"/>
  <c r="D528" i="72"/>
  <c r="B528" i="72"/>
  <c r="D527" i="72"/>
  <c r="B527" i="72"/>
  <c r="D526" i="72"/>
  <c r="B526" i="72"/>
  <c r="D525" i="72"/>
  <c r="B525" i="72"/>
  <c r="D524" i="72"/>
  <c r="B524" i="72"/>
  <c r="D523" i="72"/>
  <c r="B523" i="72"/>
  <c r="D522" i="72"/>
  <c r="B522" i="72"/>
  <c r="D521" i="72"/>
  <c r="B521" i="72"/>
  <c r="D520" i="72"/>
  <c r="B520" i="72"/>
  <c r="D519" i="72"/>
  <c r="B519" i="72"/>
  <c r="D518" i="72"/>
  <c r="B518" i="72"/>
  <c r="D517" i="72"/>
  <c r="B517" i="72"/>
  <c r="D516" i="72"/>
  <c r="B516" i="72"/>
  <c r="D515" i="72"/>
  <c r="B515" i="72"/>
  <c r="D514" i="72"/>
  <c r="B514" i="72"/>
  <c r="D513" i="72"/>
  <c r="B513" i="72"/>
  <c r="D512" i="72"/>
  <c r="B512" i="72"/>
  <c r="D511" i="72"/>
  <c r="B511" i="72"/>
  <c r="D510" i="72"/>
  <c r="B510" i="72"/>
  <c r="D509" i="72"/>
  <c r="B509" i="72"/>
  <c r="D508" i="72"/>
  <c r="B508" i="72"/>
  <c r="D507" i="72"/>
  <c r="B507" i="72"/>
  <c r="D506" i="72"/>
  <c r="B506" i="72"/>
  <c r="D505" i="72"/>
  <c r="B505" i="72"/>
  <c r="D504" i="72"/>
  <c r="B504" i="72"/>
  <c r="D503" i="72"/>
  <c r="B503" i="72"/>
  <c r="D502" i="72"/>
  <c r="B502" i="72"/>
  <c r="D501" i="72"/>
  <c r="B501" i="72"/>
  <c r="D500" i="72"/>
  <c r="B500" i="72"/>
  <c r="D499" i="72"/>
  <c r="B499" i="72"/>
  <c r="D498" i="72"/>
  <c r="B498" i="72"/>
  <c r="D497" i="72"/>
  <c r="B497" i="72"/>
  <c r="D496" i="72"/>
  <c r="B496" i="72"/>
  <c r="D495" i="72"/>
  <c r="B495" i="72"/>
  <c r="D494" i="72"/>
  <c r="B494" i="72"/>
  <c r="D493" i="72"/>
  <c r="B493" i="72"/>
  <c r="D492" i="72"/>
  <c r="B492" i="72"/>
  <c r="D491" i="72"/>
  <c r="B491" i="72"/>
  <c r="D490" i="72"/>
  <c r="B490" i="72"/>
  <c r="D489" i="72"/>
  <c r="B489" i="72"/>
  <c r="D488" i="72"/>
  <c r="B488" i="72"/>
  <c r="D487" i="72"/>
  <c r="B487" i="72"/>
  <c r="D486" i="72"/>
  <c r="B486" i="72"/>
  <c r="D485" i="72"/>
  <c r="B485" i="72"/>
  <c r="D484" i="72"/>
  <c r="B484" i="72"/>
  <c r="D483" i="72"/>
  <c r="B483" i="72"/>
  <c r="D482" i="72"/>
  <c r="B482" i="72"/>
  <c r="D481" i="72"/>
  <c r="B481" i="72"/>
  <c r="D480" i="72"/>
  <c r="B480" i="72"/>
  <c r="D479" i="72"/>
  <c r="B479" i="72"/>
  <c r="D478" i="72"/>
  <c r="B478" i="72"/>
  <c r="D477" i="72"/>
  <c r="B477" i="72"/>
  <c r="D476" i="72"/>
  <c r="B476" i="72"/>
  <c r="D475" i="72"/>
  <c r="B475" i="72"/>
  <c r="D474" i="72"/>
  <c r="B474" i="72"/>
  <c r="D473" i="72"/>
  <c r="B473" i="72"/>
  <c r="D472" i="72"/>
  <c r="B472" i="72"/>
  <c r="D471" i="72"/>
  <c r="B471" i="72"/>
  <c r="D470" i="72"/>
  <c r="B470" i="72"/>
  <c r="D469" i="72"/>
  <c r="B469" i="72"/>
  <c r="D468" i="72"/>
  <c r="B468" i="72"/>
  <c r="D467" i="72"/>
  <c r="B467" i="72"/>
  <c r="D466" i="72"/>
  <c r="B466" i="72"/>
  <c r="D465" i="72"/>
  <c r="B465" i="72"/>
  <c r="D464" i="72"/>
  <c r="B464" i="72"/>
  <c r="D463" i="72"/>
  <c r="B463" i="72"/>
  <c r="D462" i="72"/>
  <c r="B462" i="72"/>
  <c r="D461" i="72"/>
  <c r="B461" i="72"/>
  <c r="D460" i="72"/>
  <c r="B460" i="72"/>
  <c r="D459" i="72"/>
  <c r="B459" i="72"/>
  <c r="D458" i="72"/>
  <c r="B458" i="72"/>
  <c r="D457" i="72"/>
  <c r="B457" i="72"/>
  <c r="D456" i="72"/>
  <c r="B456" i="72"/>
  <c r="D455" i="72"/>
  <c r="B455" i="72"/>
  <c r="D454" i="72"/>
  <c r="B454" i="72"/>
  <c r="D453" i="72"/>
  <c r="B453" i="72"/>
  <c r="D452" i="72"/>
  <c r="B452" i="72"/>
  <c r="D451" i="72"/>
  <c r="B451" i="72"/>
  <c r="D450" i="72"/>
  <c r="B450" i="72"/>
  <c r="D449" i="72"/>
  <c r="B449" i="72"/>
  <c r="D448" i="72"/>
  <c r="B448" i="72"/>
  <c r="D447" i="72"/>
  <c r="B447" i="72"/>
  <c r="D446" i="72"/>
  <c r="B446" i="72"/>
  <c r="D445" i="72"/>
  <c r="B445" i="72"/>
  <c r="D444" i="72"/>
  <c r="B444" i="72"/>
  <c r="D443" i="72"/>
  <c r="B443" i="72"/>
  <c r="D442" i="72"/>
  <c r="B442" i="72"/>
  <c r="D441" i="72"/>
  <c r="B441" i="72"/>
  <c r="D440" i="72"/>
  <c r="B440" i="72"/>
  <c r="D439" i="72"/>
  <c r="B439" i="72"/>
  <c r="D438" i="72"/>
  <c r="B438" i="72"/>
  <c r="D437" i="72"/>
  <c r="B437" i="72"/>
  <c r="D436" i="72"/>
  <c r="B436" i="72"/>
  <c r="D435" i="72"/>
  <c r="B435" i="72"/>
  <c r="D434" i="72"/>
  <c r="B434" i="72"/>
  <c r="D433" i="72"/>
  <c r="B433" i="72"/>
  <c r="D432" i="72"/>
  <c r="B432" i="72"/>
  <c r="D431" i="72"/>
  <c r="B431" i="72"/>
  <c r="D430" i="72"/>
  <c r="B430" i="72"/>
  <c r="D429" i="72"/>
  <c r="B429" i="72"/>
  <c r="D428" i="72"/>
  <c r="B428" i="72"/>
  <c r="D427" i="72"/>
  <c r="B427" i="72"/>
  <c r="D426" i="72"/>
  <c r="B426" i="72"/>
  <c r="D425" i="72"/>
  <c r="B425" i="72"/>
  <c r="D424" i="72"/>
  <c r="B424" i="72"/>
  <c r="D423" i="72"/>
  <c r="B423" i="72"/>
  <c r="D422" i="72"/>
  <c r="B422" i="72"/>
  <c r="D421" i="72"/>
  <c r="B421" i="72"/>
  <c r="D420" i="72"/>
  <c r="B420" i="72"/>
  <c r="D419" i="72"/>
  <c r="B419" i="72"/>
  <c r="D418" i="72"/>
  <c r="B418" i="72"/>
  <c r="D417" i="72"/>
  <c r="B417" i="72"/>
  <c r="D416" i="72"/>
  <c r="B416" i="72"/>
  <c r="D415" i="72"/>
  <c r="B415" i="72"/>
  <c r="D414" i="72"/>
  <c r="B414" i="72"/>
  <c r="D413" i="72"/>
  <c r="B413" i="72"/>
  <c r="D412" i="72"/>
  <c r="B412" i="72"/>
  <c r="D411" i="72"/>
  <c r="B411" i="72"/>
  <c r="D410" i="72"/>
  <c r="B410" i="72"/>
  <c r="D409" i="72"/>
  <c r="B409" i="72"/>
  <c r="D408" i="72"/>
  <c r="B408" i="72"/>
  <c r="D407" i="72"/>
  <c r="B407" i="72"/>
  <c r="D406" i="72"/>
  <c r="B406" i="72"/>
  <c r="D405" i="72"/>
  <c r="B405" i="72"/>
  <c r="D404" i="72"/>
  <c r="B404" i="72"/>
  <c r="D403" i="72"/>
  <c r="B403" i="72"/>
  <c r="D402" i="72"/>
  <c r="B402" i="72"/>
  <c r="D401" i="72"/>
  <c r="B401" i="72"/>
  <c r="D400" i="72"/>
  <c r="B400" i="72"/>
  <c r="D399" i="72"/>
  <c r="B399" i="72"/>
  <c r="D398" i="72"/>
  <c r="B398" i="72"/>
  <c r="D397" i="72"/>
  <c r="B397" i="72"/>
  <c r="D396" i="72"/>
  <c r="B396" i="72"/>
  <c r="D395" i="72"/>
  <c r="B395" i="72"/>
  <c r="D394" i="72"/>
  <c r="B394" i="72"/>
  <c r="D393" i="72"/>
  <c r="B393" i="72"/>
  <c r="D392" i="72"/>
  <c r="B392" i="72"/>
  <c r="D391" i="72"/>
  <c r="B391" i="72"/>
  <c r="D390" i="72"/>
  <c r="B390" i="72"/>
  <c r="D389" i="72"/>
  <c r="B389" i="72"/>
  <c r="D388" i="72"/>
  <c r="B388" i="72"/>
  <c r="D387" i="72"/>
  <c r="B387" i="72"/>
  <c r="D386" i="72"/>
  <c r="B386" i="72"/>
  <c r="D385" i="72"/>
  <c r="B385" i="72"/>
  <c r="D384" i="72"/>
  <c r="B384" i="72"/>
  <c r="D383" i="72"/>
  <c r="B383" i="72"/>
  <c r="D382" i="72"/>
  <c r="B382" i="72"/>
  <c r="D381" i="72"/>
  <c r="B381" i="72"/>
  <c r="D380" i="72"/>
  <c r="B380" i="72"/>
  <c r="D379" i="72"/>
  <c r="B379" i="72"/>
  <c r="D378" i="72"/>
  <c r="B378" i="72"/>
  <c r="D377" i="72"/>
  <c r="B377" i="72"/>
  <c r="D376" i="72"/>
  <c r="B376" i="72"/>
  <c r="D375" i="72"/>
  <c r="B375" i="72"/>
  <c r="D374" i="72"/>
  <c r="B374" i="72"/>
  <c r="D373" i="72"/>
  <c r="B373" i="72"/>
  <c r="D372" i="72"/>
  <c r="B372" i="72"/>
  <c r="D371" i="72"/>
  <c r="B371" i="72"/>
  <c r="D370" i="72"/>
  <c r="B370" i="72"/>
  <c r="D369" i="72"/>
  <c r="B369" i="72"/>
  <c r="D368" i="72"/>
  <c r="B368" i="72"/>
  <c r="D367" i="72"/>
  <c r="B367" i="72"/>
  <c r="D366" i="72"/>
  <c r="B366" i="72"/>
  <c r="D365" i="72"/>
  <c r="B365" i="72"/>
  <c r="D364" i="72"/>
  <c r="B364" i="72"/>
  <c r="D363" i="72"/>
  <c r="B363" i="72"/>
  <c r="D362" i="72"/>
  <c r="B362" i="72"/>
  <c r="D361" i="72"/>
  <c r="B361" i="72"/>
  <c r="D360" i="72"/>
  <c r="B360" i="72"/>
  <c r="D359" i="72"/>
  <c r="B359" i="72"/>
  <c r="D358" i="72"/>
  <c r="B358" i="72"/>
  <c r="D357" i="72"/>
  <c r="B357" i="72"/>
  <c r="D356" i="72"/>
  <c r="B356" i="72"/>
  <c r="D355" i="72"/>
  <c r="B355" i="72"/>
  <c r="D354" i="72"/>
  <c r="B354" i="72"/>
  <c r="D353" i="72"/>
  <c r="B353" i="72"/>
  <c r="D352" i="72"/>
  <c r="B352" i="72"/>
  <c r="D351" i="72"/>
  <c r="B351" i="72"/>
  <c r="D350" i="72"/>
  <c r="B350" i="72"/>
  <c r="D349" i="72"/>
  <c r="B349" i="72"/>
  <c r="D348" i="72"/>
  <c r="B348" i="72"/>
  <c r="D347" i="72"/>
  <c r="B347" i="72"/>
  <c r="D346" i="72"/>
  <c r="B346" i="72"/>
  <c r="D345" i="72"/>
  <c r="B345" i="72"/>
  <c r="D344" i="72"/>
  <c r="B344" i="72"/>
  <c r="D343" i="72"/>
  <c r="B343" i="72"/>
  <c r="D342" i="72"/>
  <c r="B342" i="72"/>
  <c r="D341" i="72"/>
  <c r="B341" i="72"/>
  <c r="D340" i="72"/>
  <c r="B340" i="72"/>
  <c r="D339" i="72"/>
  <c r="B339" i="72"/>
  <c r="D338" i="72"/>
  <c r="B338" i="72"/>
  <c r="D337" i="72"/>
  <c r="B337" i="72"/>
  <c r="D336" i="72"/>
  <c r="B336" i="72"/>
  <c r="D335" i="72"/>
  <c r="B335" i="72"/>
  <c r="D334" i="72"/>
  <c r="B334" i="72"/>
  <c r="D333" i="72"/>
  <c r="B333" i="72"/>
  <c r="D332" i="72"/>
  <c r="B332" i="72"/>
  <c r="D331" i="72"/>
  <c r="B331" i="72"/>
  <c r="D330" i="72"/>
  <c r="B330" i="72"/>
  <c r="D329" i="72"/>
  <c r="B329" i="72"/>
  <c r="D328" i="72"/>
  <c r="B328" i="72"/>
  <c r="D327" i="72"/>
  <c r="B327" i="72"/>
  <c r="D326" i="72"/>
  <c r="B326" i="72"/>
  <c r="D325" i="72"/>
  <c r="B325" i="72"/>
  <c r="D324" i="72"/>
  <c r="B324" i="72"/>
  <c r="D323" i="72"/>
  <c r="B323" i="72"/>
  <c r="D322" i="72"/>
  <c r="B322" i="72"/>
  <c r="D321" i="72"/>
  <c r="B321" i="72"/>
  <c r="D320" i="72"/>
  <c r="B320" i="72"/>
  <c r="D319" i="72"/>
  <c r="B319" i="72"/>
  <c r="D318" i="72"/>
  <c r="B318" i="72"/>
  <c r="D317" i="72"/>
  <c r="B317" i="72"/>
  <c r="D316" i="72"/>
  <c r="B316" i="72"/>
  <c r="D315" i="72"/>
  <c r="B315" i="72"/>
  <c r="D314" i="72"/>
  <c r="B314" i="72"/>
  <c r="D313" i="72"/>
  <c r="B313" i="72"/>
  <c r="D312" i="72"/>
  <c r="B312" i="72"/>
  <c r="D311" i="72"/>
  <c r="B311" i="72"/>
  <c r="D310" i="72"/>
  <c r="B310" i="72"/>
  <c r="D309" i="72"/>
  <c r="B309" i="72"/>
  <c r="D308" i="72"/>
  <c r="B308" i="72"/>
  <c r="D307" i="72"/>
  <c r="B307" i="72"/>
  <c r="D306" i="72"/>
  <c r="B306" i="72"/>
  <c r="D305" i="72"/>
  <c r="B305" i="72"/>
  <c r="D304" i="72"/>
  <c r="B304" i="72"/>
  <c r="D303" i="72"/>
  <c r="B303" i="72"/>
  <c r="D302" i="72"/>
  <c r="B302" i="72"/>
  <c r="D301" i="72"/>
  <c r="B301" i="72"/>
  <c r="D300" i="72"/>
  <c r="B300" i="72"/>
  <c r="D299" i="72"/>
  <c r="B299" i="72"/>
  <c r="D298" i="72"/>
  <c r="B298" i="72"/>
  <c r="D297" i="72"/>
  <c r="B297" i="72"/>
  <c r="D296" i="72"/>
  <c r="B296" i="72"/>
  <c r="D295" i="72"/>
  <c r="B295" i="72"/>
  <c r="D294" i="72"/>
  <c r="B294" i="72"/>
  <c r="D293" i="72"/>
  <c r="B293" i="72"/>
  <c r="D292" i="72"/>
  <c r="B292" i="72"/>
  <c r="D291" i="72"/>
  <c r="B291" i="72"/>
  <c r="D290" i="72"/>
  <c r="B290" i="72"/>
  <c r="D289" i="72"/>
  <c r="B289" i="72"/>
  <c r="D288" i="72"/>
  <c r="B288" i="72"/>
  <c r="D287" i="72"/>
  <c r="B287" i="72"/>
  <c r="D286" i="72"/>
  <c r="B286" i="72"/>
  <c r="D285" i="72"/>
  <c r="B285" i="72"/>
  <c r="D284" i="72"/>
  <c r="B284" i="72"/>
  <c r="D283" i="72"/>
  <c r="B283" i="72"/>
  <c r="D282" i="72"/>
  <c r="B282" i="72"/>
  <c r="D281" i="72"/>
  <c r="B281" i="72"/>
  <c r="D280" i="72"/>
  <c r="B280" i="72"/>
  <c r="D279" i="72"/>
  <c r="B279" i="72"/>
  <c r="D278" i="72"/>
  <c r="B278" i="72"/>
  <c r="D277" i="72"/>
  <c r="B277" i="72"/>
  <c r="D276" i="72"/>
  <c r="B276" i="72"/>
  <c r="D275" i="72"/>
  <c r="B275" i="72"/>
  <c r="D274" i="72"/>
  <c r="B274" i="72"/>
  <c r="D273" i="72"/>
  <c r="B273" i="72"/>
  <c r="D272" i="72"/>
  <c r="B272" i="72"/>
  <c r="D271" i="72"/>
  <c r="B271" i="72"/>
  <c r="D270" i="72"/>
  <c r="B270" i="72"/>
  <c r="D269" i="72"/>
  <c r="B269" i="72"/>
  <c r="D268" i="72"/>
  <c r="B268" i="72"/>
  <c r="D267" i="72"/>
  <c r="B267" i="72"/>
  <c r="D266" i="72"/>
  <c r="B266" i="72"/>
  <c r="D265" i="72"/>
  <c r="B265" i="72"/>
  <c r="D264" i="72"/>
  <c r="B264" i="72"/>
  <c r="D263" i="72"/>
  <c r="B263" i="72"/>
  <c r="D262" i="72"/>
  <c r="B262" i="72"/>
  <c r="D261" i="72"/>
  <c r="B261" i="72"/>
  <c r="D260" i="72"/>
  <c r="B260" i="72"/>
  <c r="D259" i="72"/>
  <c r="B259" i="72"/>
  <c r="D258" i="72"/>
  <c r="B258" i="72"/>
  <c r="D257" i="72"/>
  <c r="B257" i="72"/>
  <c r="D256" i="72"/>
  <c r="B256" i="72"/>
  <c r="D255" i="72"/>
  <c r="B255" i="72"/>
  <c r="D254" i="72"/>
  <c r="B254" i="72"/>
  <c r="D253" i="72"/>
  <c r="B253" i="72"/>
  <c r="D252" i="72"/>
  <c r="B252" i="72"/>
  <c r="D251" i="72"/>
  <c r="B251" i="72"/>
  <c r="D250" i="72"/>
  <c r="B250" i="72"/>
  <c r="D249" i="72"/>
  <c r="B249" i="72"/>
  <c r="D248" i="72"/>
  <c r="B248" i="72"/>
  <c r="D247" i="72"/>
  <c r="B247" i="72"/>
  <c r="D246" i="72"/>
  <c r="B246" i="72"/>
  <c r="D245" i="72"/>
  <c r="B245" i="72"/>
  <c r="D244" i="72"/>
  <c r="B244" i="72"/>
  <c r="D243" i="72"/>
  <c r="B243" i="72"/>
  <c r="D242" i="72"/>
  <c r="B242" i="72"/>
  <c r="D241" i="72"/>
  <c r="B241" i="72"/>
  <c r="D240" i="72"/>
  <c r="B240" i="72"/>
  <c r="D239" i="72"/>
  <c r="B239" i="72"/>
  <c r="D238" i="72"/>
  <c r="B238" i="72"/>
  <c r="D237" i="72"/>
  <c r="B237" i="72"/>
  <c r="D236" i="72"/>
  <c r="B236" i="72"/>
  <c r="D235" i="72"/>
  <c r="B235" i="72"/>
  <c r="D234" i="72"/>
  <c r="B234" i="72"/>
  <c r="D233" i="72"/>
  <c r="B233" i="72"/>
  <c r="D232" i="72"/>
  <c r="B232" i="72"/>
  <c r="D231" i="72"/>
  <c r="B231" i="72"/>
  <c r="D230" i="72"/>
  <c r="B230" i="72"/>
  <c r="D229" i="72"/>
  <c r="B229" i="72"/>
  <c r="D228" i="72"/>
  <c r="B228" i="72"/>
  <c r="D227" i="72"/>
  <c r="B227" i="72"/>
  <c r="D226" i="72"/>
  <c r="B226" i="72"/>
  <c r="D225" i="72"/>
  <c r="B225" i="72"/>
  <c r="D224" i="72"/>
  <c r="B224" i="72"/>
  <c r="D223" i="72"/>
  <c r="B223" i="72"/>
  <c r="D222" i="72"/>
  <c r="B222" i="72"/>
  <c r="D221" i="72"/>
  <c r="B221" i="72"/>
  <c r="D220" i="72"/>
  <c r="B220" i="72"/>
  <c r="D219" i="72"/>
  <c r="B219" i="72"/>
  <c r="D218" i="72"/>
  <c r="B218" i="72"/>
  <c r="D217" i="72"/>
  <c r="B217" i="72"/>
  <c r="D216" i="72"/>
  <c r="B216" i="72"/>
  <c r="D215" i="72"/>
  <c r="B215" i="72"/>
  <c r="D214" i="72"/>
  <c r="B214" i="72"/>
  <c r="D213" i="72"/>
  <c r="B213" i="72"/>
  <c r="D212" i="72"/>
  <c r="B212" i="72"/>
  <c r="D211" i="72"/>
  <c r="B211" i="72"/>
  <c r="D210" i="72"/>
  <c r="B210" i="72"/>
  <c r="D209" i="72"/>
  <c r="B209" i="72"/>
  <c r="D208" i="72"/>
  <c r="B208" i="72"/>
  <c r="D207" i="72"/>
  <c r="B207" i="72"/>
  <c r="D206" i="72"/>
  <c r="B206" i="72"/>
  <c r="D205" i="72"/>
  <c r="B205" i="72"/>
  <c r="D204" i="72"/>
  <c r="B204" i="72"/>
  <c r="D203" i="72"/>
  <c r="B203" i="72"/>
  <c r="D202" i="72"/>
  <c r="B202" i="72"/>
  <c r="D201" i="72"/>
  <c r="B201" i="72"/>
  <c r="D200" i="72"/>
  <c r="B200" i="72"/>
  <c r="D199" i="72"/>
  <c r="B199" i="72"/>
  <c r="D198" i="72"/>
  <c r="B198" i="72"/>
  <c r="D197" i="72"/>
  <c r="B197" i="72"/>
  <c r="D196" i="72"/>
  <c r="B196" i="72"/>
  <c r="D195" i="72"/>
  <c r="B195" i="72"/>
  <c r="D194" i="72"/>
  <c r="B194" i="72"/>
  <c r="D193" i="72"/>
  <c r="B193" i="72"/>
  <c r="D192" i="72"/>
  <c r="B192" i="72"/>
  <c r="D191" i="72"/>
  <c r="B191" i="72"/>
  <c r="D190" i="72"/>
  <c r="B190" i="72"/>
  <c r="D189" i="72"/>
  <c r="B189" i="72"/>
  <c r="D188" i="72"/>
  <c r="B188" i="72"/>
  <c r="D187" i="72"/>
  <c r="B187" i="72"/>
  <c r="D186" i="72"/>
  <c r="B186" i="72"/>
  <c r="D185" i="72"/>
  <c r="B185" i="72"/>
  <c r="D184" i="72"/>
  <c r="B184" i="72"/>
  <c r="D183" i="72"/>
  <c r="B183" i="72"/>
  <c r="D182" i="72"/>
  <c r="B182" i="72"/>
  <c r="D181" i="72"/>
  <c r="B181" i="72"/>
  <c r="D180" i="72"/>
  <c r="B180" i="72"/>
  <c r="D179" i="72"/>
  <c r="B179" i="72"/>
  <c r="D178" i="72"/>
  <c r="B178" i="72"/>
  <c r="D177" i="72"/>
  <c r="B177" i="72"/>
  <c r="D176" i="72"/>
  <c r="B176" i="72"/>
  <c r="D175" i="72"/>
  <c r="B175" i="72"/>
  <c r="D174" i="72"/>
  <c r="B174" i="72"/>
  <c r="D173" i="72"/>
  <c r="B173" i="72"/>
  <c r="D172" i="72"/>
  <c r="B172" i="72"/>
  <c r="D171" i="72"/>
  <c r="B171" i="72"/>
  <c r="D170" i="72"/>
  <c r="B170" i="72"/>
  <c r="D169" i="72"/>
  <c r="B169" i="72"/>
  <c r="D168" i="72"/>
  <c r="B168" i="72"/>
  <c r="D167" i="72"/>
  <c r="B167" i="72"/>
  <c r="D166" i="72"/>
  <c r="B166" i="72"/>
  <c r="D165" i="72"/>
  <c r="B165" i="72"/>
  <c r="D164" i="72"/>
  <c r="B164" i="72"/>
  <c r="D163" i="72"/>
  <c r="B163" i="72"/>
  <c r="D162" i="72"/>
  <c r="B162" i="72"/>
  <c r="D161" i="72"/>
  <c r="B161" i="72"/>
  <c r="D160" i="72"/>
  <c r="B160" i="72"/>
  <c r="D159" i="72"/>
  <c r="B159" i="72"/>
  <c r="D158" i="72"/>
  <c r="B158" i="72"/>
  <c r="D157" i="72"/>
  <c r="B157" i="72"/>
  <c r="D156" i="72"/>
  <c r="B156" i="72"/>
  <c r="D155" i="72"/>
  <c r="B155" i="72"/>
  <c r="D154" i="72"/>
  <c r="B154" i="72"/>
  <c r="D153" i="72"/>
  <c r="B153" i="72"/>
  <c r="D152" i="72"/>
  <c r="B152" i="72"/>
  <c r="D151" i="72"/>
  <c r="B151" i="72"/>
  <c r="D150" i="72"/>
  <c r="B150" i="72"/>
  <c r="D149" i="72"/>
  <c r="B149" i="72"/>
  <c r="D148" i="72"/>
  <c r="B148" i="72"/>
  <c r="D147" i="72"/>
  <c r="B147" i="72"/>
  <c r="D146" i="72"/>
  <c r="B146" i="72"/>
  <c r="D145" i="72"/>
  <c r="B145" i="72"/>
  <c r="D144" i="72"/>
  <c r="B144" i="72"/>
  <c r="D143" i="72"/>
  <c r="B143" i="72"/>
  <c r="D142" i="72"/>
  <c r="B142" i="72"/>
  <c r="D141" i="72"/>
  <c r="B141" i="72"/>
  <c r="D140" i="72"/>
  <c r="B140" i="72"/>
  <c r="D139" i="72"/>
  <c r="B139" i="72"/>
  <c r="D138" i="72"/>
  <c r="B138" i="72"/>
  <c r="D137" i="72"/>
  <c r="B137" i="72"/>
  <c r="D136" i="72"/>
  <c r="B136" i="72"/>
  <c r="D135" i="72"/>
  <c r="B135" i="72"/>
  <c r="D134" i="72"/>
  <c r="B134" i="72"/>
  <c r="D133" i="72"/>
  <c r="B133" i="72"/>
  <c r="D132" i="72"/>
  <c r="B132" i="72"/>
  <c r="D131" i="72"/>
  <c r="B131" i="72"/>
  <c r="D130" i="72"/>
  <c r="B130" i="72"/>
  <c r="D129" i="72"/>
  <c r="B129" i="72"/>
  <c r="D128" i="72"/>
  <c r="B128" i="72"/>
  <c r="D127" i="72"/>
  <c r="B127" i="72"/>
  <c r="D126" i="72"/>
  <c r="B126" i="72"/>
  <c r="D125" i="72"/>
  <c r="B125" i="72"/>
  <c r="D124" i="72"/>
  <c r="B124" i="72"/>
  <c r="D123" i="72"/>
  <c r="B123" i="72"/>
  <c r="D122" i="72"/>
  <c r="B122" i="72"/>
  <c r="D121" i="72"/>
  <c r="B121" i="72"/>
  <c r="D120" i="72"/>
  <c r="B120" i="72"/>
  <c r="D119" i="72"/>
  <c r="B119" i="72"/>
  <c r="D118" i="72"/>
  <c r="B118" i="72"/>
  <c r="D117" i="72"/>
  <c r="B117" i="72"/>
  <c r="D116" i="72"/>
  <c r="B116" i="72"/>
  <c r="D115" i="72"/>
  <c r="B115" i="72"/>
  <c r="D114" i="72"/>
  <c r="B114" i="72"/>
  <c r="D113" i="72"/>
  <c r="B113" i="72"/>
  <c r="D112" i="72"/>
  <c r="B112" i="72"/>
  <c r="D111" i="72"/>
  <c r="B111" i="72"/>
  <c r="D110" i="72"/>
  <c r="B110" i="72"/>
  <c r="D109" i="72"/>
  <c r="B109" i="72"/>
  <c r="D108" i="72"/>
  <c r="B108" i="72"/>
  <c r="D107" i="72"/>
  <c r="B107" i="72"/>
  <c r="D106" i="72"/>
  <c r="B106" i="72"/>
  <c r="D105" i="72"/>
  <c r="B105" i="72"/>
  <c r="D104" i="72"/>
  <c r="B104" i="72"/>
  <c r="D103" i="72"/>
  <c r="B103" i="72"/>
  <c r="D102" i="72"/>
  <c r="B102" i="72"/>
  <c r="D101" i="72"/>
  <c r="B101" i="72"/>
  <c r="D100" i="72"/>
  <c r="B100" i="72"/>
  <c r="D99" i="72"/>
  <c r="B99" i="72"/>
  <c r="D98" i="72"/>
  <c r="B98" i="72"/>
  <c r="D97" i="72"/>
  <c r="B97" i="72"/>
  <c r="D96" i="72"/>
  <c r="B96" i="72"/>
  <c r="D95" i="72"/>
  <c r="B95" i="72"/>
  <c r="D94" i="72"/>
  <c r="B94" i="72"/>
  <c r="D93" i="72"/>
  <c r="B93" i="72"/>
  <c r="D92" i="72"/>
  <c r="B92" i="72"/>
  <c r="D91" i="72"/>
  <c r="B91" i="72"/>
  <c r="D90" i="72"/>
  <c r="B90" i="72"/>
  <c r="D89" i="72"/>
  <c r="B89" i="72"/>
  <c r="D88" i="72"/>
  <c r="B88" i="72"/>
  <c r="D87" i="72"/>
  <c r="B87" i="72"/>
  <c r="D86" i="72"/>
  <c r="B86" i="72"/>
  <c r="D85" i="72"/>
  <c r="B85" i="72"/>
  <c r="D84" i="72"/>
  <c r="B84" i="72"/>
  <c r="D83" i="72"/>
  <c r="B83" i="72"/>
  <c r="D82" i="72"/>
  <c r="B82" i="72"/>
  <c r="D81" i="72"/>
  <c r="B81" i="72"/>
  <c r="D80" i="72"/>
  <c r="B80" i="72"/>
  <c r="D79" i="72"/>
  <c r="B79" i="72"/>
  <c r="D78" i="72"/>
  <c r="B78" i="72"/>
  <c r="D77" i="72"/>
  <c r="B77" i="72"/>
  <c r="D76" i="72"/>
  <c r="B76" i="72"/>
  <c r="D75" i="72"/>
  <c r="B75" i="72"/>
  <c r="D74" i="72"/>
  <c r="B74" i="72"/>
  <c r="D73" i="72"/>
  <c r="B73" i="72"/>
  <c r="D72" i="72"/>
  <c r="B72" i="72"/>
  <c r="D71" i="72"/>
  <c r="B71" i="72"/>
  <c r="D70" i="72"/>
  <c r="B70" i="72"/>
  <c r="D69" i="72"/>
  <c r="B69" i="72"/>
  <c r="D68" i="72"/>
  <c r="B68" i="72"/>
  <c r="D67" i="72"/>
  <c r="B67" i="72"/>
  <c r="D66" i="72"/>
  <c r="B66" i="72"/>
  <c r="D65" i="72"/>
  <c r="B65" i="72"/>
  <c r="D64" i="72"/>
  <c r="B64" i="72"/>
  <c r="D63" i="72"/>
  <c r="B63" i="72"/>
  <c r="D62" i="72"/>
  <c r="B62" i="72"/>
  <c r="D61" i="72"/>
  <c r="B61" i="72"/>
  <c r="D60" i="72"/>
  <c r="B60" i="72"/>
  <c r="D59" i="72"/>
  <c r="B59" i="72"/>
  <c r="D58" i="72"/>
  <c r="B58" i="72"/>
  <c r="D57" i="72"/>
  <c r="B57" i="72"/>
  <c r="D56" i="72"/>
  <c r="B56" i="72"/>
  <c r="D55" i="72"/>
  <c r="B55" i="72"/>
  <c r="D54" i="72"/>
  <c r="B54" i="72"/>
  <c r="D53" i="72"/>
  <c r="B53" i="72"/>
  <c r="D52" i="72"/>
  <c r="B52" i="72"/>
  <c r="D51" i="72"/>
  <c r="B51" i="72"/>
  <c r="D50" i="72"/>
  <c r="B50" i="72"/>
  <c r="D49" i="72"/>
  <c r="B49" i="72"/>
  <c r="D48" i="72"/>
  <c r="B48" i="72"/>
  <c r="D47" i="72"/>
  <c r="B47" i="72"/>
  <c r="D46" i="72"/>
  <c r="B46" i="72"/>
  <c r="D45" i="72"/>
  <c r="B45" i="72"/>
  <c r="D44" i="72"/>
  <c r="B44" i="72"/>
  <c r="D43" i="72"/>
  <c r="B43" i="72"/>
  <c r="D42" i="72"/>
  <c r="B42" i="72"/>
  <c r="D41" i="72"/>
  <c r="B41" i="72"/>
  <c r="D40" i="72"/>
  <c r="B40" i="72"/>
  <c r="D39" i="72"/>
  <c r="B39" i="72"/>
  <c r="D38" i="72"/>
  <c r="B38" i="72"/>
  <c r="D37" i="72"/>
  <c r="B37" i="72"/>
  <c r="D36" i="72"/>
  <c r="B36" i="72"/>
  <c r="D35" i="72"/>
  <c r="B35" i="72"/>
  <c r="D34" i="72"/>
  <c r="B34" i="72"/>
  <c r="D33" i="72"/>
  <c r="B33" i="72"/>
  <c r="D32" i="72"/>
  <c r="B32" i="72"/>
  <c r="D31" i="72"/>
  <c r="B31" i="72"/>
  <c r="D30" i="72"/>
  <c r="B30" i="72"/>
  <c r="D29" i="72"/>
  <c r="B29" i="72"/>
  <c r="D28" i="72"/>
  <c r="B28" i="72"/>
  <c r="D27" i="72"/>
  <c r="B27" i="72"/>
  <c r="D26" i="72"/>
  <c r="B26" i="72"/>
  <c r="D25" i="72"/>
  <c r="B25" i="72"/>
  <c r="D24" i="72"/>
  <c r="B24" i="72"/>
  <c r="D23" i="72"/>
  <c r="B23" i="72"/>
  <c r="D22" i="72"/>
  <c r="B22" i="72"/>
  <c r="D21" i="72"/>
  <c r="B21" i="72"/>
  <c r="D20" i="72"/>
  <c r="B20" i="72"/>
  <c r="D19" i="72"/>
  <c r="B19" i="72"/>
  <c r="D18" i="72"/>
  <c r="B18" i="72"/>
  <c r="D17" i="72"/>
  <c r="B17" i="72"/>
  <c r="D16" i="72"/>
  <c r="B16" i="72"/>
  <c r="D15" i="72"/>
  <c r="B15" i="72"/>
  <c r="D14" i="72"/>
  <c r="B14" i="72"/>
  <c r="D13" i="72"/>
  <c r="B13" i="72"/>
  <c r="D12" i="72"/>
  <c r="B12" i="72"/>
  <c r="D11" i="72"/>
  <c r="B11" i="72"/>
  <c r="D10" i="72"/>
  <c r="B10" i="72"/>
  <c r="D9" i="72"/>
  <c r="B9" i="72"/>
  <c r="D8" i="72"/>
  <c r="B8" i="72"/>
  <c r="D7" i="72"/>
  <c r="B7" i="72"/>
  <c r="D6" i="72"/>
  <c r="B6" i="72"/>
  <c r="D5" i="72"/>
  <c r="B5" i="72"/>
  <c r="D4" i="72"/>
  <c r="B4" i="72"/>
  <c r="D3" i="72"/>
  <c r="B3" i="72"/>
  <c r="D2" i="72"/>
  <c r="B2" i="72"/>
  <c r="AT2" i="72" l="1"/>
  <c r="AT3" i="72"/>
  <c r="AQ538" i="72"/>
  <c r="AP502" i="72"/>
  <c r="AP538" i="72" s="1"/>
  <c r="AP514" i="72"/>
  <c r="AP526" i="72"/>
  <c r="AN2" i="72"/>
  <c r="AN6" i="72"/>
  <c r="AN10" i="72"/>
  <c r="AN14" i="72"/>
  <c r="AN18" i="72"/>
  <c r="AN22" i="72"/>
  <c r="AN26" i="72"/>
  <c r="AN30" i="72"/>
  <c r="AN34" i="72"/>
  <c r="AN38" i="72"/>
  <c r="AN42" i="72"/>
  <c r="AN46" i="72"/>
  <c r="AN50" i="72"/>
  <c r="AN54" i="72"/>
  <c r="AN58" i="72"/>
  <c r="AN62" i="72"/>
  <c r="X538" i="72"/>
  <c r="AN294" i="72"/>
  <c r="AN334" i="72"/>
  <c r="AN358" i="72"/>
  <c r="AN382" i="72"/>
  <c r="AN406" i="72"/>
  <c r="AN430" i="72"/>
  <c r="AN454" i="72"/>
  <c r="AN478" i="72"/>
  <c r="AN502" i="72"/>
  <c r="AN526" i="72"/>
  <c r="AN389" i="72"/>
  <c r="AN397" i="72"/>
  <c r="AN401" i="72"/>
  <c r="AN409" i="72"/>
  <c r="AN413" i="72"/>
  <c r="AN421" i="72"/>
  <c r="AN425" i="72"/>
  <c r="AN433" i="72"/>
  <c r="AN437" i="72"/>
  <c r="AN445" i="72"/>
  <c r="AN449" i="72"/>
  <c r="AN457" i="72"/>
  <c r="AN461" i="72"/>
  <c r="AN469" i="72"/>
  <c r="AN473" i="72"/>
  <c r="AN481" i="72"/>
  <c r="AN485" i="72"/>
  <c r="AN493" i="72"/>
  <c r="AN497" i="72"/>
  <c r="AN505" i="72"/>
  <c r="AN509" i="72"/>
  <c r="AN517" i="72"/>
  <c r="AN521" i="72"/>
  <c r="AN529" i="72"/>
  <c r="AN533" i="72"/>
  <c r="AN216" i="72"/>
  <c r="AN220" i="72"/>
  <c r="AN224" i="72"/>
  <c r="AN228" i="72"/>
  <c r="AN232" i="72"/>
  <c r="AN236" i="72"/>
  <c r="AN240" i="72"/>
  <c r="AN244" i="72"/>
  <c r="AN248" i="72"/>
  <c r="AN252" i="72"/>
  <c r="AN256" i="72"/>
  <c r="AN260" i="72"/>
  <c r="AN264" i="72"/>
  <c r="AN268" i="72"/>
  <c r="AN272" i="72"/>
  <c r="AN276" i="72"/>
  <c r="AN312" i="72"/>
  <c r="AN400" i="72"/>
  <c r="AN412" i="72"/>
  <c r="AN424" i="72"/>
  <c r="AN436" i="72"/>
  <c r="AN448" i="72"/>
  <c r="AN460" i="72"/>
  <c r="AN472" i="72"/>
  <c r="AN484" i="72"/>
  <c r="AN496" i="72"/>
  <c r="AN508" i="72"/>
  <c r="AN520" i="72"/>
  <c r="AN532" i="72"/>
  <c r="AC538" i="72"/>
  <c r="AR13" i="72"/>
  <c r="AR17" i="72"/>
  <c r="AR21" i="72"/>
  <c r="AR25" i="72"/>
  <c r="AN154" i="72"/>
  <c r="AN186" i="72"/>
  <c r="AR144" i="72"/>
  <c r="AR148" i="72"/>
  <c r="AR152" i="72"/>
  <c r="AR156" i="72"/>
  <c r="AR160" i="72"/>
  <c r="AR164" i="72"/>
  <c r="AR168" i="72"/>
  <c r="AR172" i="72"/>
  <c r="AR176" i="72"/>
  <c r="AR180" i="72"/>
  <c r="AR184" i="72"/>
  <c r="AR188" i="72"/>
  <c r="AR192" i="72"/>
  <c r="AR196" i="72"/>
  <c r="AR200" i="72"/>
  <c r="AR204" i="72"/>
  <c r="AR208" i="72"/>
  <c r="AR212" i="72"/>
  <c r="AR216" i="72"/>
  <c r="AR220" i="72"/>
  <c r="AR224" i="72"/>
  <c r="AR228" i="72"/>
  <c r="AR232" i="72"/>
  <c r="AR236" i="72"/>
  <c r="AR240" i="72"/>
  <c r="AR244" i="72"/>
  <c r="AR248" i="72"/>
  <c r="AR252" i="72"/>
  <c r="AR256" i="72"/>
  <c r="AR260" i="72"/>
  <c r="AR264" i="72"/>
  <c r="AR268" i="72"/>
  <c r="AR272" i="72"/>
  <c r="AR276" i="72"/>
  <c r="AR280" i="72"/>
  <c r="AR284" i="72"/>
  <c r="AR288" i="72"/>
  <c r="AR292" i="72"/>
  <c r="AR296" i="72"/>
  <c r="AR12" i="72"/>
  <c r="AR20" i="72"/>
  <c r="AR32" i="72"/>
  <c r="AR40" i="72"/>
  <c r="AR44" i="72"/>
  <c r="AR72" i="72"/>
  <c r="AR76" i="72"/>
  <c r="AR80" i="72"/>
  <c r="AR84" i="72"/>
  <c r="AR88" i="72"/>
  <c r="AN169" i="72"/>
  <c r="AN185" i="72"/>
  <c r="AN205" i="72"/>
  <c r="AN221" i="72"/>
  <c r="AN241" i="72"/>
  <c r="AN257" i="72"/>
  <c r="AN277" i="72"/>
  <c r="AN293" i="72"/>
  <c r="AR16" i="72"/>
  <c r="AR24" i="72"/>
  <c r="AR28" i="72"/>
  <c r="AR36" i="72"/>
  <c r="AR48" i="72"/>
  <c r="AR52" i="72"/>
  <c r="AR56" i="72"/>
  <c r="AR60" i="72"/>
  <c r="AR64" i="72"/>
  <c r="AR68" i="72"/>
  <c r="AN17" i="72"/>
  <c r="AN61" i="72"/>
  <c r="AN89" i="72"/>
  <c r="AN121" i="72"/>
  <c r="AN137" i="72"/>
  <c r="AR143" i="72"/>
  <c r="AR147" i="72"/>
  <c r="AR151" i="72"/>
  <c r="AR155" i="72"/>
  <c r="AR159" i="72"/>
  <c r="AR163" i="72"/>
  <c r="AR167" i="72"/>
  <c r="AR171" i="72"/>
  <c r="AR175" i="72"/>
  <c r="AR179" i="72"/>
  <c r="AR183" i="72"/>
  <c r="AR187" i="72"/>
  <c r="AR191" i="72"/>
  <c r="AR195" i="72"/>
  <c r="AR199" i="72"/>
  <c r="AR203" i="72"/>
  <c r="AR207" i="72"/>
  <c r="AR211" i="72"/>
  <c r="AR215" i="72"/>
  <c r="AR219" i="72"/>
  <c r="AR223" i="72"/>
  <c r="AR227" i="72"/>
  <c r="AR231" i="72"/>
  <c r="AR235" i="72"/>
  <c r="AR239" i="72"/>
  <c r="AR243" i="72"/>
  <c r="AR247" i="72"/>
  <c r="AR251" i="72"/>
  <c r="AR255" i="72"/>
  <c r="AR259" i="72"/>
  <c r="AR263" i="72"/>
  <c r="AR267" i="72"/>
  <c r="AR271" i="72"/>
  <c r="AR275" i="72"/>
  <c r="AR279" i="72"/>
  <c r="AR283" i="72"/>
  <c r="AR287" i="72"/>
  <c r="AR291" i="72"/>
  <c r="AR295" i="72"/>
  <c r="AR299" i="72"/>
  <c r="AR303" i="72"/>
  <c r="AR307" i="72"/>
  <c r="AR311" i="72"/>
  <c r="AR315" i="72"/>
  <c r="AR319" i="72"/>
  <c r="AR323" i="72"/>
  <c r="AR327" i="72"/>
  <c r="AR331" i="72"/>
  <c r="AR335" i="72"/>
  <c r="AR339" i="72"/>
  <c r="AR343" i="72"/>
  <c r="AR347" i="72"/>
  <c r="AR351" i="72"/>
  <c r="AR15" i="72"/>
  <c r="AR19" i="72"/>
  <c r="AR23" i="72"/>
  <c r="AR35" i="72"/>
  <c r="AR39" i="72"/>
  <c r="AR43" i="72"/>
  <c r="AR47" i="72"/>
  <c r="AR51" i="72"/>
  <c r="AR55" i="72"/>
  <c r="AR59" i="72"/>
  <c r="AR63" i="72"/>
  <c r="AR67" i="72"/>
  <c r="AR71" i="72"/>
  <c r="AR75" i="72"/>
  <c r="AR79" i="72"/>
  <c r="AR83" i="72"/>
  <c r="AR87" i="72"/>
  <c r="AR91" i="72"/>
  <c r="AR95" i="72"/>
  <c r="AR99" i="72"/>
  <c r="AR107" i="72"/>
  <c r="AR111" i="72"/>
  <c r="AR115" i="72"/>
  <c r="AR119" i="72"/>
  <c r="AR123" i="72"/>
  <c r="AR127" i="72"/>
  <c r="AR131" i="72"/>
  <c r="AR139" i="72"/>
  <c r="AN144" i="72"/>
  <c r="AN148" i="72"/>
  <c r="AN152" i="72"/>
  <c r="AN156" i="72"/>
  <c r="AN160" i="72"/>
  <c r="AN164" i="72"/>
  <c r="AN168" i="72"/>
  <c r="AN172" i="72"/>
  <c r="AN180" i="72"/>
  <c r="AN184" i="72"/>
  <c r="AN192" i="72"/>
  <c r="AN196" i="72"/>
  <c r="AN200" i="72"/>
  <c r="AN204" i="72"/>
  <c r="AN208" i="72"/>
  <c r="AN212" i="72"/>
  <c r="AR11" i="72"/>
  <c r="AR27" i="72"/>
  <c r="AR31" i="72"/>
  <c r="AR103" i="72"/>
  <c r="AR135" i="72"/>
  <c r="AN176" i="72"/>
  <c r="AN188" i="72"/>
  <c r="AN4" i="72"/>
  <c r="AN32" i="72"/>
  <c r="AN60" i="72"/>
  <c r="AN76" i="72"/>
  <c r="AN104" i="72"/>
  <c r="AN120" i="72"/>
  <c r="AN136" i="72"/>
  <c r="T538" i="72"/>
  <c r="AR150" i="72"/>
  <c r="AR154" i="72"/>
  <c r="AR158" i="72"/>
  <c r="AR162" i="72"/>
  <c r="AR166" i="72"/>
  <c r="AR170" i="72"/>
  <c r="AR174" i="72"/>
  <c r="AR178" i="72"/>
  <c r="AR182" i="72"/>
  <c r="AR186" i="72"/>
  <c r="AR190" i="72"/>
  <c r="AR194" i="72"/>
  <c r="AR198" i="72"/>
  <c r="AR202" i="72"/>
  <c r="AR206" i="72"/>
  <c r="AR210" i="72"/>
  <c r="AR214" i="72"/>
  <c r="AR218" i="72"/>
  <c r="AR222" i="72"/>
  <c r="AR226" i="72"/>
  <c r="AR230" i="72"/>
  <c r="AR234" i="72"/>
  <c r="AR238" i="72"/>
  <c r="AR242" i="72"/>
  <c r="AR246" i="72"/>
  <c r="AR250" i="72"/>
  <c r="AR254" i="72"/>
  <c r="AR258" i="72"/>
  <c r="AR262" i="72"/>
  <c r="AR266" i="72"/>
  <c r="AR270" i="72"/>
  <c r="AR274" i="72"/>
  <c r="AR278" i="72"/>
  <c r="AR282" i="72"/>
  <c r="AR286" i="72"/>
  <c r="AR290" i="72"/>
  <c r="AR294" i="72"/>
  <c r="AR298" i="72"/>
  <c r="AR302" i="72"/>
  <c r="AR146" i="72"/>
  <c r="AR14" i="72"/>
  <c r="AR18" i="72"/>
  <c r="AR22" i="72"/>
  <c r="AR26" i="72"/>
  <c r="AN3" i="72"/>
  <c r="AN19" i="72"/>
  <c r="AN27" i="72"/>
  <c r="AN35" i="72"/>
  <c r="AN39" i="72"/>
  <c r="AN43" i="72"/>
  <c r="AN51" i="72"/>
  <c r="AN55" i="72"/>
  <c r="AN59" i="72"/>
  <c r="AN63" i="72"/>
  <c r="AN67" i="72"/>
  <c r="AN71" i="72"/>
  <c r="AN75" i="72"/>
  <c r="AN79" i="72"/>
  <c r="AN83" i="72"/>
  <c r="AN87" i="72"/>
  <c r="AN91" i="72"/>
  <c r="AN95" i="72"/>
  <c r="AN99" i="72"/>
  <c r="AN103" i="72"/>
  <c r="AN107" i="72"/>
  <c r="AN111" i="72"/>
  <c r="AN115" i="72"/>
  <c r="AN119" i="72"/>
  <c r="AN123" i="72"/>
  <c r="AN127" i="72"/>
  <c r="AN131" i="72"/>
  <c r="AN135" i="72"/>
  <c r="AN139" i="72"/>
  <c r="AN143" i="72"/>
  <c r="AN7" i="72"/>
  <c r="AN11" i="72"/>
  <c r="AN15" i="72"/>
  <c r="AN23" i="72"/>
  <c r="AN31" i="72"/>
  <c r="AN47" i="72"/>
  <c r="AR145" i="72"/>
  <c r="AR149" i="72"/>
  <c r="AR153" i="72"/>
  <c r="AR157" i="72"/>
  <c r="AR161" i="72"/>
  <c r="AR165" i="72"/>
  <c r="AR169" i="72"/>
  <c r="AR173" i="72"/>
  <c r="AR177" i="72"/>
  <c r="AR181" i="72"/>
  <c r="AR185" i="72"/>
  <c r="AR189" i="72"/>
  <c r="AN335" i="72"/>
  <c r="AN359" i="72"/>
  <c r="AN383" i="72"/>
  <c r="AR355" i="72"/>
  <c r="AR359" i="72"/>
  <c r="AR363" i="72"/>
  <c r="AR367" i="72"/>
  <c r="AR371" i="72"/>
  <c r="AR375" i="72"/>
  <c r="AR379" i="72"/>
  <c r="AR383" i="72"/>
  <c r="AR387" i="72"/>
  <c r="AN280" i="72"/>
  <c r="AN284" i="72"/>
  <c r="AN288" i="72"/>
  <c r="AN292" i="72"/>
  <c r="AN296" i="72"/>
  <c r="AN300" i="72"/>
  <c r="AN304" i="72"/>
  <c r="AN308" i="72"/>
  <c r="AN316" i="72"/>
  <c r="AN320" i="72"/>
  <c r="AN324" i="72"/>
  <c r="AN328" i="72"/>
  <c r="AN340" i="72"/>
  <c r="AN352" i="72"/>
  <c r="AN364" i="72"/>
  <c r="AN376" i="72"/>
  <c r="AN388" i="72"/>
  <c r="S538" i="72"/>
  <c r="AN8" i="72"/>
  <c r="AN12" i="72"/>
  <c r="AN16" i="72"/>
  <c r="AN20" i="72"/>
  <c r="AN24" i="72"/>
  <c r="AN28" i="72"/>
  <c r="AN36" i="72"/>
  <c r="AN40" i="72"/>
  <c r="AN44" i="72"/>
  <c r="AN48" i="72"/>
  <c r="AN52" i="72"/>
  <c r="AN56" i="72"/>
  <c r="AN64" i="72"/>
  <c r="AN68" i="72"/>
  <c r="AN72" i="72"/>
  <c r="AN80" i="72"/>
  <c r="AN84" i="72"/>
  <c r="AN88" i="72"/>
  <c r="AN92" i="72"/>
  <c r="AN96" i="72"/>
  <c r="AN100" i="72"/>
  <c r="AN108" i="72"/>
  <c r="AN112" i="72"/>
  <c r="AN116" i="72"/>
  <c r="AN124" i="72"/>
  <c r="AN128" i="72"/>
  <c r="AN132" i="72"/>
  <c r="AN140" i="72"/>
  <c r="AR306" i="72"/>
  <c r="AR310" i="72"/>
  <c r="AR314" i="72"/>
  <c r="AR318" i="72"/>
  <c r="AR322" i="72"/>
  <c r="AR326" i="72"/>
  <c r="AR330" i="72"/>
  <c r="AR334" i="72"/>
  <c r="AR338" i="72"/>
  <c r="AR346" i="72"/>
  <c r="AR350" i="72"/>
  <c r="AR354" i="72"/>
  <c r="AR358" i="72"/>
  <c r="AR362" i="72"/>
  <c r="AR366" i="72"/>
  <c r="AR370" i="72"/>
  <c r="AR374" i="72"/>
  <c r="AR378" i="72"/>
  <c r="AR382" i="72"/>
  <c r="AR386" i="72"/>
  <c r="AR394" i="72"/>
  <c r="AR398" i="72"/>
  <c r="AR402" i="72"/>
  <c r="AR406" i="72"/>
  <c r="AR410" i="72"/>
  <c r="AR414" i="72"/>
  <c r="AR418" i="72"/>
  <c r="AR30" i="72"/>
  <c r="AR34" i="72"/>
  <c r="AR42" i="72"/>
  <c r="AR46" i="72"/>
  <c r="AR50" i="72"/>
  <c r="AR54" i="72"/>
  <c r="AR58" i="72"/>
  <c r="AR62" i="72"/>
  <c r="AR66" i="72"/>
  <c r="AR70" i="72"/>
  <c r="AR74" i="72"/>
  <c r="AR78" i="72"/>
  <c r="AR82" i="72"/>
  <c r="AR86" i="72"/>
  <c r="AR90" i="72"/>
  <c r="AR94" i="72"/>
  <c r="AR98" i="72"/>
  <c r="AR102" i="72"/>
  <c r="AR106" i="72"/>
  <c r="AR110" i="72"/>
  <c r="AR114" i="72"/>
  <c r="AR118" i="72"/>
  <c r="AR122" i="72"/>
  <c r="AR126" i="72"/>
  <c r="AR134" i="72"/>
  <c r="AR138" i="72"/>
  <c r="AR142" i="72"/>
  <c r="AN147" i="72"/>
  <c r="AN151" i="72"/>
  <c r="AN155" i="72"/>
  <c r="AN159" i="72"/>
  <c r="AN163" i="72"/>
  <c r="AN167" i="72"/>
  <c r="AN171" i="72"/>
  <c r="AN175" i="72"/>
  <c r="AN179" i="72"/>
  <c r="AN183" i="72"/>
  <c r="AN187" i="72"/>
  <c r="AN191" i="72"/>
  <c r="AN195" i="72"/>
  <c r="AN199" i="72"/>
  <c r="AN203" i="72"/>
  <c r="AN207" i="72"/>
  <c r="AN211" i="72"/>
  <c r="AN215" i="72"/>
  <c r="AN219" i="72"/>
  <c r="AN223" i="72"/>
  <c r="AN227" i="72"/>
  <c r="AN231" i="72"/>
  <c r="AN235" i="72"/>
  <c r="AN239" i="72"/>
  <c r="AN243" i="72"/>
  <c r="AN247" i="72"/>
  <c r="AN251" i="72"/>
  <c r="AN255" i="72"/>
  <c r="AN259" i="72"/>
  <c r="AN263" i="72"/>
  <c r="AN267" i="72"/>
  <c r="AN271" i="72"/>
  <c r="AN275" i="72"/>
  <c r="AN279" i="72"/>
  <c r="AN283" i="72"/>
  <c r="AN287" i="72"/>
  <c r="AN291" i="72"/>
  <c r="AN295" i="72"/>
  <c r="AN299" i="72"/>
  <c r="AN311" i="72"/>
  <c r="AN323" i="72"/>
  <c r="AN347" i="72"/>
  <c r="AN371" i="72"/>
  <c r="AN395" i="72"/>
  <c r="AN419" i="72"/>
  <c r="AN443" i="72"/>
  <c r="AN467" i="72"/>
  <c r="AN491" i="72"/>
  <c r="AN515" i="72"/>
  <c r="AR193" i="72"/>
  <c r="AR197" i="72"/>
  <c r="AR201" i="72"/>
  <c r="AR205" i="72"/>
  <c r="AR209" i="72"/>
  <c r="AR213" i="72"/>
  <c r="AR217" i="72"/>
  <c r="AR221" i="72"/>
  <c r="AR225" i="72"/>
  <c r="AR229" i="72"/>
  <c r="AR233" i="72"/>
  <c r="AR237" i="72"/>
  <c r="AR241" i="72"/>
  <c r="AR245" i="72"/>
  <c r="AR249" i="72"/>
  <c r="AR253" i="72"/>
  <c r="AR257" i="72"/>
  <c r="AR261" i="72"/>
  <c r="AR265" i="72"/>
  <c r="AR269" i="72"/>
  <c r="AR273" i="72"/>
  <c r="AR277" i="72"/>
  <c r="AR281" i="72"/>
  <c r="AR289" i="72"/>
  <c r="AR293" i="72"/>
  <c r="AR297" i="72"/>
  <c r="AR301" i="72"/>
  <c r="AR305" i="72"/>
  <c r="AR309" i="72"/>
  <c r="AR313" i="72"/>
  <c r="AR317" i="72"/>
  <c r="AR321" i="72"/>
  <c r="AR325" i="72"/>
  <c r="AR329" i="72"/>
  <c r="AR333" i="72"/>
  <c r="AR337" i="72"/>
  <c r="AR341" i="72"/>
  <c r="AR345" i="72"/>
  <c r="AR349" i="72"/>
  <c r="AR353" i="72"/>
  <c r="AR357" i="72"/>
  <c r="AR361" i="72"/>
  <c r="AR365" i="72"/>
  <c r="AR369" i="72"/>
  <c r="AR373" i="72"/>
  <c r="AR377" i="72"/>
  <c r="AR381" i="72"/>
  <c r="AR385" i="72"/>
  <c r="AR389" i="72"/>
  <c r="Y538" i="72"/>
  <c r="AN538" i="72" s="1"/>
  <c r="AA538" i="72"/>
  <c r="AR29" i="72"/>
  <c r="AR33" i="72"/>
  <c r="AR37" i="72"/>
  <c r="AR41" i="72"/>
  <c r="AR45" i="72"/>
  <c r="AR49" i="72"/>
  <c r="AR53" i="72"/>
  <c r="AR57" i="72"/>
  <c r="AR61" i="72"/>
  <c r="AR65" i="72"/>
  <c r="AR69" i="72"/>
  <c r="AR73" i="72"/>
  <c r="AR77" i="72"/>
  <c r="AR81" i="72"/>
  <c r="AR85" i="72"/>
  <c r="AR89" i="72"/>
  <c r="AR93" i="72"/>
  <c r="AR97" i="72"/>
  <c r="AR101" i="72"/>
  <c r="AR105" i="72"/>
  <c r="AR109" i="72"/>
  <c r="AR113" i="72"/>
  <c r="AR117" i="72"/>
  <c r="AR121" i="72"/>
  <c r="AR125" i="72"/>
  <c r="AR129" i="72"/>
  <c r="AR133" i="72"/>
  <c r="AR137" i="72"/>
  <c r="AR141" i="72"/>
  <c r="AN146" i="72"/>
  <c r="AN150" i="72"/>
  <c r="AN158" i="72"/>
  <c r="AN162" i="72"/>
  <c r="AN166" i="72"/>
  <c r="AN170" i="72"/>
  <c r="AN174" i="72"/>
  <c r="AN178" i="72"/>
  <c r="AN182" i="72"/>
  <c r="AN190" i="72"/>
  <c r="AN194" i="72"/>
  <c r="AN198" i="72"/>
  <c r="AN202" i="72"/>
  <c r="AN206" i="72"/>
  <c r="AN210" i="72"/>
  <c r="AN214" i="72"/>
  <c r="AN218" i="72"/>
  <c r="AN226" i="72"/>
  <c r="AN230" i="72"/>
  <c r="AN234" i="72"/>
  <c r="AN238" i="72"/>
  <c r="AN242" i="72"/>
  <c r="AN246" i="72"/>
  <c r="AN250" i="72"/>
  <c r="AN254" i="72"/>
  <c r="AN262" i="72"/>
  <c r="AN266" i="72"/>
  <c r="AN270" i="72"/>
  <c r="AN274" i="72"/>
  <c r="AN278" i="72"/>
  <c r="AN282" i="72"/>
  <c r="AN286" i="72"/>
  <c r="AN290" i="72"/>
  <c r="AN298" i="72"/>
  <c r="AN302" i="72"/>
  <c r="AN306" i="72"/>
  <c r="AN310" i="72"/>
  <c r="AN314" i="72"/>
  <c r="AN318" i="72"/>
  <c r="AN322" i="72"/>
  <c r="AN326" i="72"/>
  <c r="AN338" i="72"/>
  <c r="AN346" i="72"/>
  <c r="AN350" i="72"/>
  <c r="AN362" i="72"/>
  <c r="AN370" i="72"/>
  <c r="AN374" i="72"/>
  <c r="AN386" i="72"/>
  <c r="AN394" i="72"/>
  <c r="AN398" i="72"/>
  <c r="AN410" i="72"/>
  <c r="AN418" i="72"/>
  <c r="AN422" i="72"/>
  <c r="AN434" i="72"/>
  <c r="AN442" i="72"/>
  <c r="AN446" i="72"/>
  <c r="AN458" i="72"/>
  <c r="AN466" i="72"/>
  <c r="AN470" i="72"/>
  <c r="AN482" i="72"/>
  <c r="AN490" i="72"/>
  <c r="AN494" i="72"/>
  <c r="AN506" i="72"/>
  <c r="AN514" i="72"/>
  <c r="AN518" i="72"/>
  <c r="AN530" i="72"/>
  <c r="Z538" i="72"/>
  <c r="AR130" i="72"/>
  <c r="AR300" i="72"/>
  <c r="AR304" i="72"/>
  <c r="AR308" i="72"/>
  <c r="AR312" i="72"/>
  <c r="AR316" i="72"/>
  <c r="AR324" i="72"/>
  <c r="AR328" i="72"/>
  <c r="AR332" i="72"/>
  <c r="AR336" i="72"/>
  <c r="AR340" i="72"/>
  <c r="AR344" i="72"/>
  <c r="AR348" i="72"/>
  <c r="AR352" i="72"/>
  <c r="AR356" i="72"/>
  <c r="AR360" i="72"/>
  <c r="AR364" i="72"/>
  <c r="AR368" i="72"/>
  <c r="AR372" i="72"/>
  <c r="AR376" i="72"/>
  <c r="AR380" i="72"/>
  <c r="AR384" i="72"/>
  <c r="AR388" i="72"/>
  <c r="AR392" i="72"/>
  <c r="AR396" i="72"/>
  <c r="AR400" i="72"/>
  <c r="AR404" i="72"/>
  <c r="AR408" i="72"/>
  <c r="AR412" i="72"/>
  <c r="AR416" i="72"/>
  <c r="AR420" i="72"/>
  <c r="AR424" i="72"/>
  <c r="AR428" i="72"/>
  <c r="AR432" i="72"/>
  <c r="AR436" i="72"/>
  <c r="AR440" i="72"/>
  <c r="AR444" i="72"/>
  <c r="AR448" i="72"/>
  <c r="AR452" i="72"/>
  <c r="AR456" i="72"/>
  <c r="AR460" i="72"/>
  <c r="AR464" i="72"/>
  <c r="AR468" i="72"/>
  <c r="AR472" i="72"/>
  <c r="AR476" i="72"/>
  <c r="AR480" i="72"/>
  <c r="AR484" i="72"/>
  <c r="AR492" i="72"/>
  <c r="AR496" i="72"/>
  <c r="AR500" i="72"/>
  <c r="AR504" i="72"/>
  <c r="AR508" i="72"/>
  <c r="AR512" i="72"/>
  <c r="AR516" i="72"/>
  <c r="AR520" i="72"/>
  <c r="AR524" i="72"/>
  <c r="AR528" i="72"/>
  <c r="AR532" i="72"/>
  <c r="AR536" i="72"/>
  <c r="AR140" i="72"/>
  <c r="AR92" i="72"/>
  <c r="AR96" i="72"/>
  <c r="AR100" i="72"/>
  <c r="AR108" i="72"/>
  <c r="AR112" i="72"/>
  <c r="AR116" i="72"/>
  <c r="AR120" i="72"/>
  <c r="AR124" i="72"/>
  <c r="AR128" i="72"/>
  <c r="AR132" i="72"/>
  <c r="AR136" i="72"/>
  <c r="AN145" i="72"/>
  <c r="AN149" i="72"/>
  <c r="AN153" i="72"/>
  <c r="AN157" i="72"/>
  <c r="AN161" i="72"/>
  <c r="AN165" i="72"/>
  <c r="AN173" i="72"/>
  <c r="AN177" i="72"/>
  <c r="AN181" i="72"/>
  <c r="AN189" i="72"/>
  <c r="AN193" i="72"/>
  <c r="AN197" i="72"/>
  <c r="AN201" i="72"/>
  <c r="AN209" i="72"/>
  <c r="AN213" i="72"/>
  <c r="AN217" i="72"/>
  <c r="AN225" i="72"/>
  <c r="AN229" i="72"/>
  <c r="AN233" i="72"/>
  <c r="AN237" i="72"/>
  <c r="AN245" i="72"/>
  <c r="AN249" i="72"/>
  <c r="AN253" i="72"/>
  <c r="AN261" i="72"/>
  <c r="AN265" i="72"/>
  <c r="AN269" i="72"/>
  <c r="AN273" i="72"/>
  <c r="AN281" i="72"/>
  <c r="AN285" i="72"/>
  <c r="AN289" i="72"/>
  <c r="AN297" i="72"/>
  <c r="AN301" i="72"/>
  <c r="AN305" i="72"/>
  <c r="AN317" i="72"/>
  <c r="AN325" i="72"/>
  <c r="AN329" i="72"/>
  <c r="AN337" i="72"/>
  <c r="AN341" i="72"/>
  <c r="AN349" i="72"/>
  <c r="AN353" i="72"/>
  <c r="AN361" i="72"/>
  <c r="AN365" i="72"/>
  <c r="AN373" i="72"/>
  <c r="AN377" i="72"/>
  <c r="AN385" i="72"/>
  <c r="AR285" i="72"/>
  <c r="AN5" i="72"/>
  <c r="AN9" i="72"/>
  <c r="AN13" i="72"/>
  <c r="AN21" i="72"/>
  <c r="AN25" i="72"/>
  <c r="AN29" i="72"/>
  <c r="AN33" i="72"/>
  <c r="AN37" i="72"/>
  <c r="AN41" i="72"/>
  <c r="AN45" i="72"/>
  <c r="AN49" i="72"/>
  <c r="AN53" i="72"/>
  <c r="AN57" i="72"/>
  <c r="AN65" i="72"/>
  <c r="AN69" i="72"/>
  <c r="AN73" i="72"/>
  <c r="AN77" i="72"/>
  <c r="AN81" i="72"/>
  <c r="AN85" i="72"/>
  <c r="AN93" i="72"/>
  <c r="AN97" i="72"/>
  <c r="AN101" i="72"/>
  <c r="AN105" i="72"/>
  <c r="AN109" i="72"/>
  <c r="AN113" i="72"/>
  <c r="AN117" i="72"/>
  <c r="AN125" i="72"/>
  <c r="AN129" i="72"/>
  <c r="AN133" i="72"/>
  <c r="AN141" i="72"/>
  <c r="AR320" i="72"/>
  <c r="AN330" i="72"/>
  <c r="AN342" i="72"/>
  <c r="AN354" i="72"/>
  <c r="AN366" i="72"/>
  <c r="AN378" i="72"/>
  <c r="AN390" i="72"/>
  <c r="AN402" i="72"/>
  <c r="AN414" i="72"/>
  <c r="AN426" i="72"/>
  <c r="AN438" i="72"/>
  <c r="AN450" i="72"/>
  <c r="AN462" i="72"/>
  <c r="AN474" i="72"/>
  <c r="AN486" i="72"/>
  <c r="AN498" i="72"/>
  <c r="AN510" i="72"/>
  <c r="AN522" i="72"/>
  <c r="AN534" i="72"/>
  <c r="AL538" i="72"/>
  <c r="AN309" i="72"/>
  <c r="AN321" i="72"/>
  <c r="AN333" i="72"/>
  <c r="AN345" i="72"/>
  <c r="AN357" i="72"/>
  <c r="AN369" i="72"/>
  <c r="AN381" i="72"/>
  <c r="AN393" i="72"/>
  <c r="AN405" i="72"/>
  <c r="AN417" i="72"/>
  <c r="AN429" i="72"/>
  <c r="AN441" i="72"/>
  <c r="AN453" i="72"/>
  <c r="AN465" i="72"/>
  <c r="AN477" i="72"/>
  <c r="AN489" i="72"/>
  <c r="AN501" i="72"/>
  <c r="AN513" i="72"/>
  <c r="AN525" i="72"/>
  <c r="AN537" i="72"/>
  <c r="AR395" i="72"/>
  <c r="AR399" i="72"/>
  <c r="AR407" i="72"/>
  <c r="AR411" i="72"/>
  <c r="AR419" i="72"/>
  <c r="AR423" i="72"/>
  <c r="AR431" i="72"/>
  <c r="AR435" i="72"/>
  <c r="AR443" i="72"/>
  <c r="AR447" i="72"/>
  <c r="AR455" i="72"/>
  <c r="AR459" i="72"/>
  <c r="AR467" i="72"/>
  <c r="AR471" i="72"/>
  <c r="AR479" i="72"/>
  <c r="AR483" i="72"/>
  <c r="AR487" i="72"/>
  <c r="AR491" i="72"/>
  <c r="AR495" i="72"/>
  <c r="AR503" i="72"/>
  <c r="AR507" i="72"/>
  <c r="AR511" i="72"/>
  <c r="AR515" i="72"/>
  <c r="AR519" i="72"/>
  <c r="AR523" i="72"/>
  <c r="AR527" i="72"/>
  <c r="AR531" i="72"/>
  <c r="AN332" i="72"/>
  <c r="AN336" i="72"/>
  <c r="AN344" i="72"/>
  <c r="AN348" i="72"/>
  <c r="AN356" i="72"/>
  <c r="AN360" i="72"/>
  <c r="AN368" i="72"/>
  <c r="AN372" i="72"/>
  <c r="AN380" i="72"/>
  <c r="AN384" i="72"/>
  <c r="AN392" i="72"/>
  <c r="AN396" i="72"/>
  <c r="AN404" i="72"/>
  <c r="AN408" i="72"/>
  <c r="AN416" i="72"/>
  <c r="AN420" i="72"/>
  <c r="AN428" i="72"/>
  <c r="AN432" i="72"/>
  <c r="AN440" i="72"/>
  <c r="AN444" i="72"/>
  <c r="AN452" i="72"/>
  <c r="AN456" i="72"/>
  <c r="AN464" i="72"/>
  <c r="AN468" i="72"/>
  <c r="AN476" i="72"/>
  <c r="AN480" i="72"/>
  <c r="AN488" i="72"/>
  <c r="AN492" i="72"/>
  <c r="AN500" i="72"/>
  <c r="AN504" i="72"/>
  <c r="AN512" i="72"/>
  <c r="AN516" i="72"/>
  <c r="AN524" i="72"/>
  <c r="AN528" i="72"/>
  <c r="AN536" i="72"/>
  <c r="AR422" i="72"/>
  <c r="AR430" i="72"/>
  <c r="AR434" i="72"/>
  <c r="AR446" i="72"/>
  <c r="AR454" i="72"/>
  <c r="AR458" i="72"/>
  <c r="AR470" i="72"/>
  <c r="AR474" i="72"/>
  <c r="AR478" i="72"/>
  <c r="AR482" i="72"/>
  <c r="AR486" i="72"/>
  <c r="AR494" i="72"/>
  <c r="AR498" i="72"/>
  <c r="AR506" i="72"/>
  <c r="AR510" i="72"/>
  <c r="AR514" i="72"/>
  <c r="AR518" i="72"/>
  <c r="AR522" i="72"/>
  <c r="AR526" i="72"/>
  <c r="AR530" i="72"/>
  <c r="AR534" i="72"/>
  <c r="AN303" i="72"/>
  <c r="AN307" i="72"/>
  <c r="AN315" i="72"/>
  <c r="AN319" i="72"/>
  <c r="AN327" i="72"/>
  <c r="AN331" i="72"/>
  <c r="AN339" i="72"/>
  <c r="AN343" i="72"/>
  <c r="AN351" i="72"/>
  <c r="AN355" i="72"/>
  <c r="AN363" i="72"/>
  <c r="AN367" i="72"/>
  <c r="AN375" i="72"/>
  <c r="AN379" i="72"/>
  <c r="AN387" i="72"/>
  <c r="AN391" i="72"/>
  <c r="AN399" i="72"/>
  <c r="AN403" i="72"/>
  <c r="AN411" i="72"/>
  <c r="AN415" i="72"/>
  <c r="AN423" i="72"/>
  <c r="AN427" i="72"/>
  <c r="AN435" i="72"/>
  <c r="AN439" i="72"/>
  <c r="AN447" i="72"/>
  <c r="AN451" i="72"/>
  <c r="AN459" i="72"/>
  <c r="AN463" i="72"/>
  <c r="AN471" i="72"/>
  <c r="AN475" i="72"/>
  <c r="AN483" i="72"/>
  <c r="AN487" i="72"/>
  <c r="AN495" i="72"/>
  <c r="AN499" i="72"/>
  <c r="AN507" i="72"/>
  <c r="AN511" i="72"/>
  <c r="AN519" i="72"/>
  <c r="AN523" i="72"/>
  <c r="AN531" i="72"/>
  <c r="AN535" i="72"/>
  <c r="AO538" i="72"/>
  <c r="AR538" i="72"/>
  <c r="AR490" i="72"/>
  <c r="AR397" i="72"/>
  <c r="AR401" i="72"/>
  <c r="AR405" i="72"/>
  <c r="AR409" i="72"/>
  <c r="AR413" i="72"/>
  <c r="AR421" i="72"/>
  <c r="AR425" i="72"/>
  <c r="AR429" i="72"/>
  <c r="AR433" i="72"/>
  <c r="AR437" i="72"/>
  <c r="AR445" i="72"/>
  <c r="AR449" i="72"/>
  <c r="AR453" i="72"/>
  <c r="AR457" i="72"/>
  <c r="AR461" i="72"/>
  <c r="AR469" i="72"/>
  <c r="AR473" i="72"/>
  <c r="AR477" i="72"/>
  <c r="AR481" i="72"/>
  <c r="AR485" i="72"/>
  <c r="AR497" i="72"/>
  <c r="AR501" i="72"/>
  <c r="AR505" i="72"/>
  <c r="AR509" i="72"/>
  <c r="AR513" i="72"/>
  <c r="AR521" i="72"/>
  <c r="AR529" i="72"/>
  <c r="AR533" i="72"/>
  <c r="AR537" i="72"/>
  <c r="AD538" i="72"/>
  <c r="U538" i="72"/>
  <c r="W538" i="72"/>
  <c r="AI538" i="72"/>
  <c r="AJ538" i="72"/>
  <c r="AK538" i="72"/>
  <c r="L38" i="65"/>
  <c r="L39" i="65" s="1"/>
  <c r="L41" i="65" s="1"/>
  <c r="M37" i="65"/>
  <c r="M38" i="65" s="1"/>
  <c r="M39" i="65" s="1"/>
  <c r="M41" i="65" s="1"/>
  <c r="L37" i="65"/>
  <c r="O36" i="65"/>
  <c r="N36" i="65"/>
  <c r="M36" i="65"/>
  <c r="L36" i="65"/>
  <c r="J36" i="65"/>
  <c r="I36" i="65"/>
  <c r="H36" i="65"/>
  <c r="G36" i="65"/>
  <c r="F36" i="65"/>
  <c r="E36" i="65"/>
  <c r="D36" i="65"/>
  <c r="Q35" i="65"/>
  <c r="P35" i="65"/>
  <c r="Q34" i="65"/>
  <c r="Q36" i="65" s="1"/>
  <c r="P34" i="65"/>
  <c r="Q33" i="65"/>
  <c r="P33" i="65"/>
  <c r="L31" i="65"/>
  <c r="J31" i="65"/>
  <c r="I31" i="65"/>
  <c r="H31" i="65"/>
  <c r="G31" i="65"/>
  <c r="F31" i="65"/>
  <c r="E31" i="65"/>
  <c r="D31" i="65"/>
  <c r="Q30" i="65"/>
  <c r="P30" i="65"/>
  <c r="Q29" i="65"/>
  <c r="P29" i="65"/>
  <c r="O28" i="65"/>
  <c r="O31" i="65" s="1"/>
  <c r="N28" i="65"/>
  <c r="M28" i="65"/>
  <c r="M31" i="65" s="1"/>
  <c r="L28" i="65"/>
  <c r="Q27" i="65"/>
  <c r="P27" i="65"/>
  <c r="N25" i="65"/>
  <c r="M25" i="65"/>
  <c r="L25" i="65"/>
  <c r="J25" i="65"/>
  <c r="I25" i="65"/>
  <c r="H25" i="65"/>
  <c r="G25" i="65"/>
  <c r="F25" i="65"/>
  <c r="E25" i="65"/>
  <c r="D25" i="65"/>
  <c r="Q24" i="65"/>
  <c r="P24" i="65"/>
  <c r="Q23" i="65"/>
  <c r="P23" i="65"/>
  <c r="P22" i="65"/>
  <c r="P25" i="65" s="1"/>
  <c r="O22" i="65"/>
  <c r="Q20" i="65"/>
  <c r="O20" i="65"/>
  <c r="N20" i="65"/>
  <c r="M20" i="65"/>
  <c r="L20" i="65"/>
  <c r="J20" i="65"/>
  <c r="I20" i="65"/>
  <c r="H20" i="65"/>
  <c r="G20" i="65"/>
  <c r="F20" i="65"/>
  <c r="E20" i="65"/>
  <c r="D20" i="65"/>
  <c r="Q19" i="65"/>
  <c r="P19" i="65"/>
  <c r="Q18" i="65"/>
  <c r="P18" i="65"/>
  <c r="Q17" i="65"/>
  <c r="P17" i="65"/>
  <c r="Q16" i="65"/>
  <c r="P16" i="65"/>
  <c r="Q15" i="65"/>
  <c r="P15" i="65"/>
  <c r="P20" i="65" s="1"/>
  <c r="Q13" i="65"/>
  <c r="P13" i="65"/>
  <c r="O13" i="65"/>
  <c r="N13" i="65"/>
  <c r="M13" i="65"/>
  <c r="L13" i="65"/>
  <c r="J13" i="65"/>
  <c r="I13" i="65"/>
  <c r="I37" i="65" s="1"/>
  <c r="I38" i="65" s="1"/>
  <c r="I39" i="65" s="1"/>
  <c r="I41" i="65" s="1"/>
  <c r="H13" i="65"/>
  <c r="H37" i="65" s="1"/>
  <c r="H38" i="65" s="1"/>
  <c r="H39" i="65" s="1"/>
  <c r="H41" i="65" s="1"/>
  <c r="G13" i="65"/>
  <c r="G37" i="65" s="1"/>
  <c r="G38" i="65" s="1"/>
  <c r="G39" i="65" s="1"/>
  <c r="G41" i="65" s="1"/>
  <c r="F13" i="65"/>
  <c r="E13" i="65"/>
  <c r="E37" i="65" s="1"/>
  <c r="E38" i="65" s="1"/>
  <c r="E39" i="65" s="1"/>
  <c r="E41" i="65" s="1"/>
  <c r="D13" i="65"/>
  <c r="D37" i="65" s="1"/>
  <c r="D38" i="65" s="1"/>
  <c r="D39" i="65" s="1"/>
  <c r="D41" i="65" s="1"/>
  <c r="Q12" i="65"/>
  <c r="P12" i="65"/>
  <c r="Q11" i="65"/>
  <c r="P11" i="65"/>
  <c r="Q10" i="65"/>
  <c r="P10" i="65"/>
  <c r="M35" i="64"/>
  <c r="L35" i="64"/>
  <c r="N33" i="64"/>
  <c r="N35" i="64" s="1"/>
  <c r="M33" i="64"/>
  <c r="P30" i="64"/>
  <c r="O30" i="64"/>
  <c r="N30" i="64"/>
  <c r="M30" i="64"/>
  <c r="L30" i="64"/>
  <c r="J30" i="64"/>
  <c r="I30" i="64"/>
  <c r="H30" i="64"/>
  <c r="G30" i="64"/>
  <c r="F30" i="64"/>
  <c r="E30" i="64"/>
  <c r="D30" i="64"/>
  <c r="Q29" i="64"/>
  <c r="Q30" i="64" s="1"/>
  <c r="P29" i="64"/>
  <c r="Q28" i="64"/>
  <c r="P28" i="64"/>
  <c r="Q27" i="64"/>
  <c r="P27" i="64"/>
  <c r="P25" i="64"/>
  <c r="O25" i="64"/>
  <c r="N25" i="64"/>
  <c r="M25" i="64"/>
  <c r="L25" i="64"/>
  <c r="J25" i="64"/>
  <c r="I25" i="64"/>
  <c r="H25" i="64"/>
  <c r="G25" i="64"/>
  <c r="F25" i="64"/>
  <c r="E25" i="64"/>
  <c r="D25" i="64"/>
  <c r="Q24" i="64"/>
  <c r="P24" i="64"/>
  <c r="Q23" i="64"/>
  <c r="Q25" i="64" s="1"/>
  <c r="P23" i="64"/>
  <c r="P21" i="64"/>
  <c r="O21" i="64"/>
  <c r="N21" i="64"/>
  <c r="M21" i="64"/>
  <c r="L21" i="64"/>
  <c r="J21" i="64"/>
  <c r="I21" i="64"/>
  <c r="H21" i="64"/>
  <c r="G21" i="64"/>
  <c r="F21" i="64"/>
  <c r="E21" i="64"/>
  <c r="D21" i="64"/>
  <c r="Q20" i="64"/>
  <c r="Q21" i="64" s="1"/>
  <c r="P20" i="64"/>
  <c r="O18" i="64"/>
  <c r="N18" i="64"/>
  <c r="M18" i="64"/>
  <c r="L18" i="64"/>
  <c r="J18" i="64"/>
  <c r="I18" i="64"/>
  <c r="I31" i="64" s="1"/>
  <c r="I32" i="64" s="1"/>
  <c r="I33" i="64" s="1"/>
  <c r="I35" i="64" s="1"/>
  <c r="H18" i="64"/>
  <c r="G18" i="64"/>
  <c r="G31" i="64" s="1"/>
  <c r="G32" i="64" s="1"/>
  <c r="G33" i="64" s="1"/>
  <c r="G35" i="64" s="1"/>
  <c r="F18" i="64"/>
  <c r="E18" i="64"/>
  <c r="E31" i="64" s="1"/>
  <c r="E32" i="64" s="1"/>
  <c r="E33" i="64" s="1"/>
  <c r="E35" i="64" s="1"/>
  <c r="D18" i="64"/>
  <c r="Q17" i="64"/>
  <c r="P17" i="64"/>
  <c r="Q16" i="64"/>
  <c r="P16" i="64"/>
  <c r="Q15" i="64"/>
  <c r="Q18" i="64" s="1"/>
  <c r="P15" i="64"/>
  <c r="P18" i="64" s="1"/>
  <c r="O12" i="64"/>
  <c r="O31" i="64" s="1"/>
  <c r="O32" i="64" s="1"/>
  <c r="O33" i="64" s="1"/>
  <c r="O35" i="64" s="1"/>
  <c r="N12" i="64"/>
  <c r="N31" i="64" s="1"/>
  <c r="N32" i="64" s="1"/>
  <c r="M12" i="64"/>
  <c r="M31" i="64" s="1"/>
  <c r="M32" i="64" s="1"/>
  <c r="L12" i="64"/>
  <c r="L31" i="64" s="1"/>
  <c r="L32" i="64" s="1"/>
  <c r="L33" i="64" s="1"/>
  <c r="J12" i="64"/>
  <c r="J31" i="64" s="1"/>
  <c r="J32" i="64" s="1"/>
  <c r="J33" i="64" s="1"/>
  <c r="J35" i="64" s="1"/>
  <c r="I12" i="64"/>
  <c r="H12" i="64"/>
  <c r="H31" i="64" s="1"/>
  <c r="H32" i="64" s="1"/>
  <c r="H33" i="64" s="1"/>
  <c r="H35" i="64" s="1"/>
  <c r="G12" i="64"/>
  <c r="F12" i="64"/>
  <c r="E12" i="64"/>
  <c r="D12" i="64"/>
  <c r="D31" i="64" s="1"/>
  <c r="D32" i="64" s="1"/>
  <c r="D33" i="64" s="1"/>
  <c r="D35" i="64" s="1"/>
  <c r="P11" i="64"/>
  <c r="P12" i="64" s="1"/>
  <c r="P31" i="64" s="1"/>
  <c r="P32" i="64" s="1"/>
  <c r="P33" i="64" s="1"/>
  <c r="P35" i="64" s="1"/>
  <c r="O11" i="64"/>
  <c r="Q11" i="64" s="1"/>
  <c r="Q10" i="64"/>
  <c r="Q12" i="64" s="1"/>
  <c r="P10" i="64"/>
  <c r="L56" i="63"/>
  <c r="L57" i="63" s="1"/>
  <c r="L58" i="63" s="1"/>
  <c r="L60" i="63" s="1"/>
  <c r="J56" i="63"/>
  <c r="J57" i="63" s="1"/>
  <c r="J58" i="63" s="1"/>
  <c r="J60" i="63" s="1"/>
  <c r="O55" i="63"/>
  <c r="N55" i="63"/>
  <c r="M55" i="63"/>
  <c r="L55" i="63"/>
  <c r="J55" i="63"/>
  <c r="I55" i="63"/>
  <c r="H55" i="63"/>
  <c r="G55" i="63"/>
  <c r="F55" i="63"/>
  <c r="E55" i="63"/>
  <c r="D55" i="63"/>
  <c r="Q54" i="63"/>
  <c r="P54" i="63"/>
  <c r="Q53" i="63"/>
  <c r="P53" i="63"/>
  <c r="Q52" i="63"/>
  <c r="Q55" i="63" s="1"/>
  <c r="P52" i="63"/>
  <c r="Q51" i="63"/>
  <c r="P51" i="63"/>
  <c r="P49" i="63"/>
  <c r="O49" i="63"/>
  <c r="N49" i="63"/>
  <c r="M49" i="63"/>
  <c r="L49" i="63"/>
  <c r="J49" i="63"/>
  <c r="I49" i="63"/>
  <c r="H49" i="63"/>
  <c r="G49" i="63"/>
  <c r="F49" i="63"/>
  <c r="E49" i="63"/>
  <c r="D49" i="63"/>
  <c r="Q48" i="63"/>
  <c r="P48" i="63"/>
  <c r="Q47" i="63"/>
  <c r="Q49" i="63" s="1"/>
  <c r="P47" i="63"/>
  <c r="O45" i="63"/>
  <c r="N45" i="63"/>
  <c r="M45" i="63"/>
  <c r="L45" i="63"/>
  <c r="J45" i="63"/>
  <c r="I45" i="63"/>
  <c r="H45" i="63"/>
  <c r="G45" i="63"/>
  <c r="F45" i="63"/>
  <c r="E45" i="63"/>
  <c r="D45" i="63"/>
  <c r="Q44" i="63"/>
  <c r="P44" i="63"/>
  <c r="Q43" i="63"/>
  <c r="Q45" i="63" s="1"/>
  <c r="P43" i="63"/>
  <c r="Q42" i="63"/>
  <c r="P42" i="63"/>
  <c r="Q41" i="63"/>
  <c r="P41" i="63"/>
  <c r="Q40" i="63"/>
  <c r="P40" i="63"/>
  <c r="Q39" i="63"/>
  <c r="P39" i="63"/>
  <c r="O37" i="63"/>
  <c r="N37" i="63"/>
  <c r="M37" i="63"/>
  <c r="L37" i="63"/>
  <c r="J37" i="63"/>
  <c r="I37" i="63"/>
  <c r="H37" i="63"/>
  <c r="G37" i="63"/>
  <c r="F37" i="63"/>
  <c r="E37" i="63"/>
  <c r="D37" i="63"/>
  <c r="Q36" i="63"/>
  <c r="P36" i="63"/>
  <c r="P37" i="63" s="1"/>
  <c r="Q35" i="63"/>
  <c r="P35" i="63"/>
  <c r="Q34" i="63"/>
  <c r="P34" i="63"/>
  <c r="Q33" i="63"/>
  <c r="P33" i="63"/>
  <c r="Q32" i="63"/>
  <c r="P32" i="63"/>
  <c r="O30" i="63"/>
  <c r="N30" i="63"/>
  <c r="M30" i="63"/>
  <c r="L30" i="63"/>
  <c r="J30" i="63"/>
  <c r="I30" i="63"/>
  <c r="H30" i="63"/>
  <c r="G30" i="63"/>
  <c r="F30" i="63"/>
  <c r="E30" i="63"/>
  <c r="D30" i="63"/>
  <c r="Q29" i="63"/>
  <c r="P29" i="63"/>
  <c r="Q28" i="63"/>
  <c r="Q30" i="63" s="1"/>
  <c r="P28" i="63"/>
  <c r="P30" i="63" s="1"/>
  <c r="Q27" i="63"/>
  <c r="P27" i="63"/>
  <c r="P25" i="63"/>
  <c r="O25" i="63"/>
  <c r="N25" i="63"/>
  <c r="M25" i="63"/>
  <c r="L25" i="63"/>
  <c r="J25" i="63"/>
  <c r="I25" i="63"/>
  <c r="H25" i="63"/>
  <c r="G25" i="63"/>
  <c r="F25" i="63"/>
  <c r="E25" i="63"/>
  <c r="D25" i="63"/>
  <c r="Q24" i="63"/>
  <c r="P24" i="63"/>
  <c r="Q23" i="63"/>
  <c r="P23" i="63"/>
  <c r="Q22" i="63"/>
  <c r="Q25" i="63" s="1"/>
  <c r="P22" i="63"/>
  <c r="Q20" i="63"/>
  <c r="O20" i="63"/>
  <c r="N20" i="63"/>
  <c r="M20" i="63"/>
  <c r="L20" i="63"/>
  <c r="J20" i="63"/>
  <c r="I20" i="63"/>
  <c r="H20" i="63"/>
  <c r="G20" i="63"/>
  <c r="F20" i="63"/>
  <c r="E20" i="63"/>
  <c r="D20" i="63"/>
  <c r="Q19" i="63"/>
  <c r="P19" i="63"/>
  <c r="Q18" i="63"/>
  <c r="P18" i="63"/>
  <c r="Q17" i="63"/>
  <c r="P17" i="63"/>
  <c r="Q16" i="63"/>
  <c r="P16" i="63"/>
  <c r="Q15" i="63"/>
  <c r="P15" i="63"/>
  <c r="Q14" i="63"/>
  <c r="P14" i="63"/>
  <c r="P20" i="63" s="1"/>
  <c r="Q12" i="63"/>
  <c r="P12" i="63"/>
  <c r="O12" i="63"/>
  <c r="N12" i="63"/>
  <c r="M12" i="63"/>
  <c r="M56" i="63" s="1"/>
  <c r="M57" i="63" s="1"/>
  <c r="M58" i="63" s="1"/>
  <c r="M60" i="63" s="1"/>
  <c r="L12" i="63"/>
  <c r="J12" i="63"/>
  <c r="I12" i="63"/>
  <c r="H12" i="63"/>
  <c r="G12" i="63"/>
  <c r="G56" i="63" s="1"/>
  <c r="G57" i="63" s="1"/>
  <c r="G58" i="63" s="1"/>
  <c r="G60" i="63" s="1"/>
  <c r="F12" i="63"/>
  <c r="F56" i="63" s="1"/>
  <c r="F57" i="63" s="1"/>
  <c r="F58" i="63" s="1"/>
  <c r="F60" i="63" s="1"/>
  <c r="E12" i="63"/>
  <c r="E56" i="63" s="1"/>
  <c r="E57" i="63" s="1"/>
  <c r="E58" i="63" s="1"/>
  <c r="E60" i="63" s="1"/>
  <c r="D12" i="63"/>
  <c r="Q11" i="63"/>
  <c r="P11" i="63"/>
  <c r="Q10" i="63"/>
  <c r="P10" i="63"/>
  <c r="M44" i="62"/>
  <c r="M45" i="62" s="1"/>
  <c r="M46" i="62" s="1"/>
  <c r="M48" i="62" s="1"/>
  <c r="O43" i="62"/>
  <c r="N43" i="62"/>
  <c r="N44" i="62" s="1"/>
  <c r="N45" i="62" s="1"/>
  <c r="N46" i="62" s="1"/>
  <c r="N48" i="62" s="1"/>
  <c r="M43" i="62"/>
  <c r="L43" i="62"/>
  <c r="J43" i="62"/>
  <c r="I43" i="62"/>
  <c r="H43" i="62"/>
  <c r="G43" i="62"/>
  <c r="F43" i="62"/>
  <c r="E43" i="62"/>
  <c r="D43" i="62"/>
  <c r="Q42" i="62"/>
  <c r="P42" i="62"/>
  <c r="Q41" i="62"/>
  <c r="Q43" i="62" s="1"/>
  <c r="P41" i="62"/>
  <c r="P43" i="62" s="1"/>
  <c r="Q40" i="62"/>
  <c r="P40" i="62"/>
  <c r="P38" i="62"/>
  <c r="N38" i="62"/>
  <c r="M38" i="62"/>
  <c r="L38" i="62"/>
  <c r="J38" i="62"/>
  <c r="I38" i="62"/>
  <c r="H38" i="62"/>
  <c r="G38" i="62"/>
  <c r="F38" i="62"/>
  <c r="E38" i="62"/>
  <c r="D38" i="62"/>
  <c r="Q37" i="62"/>
  <c r="P37" i="62"/>
  <c r="O37" i="62"/>
  <c r="O38" i="62" s="1"/>
  <c r="Q36" i="62"/>
  <c r="Q38" i="62" s="1"/>
  <c r="P36" i="62"/>
  <c r="O34" i="62"/>
  <c r="N34" i="62"/>
  <c r="M34" i="62"/>
  <c r="L34" i="62"/>
  <c r="J34" i="62"/>
  <c r="I34" i="62"/>
  <c r="H34" i="62"/>
  <c r="G34" i="62"/>
  <c r="F34" i="62"/>
  <c r="E34" i="62"/>
  <c r="D34" i="62"/>
  <c r="Q33" i="62"/>
  <c r="P33" i="62"/>
  <c r="P34" i="62" s="1"/>
  <c r="Q32" i="62"/>
  <c r="P32" i="62"/>
  <c r="O32" i="62"/>
  <c r="Q31" i="62"/>
  <c r="Q34" i="62" s="1"/>
  <c r="P31" i="62"/>
  <c r="N29" i="62"/>
  <c r="M29" i="62"/>
  <c r="L29" i="62"/>
  <c r="J29" i="62"/>
  <c r="I29" i="62"/>
  <c r="H29" i="62"/>
  <c r="G29" i="62"/>
  <c r="F29" i="62"/>
  <c r="E29" i="62"/>
  <c r="D29" i="62"/>
  <c r="Q28" i="62"/>
  <c r="P28" i="62"/>
  <c r="O28" i="62"/>
  <c r="P27" i="62"/>
  <c r="P29" i="62" s="1"/>
  <c r="O27" i="62"/>
  <c r="Q26" i="62"/>
  <c r="P26" i="62"/>
  <c r="N24" i="62"/>
  <c r="M24" i="62"/>
  <c r="L24" i="62"/>
  <c r="J24" i="62"/>
  <c r="I24" i="62"/>
  <c r="H24" i="62"/>
  <c r="G24" i="62"/>
  <c r="G44" i="62" s="1"/>
  <c r="G45" i="62" s="1"/>
  <c r="G46" i="62" s="1"/>
  <c r="G48" i="62" s="1"/>
  <c r="F24" i="62"/>
  <c r="E24" i="62"/>
  <c r="D24" i="62"/>
  <c r="P23" i="62"/>
  <c r="O23" i="62"/>
  <c r="Q23" i="62" s="1"/>
  <c r="Q22" i="62"/>
  <c r="P22" i="62"/>
  <c r="O22" i="62"/>
  <c r="P21" i="62"/>
  <c r="P24" i="62" s="1"/>
  <c r="O21" i="62"/>
  <c r="O19" i="62"/>
  <c r="N19" i="62"/>
  <c r="M19" i="62"/>
  <c r="L19" i="62"/>
  <c r="J19" i="62"/>
  <c r="I19" i="62"/>
  <c r="H19" i="62"/>
  <c r="G19" i="62"/>
  <c r="F19" i="62"/>
  <c r="E19" i="62"/>
  <c r="D19" i="62"/>
  <c r="Q18" i="62"/>
  <c r="P18" i="62"/>
  <c r="Q17" i="62"/>
  <c r="P17" i="62"/>
  <c r="Q16" i="62"/>
  <c r="P16" i="62"/>
  <c r="Q15" i="62"/>
  <c r="P15" i="62"/>
  <c r="Q14" i="62"/>
  <c r="Q19" i="62" s="1"/>
  <c r="P14" i="62"/>
  <c r="P19" i="62" s="1"/>
  <c r="Q12" i="62"/>
  <c r="P12" i="62"/>
  <c r="O12" i="62"/>
  <c r="N12" i="62"/>
  <c r="M12" i="62"/>
  <c r="L12" i="62"/>
  <c r="L44" i="62" s="1"/>
  <c r="L45" i="62" s="1"/>
  <c r="L46" i="62" s="1"/>
  <c r="L48" i="62" s="1"/>
  <c r="J12" i="62"/>
  <c r="J44" i="62" s="1"/>
  <c r="J45" i="62" s="1"/>
  <c r="J46" i="62" s="1"/>
  <c r="J48" i="62" s="1"/>
  <c r="I12" i="62"/>
  <c r="H12" i="62"/>
  <c r="G12" i="62"/>
  <c r="F12" i="62"/>
  <c r="E12" i="62"/>
  <c r="E44" i="62" s="1"/>
  <c r="E45" i="62" s="1"/>
  <c r="E46" i="62" s="1"/>
  <c r="E48" i="62" s="1"/>
  <c r="D12" i="62"/>
  <c r="D44" i="62" s="1"/>
  <c r="D45" i="62" s="1"/>
  <c r="D46" i="62" s="1"/>
  <c r="D48" i="62" s="1"/>
  <c r="Q11" i="62"/>
  <c r="P11" i="62"/>
  <c r="Q10" i="62"/>
  <c r="P10" i="62"/>
  <c r="I56" i="61"/>
  <c r="O51" i="61"/>
  <c r="N51" i="61"/>
  <c r="N52" i="61" s="1"/>
  <c r="N53" i="61" s="1"/>
  <c r="N54" i="61" s="1"/>
  <c r="N56" i="61" s="1"/>
  <c r="M51" i="61"/>
  <c r="L51" i="61"/>
  <c r="J51" i="61"/>
  <c r="I51" i="61"/>
  <c r="H51" i="61"/>
  <c r="G51" i="61"/>
  <c r="F51" i="61"/>
  <c r="E51" i="61"/>
  <c r="D51" i="61"/>
  <c r="Q50" i="61"/>
  <c r="Q51" i="61" s="1"/>
  <c r="P50" i="61"/>
  <c r="P51" i="61" s="1"/>
  <c r="Q48" i="61"/>
  <c r="O48" i="61"/>
  <c r="N48" i="61"/>
  <c r="M48" i="61"/>
  <c r="L48" i="61"/>
  <c r="J48" i="61"/>
  <c r="I48" i="61"/>
  <c r="H48" i="61"/>
  <c r="G48" i="61"/>
  <c r="F48" i="61"/>
  <c r="E48" i="61"/>
  <c r="D48" i="61"/>
  <c r="Q47" i="61"/>
  <c r="P47" i="61"/>
  <c r="P48" i="61" s="1"/>
  <c r="O45" i="61"/>
  <c r="N45" i="61"/>
  <c r="M45" i="61"/>
  <c r="L45" i="61"/>
  <c r="J45" i="61"/>
  <c r="I45" i="61"/>
  <c r="H45" i="61"/>
  <c r="G45" i="61"/>
  <c r="F45" i="61"/>
  <c r="E45" i="61"/>
  <c r="D45" i="61"/>
  <c r="Q44" i="61"/>
  <c r="P44" i="61"/>
  <c r="Q43" i="61"/>
  <c r="P43" i="61"/>
  <c r="Q42" i="61"/>
  <c r="P42" i="61"/>
  <c r="Q41" i="61"/>
  <c r="P41" i="61"/>
  <c r="Q40" i="61"/>
  <c r="Q45" i="61" s="1"/>
  <c r="P40" i="61"/>
  <c r="P45" i="61" s="1"/>
  <c r="N38" i="61"/>
  <c r="J38" i="61"/>
  <c r="I38" i="61"/>
  <c r="H38" i="61"/>
  <c r="G38" i="61"/>
  <c r="F38" i="61"/>
  <c r="E38" i="61"/>
  <c r="D38" i="61"/>
  <c r="Q37" i="61"/>
  <c r="P37" i="61"/>
  <c r="Q36" i="61"/>
  <c r="P36" i="61"/>
  <c r="O36" i="61"/>
  <c r="O38" i="61" s="1"/>
  <c r="N36" i="61"/>
  <c r="M36" i="61"/>
  <c r="M38" i="61" s="1"/>
  <c r="M52" i="61" s="1"/>
  <c r="M53" i="61" s="1"/>
  <c r="M54" i="61" s="1"/>
  <c r="M56" i="61" s="1"/>
  <c r="L36" i="61"/>
  <c r="L38" i="61" s="1"/>
  <c r="Q35" i="61"/>
  <c r="Q38" i="61" s="1"/>
  <c r="P35" i="61"/>
  <c r="P38" i="61" s="1"/>
  <c r="O33" i="61"/>
  <c r="N33" i="61"/>
  <c r="M33" i="61"/>
  <c r="L33" i="61"/>
  <c r="J33" i="61"/>
  <c r="I33" i="61"/>
  <c r="H33" i="61"/>
  <c r="G33" i="61"/>
  <c r="F33" i="61"/>
  <c r="E33" i="61"/>
  <c r="D33" i="61"/>
  <c r="Q32" i="61"/>
  <c r="P32" i="61"/>
  <c r="Q31" i="61"/>
  <c r="P31" i="61"/>
  <c r="Q30" i="61"/>
  <c r="P30" i="61"/>
  <c r="Q29" i="61"/>
  <c r="Q33" i="61" s="1"/>
  <c r="P29" i="61"/>
  <c r="P33" i="61" s="1"/>
  <c r="P27" i="61"/>
  <c r="O27" i="61"/>
  <c r="N27" i="61"/>
  <c r="M27" i="61"/>
  <c r="L27" i="61"/>
  <c r="J27" i="61"/>
  <c r="I27" i="61"/>
  <c r="H27" i="61"/>
  <c r="G27" i="61"/>
  <c r="F27" i="61"/>
  <c r="E27" i="61"/>
  <c r="D27" i="61"/>
  <c r="Q26" i="61"/>
  <c r="P26" i="61"/>
  <c r="Q25" i="61"/>
  <c r="P25" i="61"/>
  <c r="Q24" i="61"/>
  <c r="P24" i="61"/>
  <c r="Q23" i="61"/>
  <c r="P23" i="61"/>
  <c r="Q22" i="61"/>
  <c r="P22" i="61"/>
  <c r="O20" i="61"/>
  <c r="N20" i="61"/>
  <c r="M20" i="61"/>
  <c r="L20" i="61"/>
  <c r="J20" i="61"/>
  <c r="I20" i="61"/>
  <c r="H20" i="61"/>
  <c r="G20" i="61"/>
  <c r="F20" i="61"/>
  <c r="E20" i="61"/>
  <c r="D20" i="61"/>
  <c r="Q19" i="61"/>
  <c r="P19" i="61"/>
  <c r="Q18" i="61"/>
  <c r="P18" i="61"/>
  <c r="O18" i="61"/>
  <c r="P17" i="61"/>
  <c r="O17" i="61"/>
  <c r="Q17" i="61" s="1"/>
  <c r="P16" i="61"/>
  <c r="O16" i="61"/>
  <c r="Q16" i="61" s="1"/>
  <c r="Q15" i="61"/>
  <c r="Q20" i="61" s="1"/>
  <c r="P15" i="61"/>
  <c r="P13" i="61"/>
  <c r="O13" i="61"/>
  <c r="N13" i="61"/>
  <c r="M13" i="61"/>
  <c r="L13" i="61"/>
  <c r="L52" i="61" s="1"/>
  <c r="L53" i="61" s="1"/>
  <c r="L54" i="61" s="1"/>
  <c r="L56" i="61" s="1"/>
  <c r="J13" i="61"/>
  <c r="J52" i="61" s="1"/>
  <c r="J53" i="61" s="1"/>
  <c r="J54" i="61" s="1"/>
  <c r="J56" i="61" s="1"/>
  <c r="I13" i="61"/>
  <c r="I52" i="61" s="1"/>
  <c r="I53" i="61" s="1"/>
  <c r="I54" i="61" s="1"/>
  <c r="H13" i="61"/>
  <c r="H52" i="61" s="1"/>
  <c r="H53" i="61" s="1"/>
  <c r="H54" i="61" s="1"/>
  <c r="H56" i="61" s="1"/>
  <c r="G13" i="61"/>
  <c r="F13" i="61"/>
  <c r="E13" i="61"/>
  <c r="D13" i="61"/>
  <c r="Q12" i="61"/>
  <c r="Q13" i="61" s="1"/>
  <c r="P12" i="61"/>
  <c r="Q11" i="61"/>
  <c r="P11" i="61"/>
  <c r="Q10" i="61"/>
  <c r="P10" i="61"/>
  <c r="N26" i="60"/>
  <c r="H26" i="60"/>
  <c r="O25" i="60"/>
  <c r="O26" i="60" s="1"/>
  <c r="N25" i="60"/>
  <c r="M25" i="60"/>
  <c r="L25" i="60"/>
  <c r="J25" i="60"/>
  <c r="I25" i="60"/>
  <c r="H25" i="60"/>
  <c r="G25" i="60"/>
  <c r="F25" i="60"/>
  <c r="E25" i="60"/>
  <c r="D25" i="60"/>
  <c r="Q24" i="60"/>
  <c r="P24" i="60"/>
  <c r="P25" i="60" s="1"/>
  <c r="Q23" i="60"/>
  <c r="P23" i="60"/>
  <c r="Q22" i="60"/>
  <c r="P22" i="60"/>
  <c r="Q21" i="60"/>
  <c r="P21" i="60"/>
  <c r="P19" i="60"/>
  <c r="O19" i="60"/>
  <c r="N19" i="60"/>
  <c r="M19" i="60"/>
  <c r="L19" i="60"/>
  <c r="L26" i="60" s="1"/>
  <c r="J19" i="60"/>
  <c r="I19" i="60"/>
  <c r="H19" i="60"/>
  <c r="G19" i="60"/>
  <c r="F19" i="60"/>
  <c r="E19" i="60"/>
  <c r="D19" i="60"/>
  <c r="Q18" i="60"/>
  <c r="Q19" i="60" s="1"/>
  <c r="P18" i="60"/>
  <c r="P16" i="60"/>
  <c r="O16" i="60"/>
  <c r="N16" i="60"/>
  <c r="M16" i="60"/>
  <c r="M26" i="60" s="1"/>
  <c r="M27" i="60" s="1"/>
  <c r="M28" i="60" s="1"/>
  <c r="M30" i="60" s="1"/>
  <c r="L16" i="60"/>
  <c r="J16" i="60"/>
  <c r="J26" i="60" s="1"/>
  <c r="I16" i="60"/>
  <c r="I26" i="60" s="1"/>
  <c r="H16" i="60"/>
  <c r="G16" i="60"/>
  <c r="G26" i="60" s="1"/>
  <c r="F16" i="60"/>
  <c r="F26" i="60" s="1"/>
  <c r="E16" i="60"/>
  <c r="E26" i="60" s="1"/>
  <c r="D16" i="60"/>
  <c r="D26" i="60" s="1"/>
  <c r="Q15" i="60"/>
  <c r="Q16" i="60" s="1"/>
  <c r="P15" i="60"/>
  <c r="Q12" i="60"/>
  <c r="M12" i="60"/>
  <c r="I12" i="60"/>
  <c r="I27" i="60" s="1"/>
  <c r="I28" i="60" s="1"/>
  <c r="I30" i="60" s="1"/>
  <c r="E12" i="60"/>
  <c r="E27" i="60" s="1"/>
  <c r="E28" i="60" s="1"/>
  <c r="E30" i="60" s="1"/>
  <c r="D12" i="60"/>
  <c r="Q11" i="60"/>
  <c r="O11" i="60"/>
  <c r="O12" i="60" s="1"/>
  <c r="N11" i="60"/>
  <c r="N12" i="60" s="1"/>
  <c r="N27" i="60" s="1"/>
  <c r="N28" i="60" s="1"/>
  <c r="N30" i="60" s="1"/>
  <c r="M11" i="60"/>
  <c r="L11" i="60"/>
  <c r="L12" i="60" s="1"/>
  <c r="J11" i="60"/>
  <c r="J12" i="60" s="1"/>
  <c r="I11" i="60"/>
  <c r="H11" i="60"/>
  <c r="H12" i="60" s="1"/>
  <c r="H27" i="60" s="1"/>
  <c r="H28" i="60" s="1"/>
  <c r="H30" i="60" s="1"/>
  <c r="G11" i="60"/>
  <c r="G12" i="60" s="1"/>
  <c r="G27" i="60" s="1"/>
  <c r="G28" i="60" s="1"/>
  <c r="G30" i="60" s="1"/>
  <c r="F11" i="60"/>
  <c r="F12" i="60" s="1"/>
  <c r="F27" i="60" s="1"/>
  <c r="F28" i="60" s="1"/>
  <c r="F30" i="60" s="1"/>
  <c r="E11" i="60"/>
  <c r="D11" i="60"/>
  <c r="Q10" i="60"/>
  <c r="P10" i="60"/>
  <c r="P11" i="60" s="1"/>
  <c r="P12" i="60" s="1"/>
  <c r="I41" i="59"/>
  <c r="M38" i="59"/>
  <c r="M39" i="59" s="1"/>
  <c r="M41" i="59" s="1"/>
  <c r="N37" i="59"/>
  <c r="N38" i="59" s="1"/>
  <c r="N39" i="59" s="1"/>
  <c r="N41" i="59" s="1"/>
  <c r="M37" i="59"/>
  <c r="O36" i="59"/>
  <c r="N36" i="59"/>
  <c r="M36" i="59"/>
  <c r="L36" i="59"/>
  <c r="J36" i="59"/>
  <c r="I36" i="59"/>
  <c r="H36" i="59"/>
  <c r="G36" i="59"/>
  <c r="F36" i="59"/>
  <c r="E36" i="59"/>
  <c r="D36" i="59"/>
  <c r="Q35" i="59"/>
  <c r="P35" i="59"/>
  <c r="Q34" i="59"/>
  <c r="P34" i="59"/>
  <c r="Q33" i="59"/>
  <c r="P33" i="59"/>
  <c r="Q32" i="59"/>
  <c r="Q36" i="59" s="1"/>
  <c r="P32" i="59"/>
  <c r="O30" i="59"/>
  <c r="N30" i="59"/>
  <c r="M30" i="59"/>
  <c r="L30" i="59"/>
  <c r="J30" i="59"/>
  <c r="I30" i="59"/>
  <c r="H30" i="59"/>
  <c r="G30" i="59"/>
  <c r="F30" i="59"/>
  <c r="E30" i="59"/>
  <c r="D30" i="59"/>
  <c r="Q29" i="59"/>
  <c r="P29" i="59"/>
  <c r="Q28" i="59"/>
  <c r="P28" i="59"/>
  <c r="Q27" i="59"/>
  <c r="P27" i="59"/>
  <c r="Q26" i="59"/>
  <c r="P26" i="59"/>
  <c r="O24" i="59"/>
  <c r="N24" i="59"/>
  <c r="M24" i="59"/>
  <c r="L24" i="59"/>
  <c r="J24" i="59"/>
  <c r="I24" i="59"/>
  <c r="H24" i="59"/>
  <c r="G24" i="59"/>
  <c r="F24" i="59"/>
  <c r="E24" i="59"/>
  <c r="D24" i="59"/>
  <c r="Q23" i="59"/>
  <c r="Q24" i="59" s="1"/>
  <c r="P23" i="59"/>
  <c r="P24" i="59" s="1"/>
  <c r="O21" i="59"/>
  <c r="N21" i="59"/>
  <c r="M21" i="59"/>
  <c r="L21" i="59"/>
  <c r="J21" i="59"/>
  <c r="I21" i="59"/>
  <c r="H21" i="59"/>
  <c r="G21" i="59"/>
  <c r="F21" i="59"/>
  <c r="E21" i="59"/>
  <c r="D21" i="59"/>
  <c r="Q20" i="59"/>
  <c r="P20" i="59"/>
  <c r="Q19" i="59"/>
  <c r="P19" i="59"/>
  <c r="Q18" i="59"/>
  <c r="Q21" i="59" s="1"/>
  <c r="P18" i="59"/>
  <c r="P21" i="59" s="1"/>
  <c r="O16" i="59"/>
  <c r="N16" i="59"/>
  <c r="M16" i="59"/>
  <c r="L16" i="59"/>
  <c r="J16" i="59"/>
  <c r="I16" i="59"/>
  <c r="H16" i="59"/>
  <c r="G16" i="59"/>
  <c r="F16" i="59"/>
  <c r="E16" i="59"/>
  <c r="D16" i="59"/>
  <c r="Q15" i="59"/>
  <c r="P15" i="59"/>
  <c r="Q14" i="59"/>
  <c r="P14" i="59"/>
  <c r="P16" i="59" s="1"/>
  <c r="Q13" i="59"/>
  <c r="Q16" i="59" s="1"/>
  <c r="P13" i="59"/>
  <c r="P11" i="59"/>
  <c r="O11" i="59"/>
  <c r="N11" i="59"/>
  <c r="M11" i="59"/>
  <c r="L11" i="59"/>
  <c r="J11" i="59"/>
  <c r="I11" i="59"/>
  <c r="I37" i="59" s="1"/>
  <c r="I38" i="59" s="1"/>
  <c r="I39" i="59" s="1"/>
  <c r="H11" i="59"/>
  <c r="H37" i="59" s="1"/>
  <c r="H38" i="59" s="1"/>
  <c r="H39" i="59" s="1"/>
  <c r="H41" i="59" s="1"/>
  <c r="G11" i="59"/>
  <c r="G37" i="59" s="1"/>
  <c r="G38" i="59" s="1"/>
  <c r="G39" i="59" s="1"/>
  <c r="G41" i="59" s="1"/>
  <c r="F11" i="59"/>
  <c r="F37" i="59" s="1"/>
  <c r="F38" i="59" s="1"/>
  <c r="F39" i="59" s="1"/>
  <c r="F41" i="59" s="1"/>
  <c r="E11" i="59"/>
  <c r="D11" i="59"/>
  <c r="D37" i="59" s="1"/>
  <c r="D38" i="59" s="1"/>
  <c r="D39" i="59" s="1"/>
  <c r="D41" i="59" s="1"/>
  <c r="Q10" i="59"/>
  <c r="Q11" i="59" s="1"/>
  <c r="P10" i="59"/>
  <c r="E69" i="58"/>
  <c r="E70" i="58" s="1"/>
  <c r="E72" i="58" s="1"/>
  <c r="F68" i="58"/>
  <c r="O67" i="58"/>
  <c r="N67" i="58"/>
  <c r="M67" i="58"/>
  <c r="L67" i="58"/>
  <c r="J67" i="58"/>
  <c r="I67" i="58"/>
  <c r="H67" i="58"/>
  <c r="G67" i="58"/>
  <c r="G68" i="58" s="1"/>
  <c r="F67" i="58"/>
  <c r="E67" i="58"/>
  <c r="D67" i="58"/>
  <c r="Q66" i="58"/>
  <c r="P66" i="58"/>
  <c r="Q65" i="58"/>
  <c r="P65" i="58"/>
  <c r="Q64" i="58"/>
  <c r="P64" i="58"/>
  <c r="Q63" i="58"/>
  <c r="Q67" i="58" s="1"/>
  <c r="P63" i="58"/>
  <c r="P67" i="58" s="1"/>
  <c r="Q61" i="58"/>
  <c r="O61" i="58"/>
  <c r="N61" i="58"/>
  <c r="M61" i="58"/>
  <c r="L61" i="58"/>
  <c r="J61" i="58"/>
  <c r="I61" i="58"/>
  <c r="H61" i="58"/>
  <c r="G61" i="58"/>
  <c r="F61" i="58"/>
  <c r="E61" i="58"/>
  <c r="D61" i="58"/>
  <c r="Q60" i="58"/>
  <c r="P60" i="58"/>
  <c r="Q59" i="58"/>
  <c r="P59" i="58"/>
  <c r="Q58" i="58"/>
  <c r="P58" i="58"/>
  <c r="P61" i="58" s="1"/>
  <c r="Q57" i="58"/>
  <c r="P57" i="58"/>
  <c r="Q55" i="58"/>
  <c r="O55" i="58"/>
  <c r="O68" i="58" s="1"/>
  <c r="N55" i="58"/>
  <c r="N68" i="58" s="1"/>
  <c r="M55" i="58"/>
  <c r="M68" i="58" s="1"/>
  <c r="L55" i="58"/>
  <c r="L68" i="58" s="1"/>
  <c r="J55" i="58"/>
  <c r="J68" i="58" s="1"/>
  <c r="I55" i="58"/>
  <c r="I68" i="58" s="1"/>
  <c r="H55" i="58"/>
  <c r="H68" i="58" s="1"/>
  <c r="G55" i="58"/>
  <c r="F55" i="58"/>
  <c r="E55" i="58"/>
  <c r="E68" i="58" s="1"/>
  <c r="D55" i="58"/>
  <c r="Q54" i="58"/>
  <c r="P54" i="58"/>
  <c r="P55" i="58" s="1"/>
  <c r="P68" i="58" s="1"/>
  <c r="D51" i="58"/>
  <c r="O50" i="58"/>
  <c r="N50" i="58"/>
  <c r="M50" i="58"/>
  <c r="J50" i="58"/>
  <c r="I50" i="58"/>
  <c r="H50" i="58"/>
  <c r="G50" i="58"/>
  <c r="F50" i="58"/>
  <c r="E50" i="58"/>
  <c r="D50" i="58"/>
  <c r="Q49" i="58"/>
  <c r="P49" i="58"/>
  <c r="Q48" i="58"/>
  <c r="Q50" i="58" s="1"/>
  <c r="P48" i="58"/>
  <c r="P50" i="58" s="1"/>
  <c r="L48" i="58"/>
  <c r="L50" i="58" s="1"/>
  <c r="O46" i="58"/>
  <c r="N46" i="58"/>
  <c r="M46" i="58"/>
  <c r="L46" i="58"/>
  <c r="J46" i="58"/>
  <c r="I46" i="58"/>
  <c r="H46" i="58"/>
  <c r="G46" i="58"/>
  <c r="F46" i="58"/>
  <c r="E46" i="58"/>
  <c r="D46" i="58"/>
  <c r="Q45" i="58"/>
  <c r="P45" i="58"/>
  <c r="Q44" i="58"/>
  <c r="P44" i="58"/>
  <c r="Q43" i="58"/>
  <c r="P43" i="58"/>
  <c r="Q42" i="58"/>
  <c r="P42" i="58"/>
  <c r="Q41" i="58"/>
  <c r="Q46" i="58" s="1"/>
  <c r="P41" i="58"/>
  <c r="P46" i="58" s="1"/>
  <c r="O39" i="58"/>
  <c r="N39" i="58"/>
  <c r="M39" i="58"/>
  <c r="L39" i="58"/>
  <c r="J39" i="58"/>
  <c r="I39" i="58"/>
  <c r="H39" i="58"/>
  <c r="G39" i="58"/>
  <c r="F39" i="58"/>
  <c r="E39" i="58"/>
  <c r="D39" i="58"/>
  <c r="Q38" i="58"/>
  <c r="P38" i="58"/>
  <c r="Q37" i="58"/>
  <c r="P37" i="58"/>
  <c r="Q36" i="58"/>
  <c r="Q39" i="58" s="1"/>
  <c r="P36" i="58"/>
  <c r="P39" i="58" s="1"/>
  <c r="O34" i="58"/>
  <c r="N34" i="58"/>
  <c r="M34" i="58"/>
  <c r="L34" i="58"/>
  <c r="J34" i="58"/>
  <c r="I34" i="58"/>
  <c r="H34" i="58"/>
  <c r="G34" i="58"/>
  <c r="F34" i="58"/>
  <c r="E34" i="58"/>
  <c r="E51" i="58" s="1"/>
  <c r="D34" i="58"/>
  <c r="Q33" i="58"/>
  <c r="P33" i="58"/>
  <c r="Q32" i="58"/>
  <c r="Q34" i="58" s="1"/>
  <c r="P32" i="58"/>
  <c r="P34" i="58" s="1"/>
  <c r="O30" i="58"/>
  <c r="N30" i="58"/>
  <c r="M30" i="58"/>
  <c r="L30" i="58"/>
  <c r="L51" i="58" s="1"/>
  <c r="J30" i="58"/>
  <c r="I30" i="58"/>
  <c r="H30" i="58"/>
  <c r="G30" i="58"/>
  <c r="F30" i="58"/>
  <c r="E30" i="58"/>
  <c r="D30" i="58"/>
  <c r="Q29" i="58"/>
  <c r="P29" i="58"/>
  <c r="Q28" i="58"/>
  <c r="P28" i="58"/>
  <c r="Q27" i="58"/>
  <c r="P27" i="58"/>
  <c r="Q26" i="58"/>
  <c r="P26" i="58"/>
  <c r="Q25" i="58"/>
  <c r="P25" i="58"/>
  <c r="Q24" i="58"/>
  <c r="P24" i="58"/>
  <c r="Q23" i="58"/>
  <c r="P23" i="58"/>
  <c r="O21" i="58"/>
  <c r="N21" i="58"/>
  <c r="M21" i="58"/>
  <c r="L21" i="58"/>
  <c r="J21" i="58"/>
  <c r="I21" i="58"/>
  <c r="H21" i="58"/>
  <c r="G21" i="58"/>
  <c r="F21" i="58"/>
  <c r="E21" i="58"/>
  <c r="D21" i="58"/>
  <c r="Q20" i="58"/>
  <c r="P20" i="58"/>
  <c r="Q19" i="58"/>
  <c r="P19" i="58"/>
  <c r="Q18" i="58"/>
  <c r="P18" i="58"/>
  <c r="Q17" i="58"/>
  <c r="P17" i="58"/>
  <c r="Q16" i="58"/>
  <c r="P16" i="58"/>
  <c r="P21" i="58" s="1"/>
  <c r="N14" i="58"/>
  <c r="M14" i="58"/>
  <c r="L14" i="58"/>
  <c r="J14" i="58"/>
  <c r="I14" i="58"/>
  <c r="I51" i="58" s="1"/>
  <c r="H14" i="58"/>
  <c r="H51" i="58" s="1"/>
  <c r="H69" i="58" s="1"/>
  <c r="H70" i="58" s="1"/>
  <c r="H72" i="58" s="1"/>
  <c r="G14" i="58"/>
  <c r="G51" i="58" s="1"/>
  <c r="F14" i="58"/>
  <c r="F51" i="58" s="1"/>
  <c r="F69" i="58" s="1"/>
  <c r="F70" i="58" s="1"/>
  <c r="F72" i="58" s="1"/>
  <c r="E14" i="58"/>
  <c r="D14" i="58"/>
  <c r="Q13" i="58"/>
  <c r="P13" i="58"/>
  <c r="Q12" i="58"/>
  <c r="P12" i="58"/>
  <c r="Q11" i="58"/>
  <c r="P11" i="58"/>
  <c r="P10" i="58"/>
  <c r="P14" i="58" s="1"/>
  <c r="O10" i="58"/>
  <c r="Q10" i="58" s="1"/>
  <c r="Q14" i="58" s="1"/>
  <c r="L40" i="57"/>
  <c r="J40" i="57"/>
  <c r="N36" i="57"/>
  <c r="N37" i="57" s="1"/>
  <c r="N38" i="57" s="1"/>
  <c r="N40" i="57" s="1"/>
  <c r="P35" i="57"/>
  <c r="O35" i="57"/>
  <c r="O36" i="57" s="1"/>
  <c r="O37" i="57" s="1"/>
  <c r="O38" i="57" s="1"/>
  <c r="O40" i="57" s="1"/>
  <c r="N35" i="57"/>
  <c r="M35" i="57"/>
  <c r="L35" i="57"/>
  <c r="J35" i="57"/>
  <c r="I35" i="57"/>
  <c r="H35" i="57"/>
  <c r="G35" i="57"/>
  <c r="F35" i="57"/>
  <c r="E35" i="57"/>
  <c r="D35" i="57"/>
  <c r="Q34" i="57"/>
  <c r="P34" i="57"/>
  <c r="Q33" i="57"/>
  <c r="P33" i="57"/>
  <c r="O31" i="57"/>
  <c r="N31" i="57"/>
  <c r="M31" i="57"/>
  <c r="L31" i="57"/>
  <c r="J31" i="57"/>
  <c r="I31" i="57"/>
  <c r="H31" i="57"/>
  <c r="H36" i="57" s="1"/>
  <c r="H37" i="57" s="1"/>
  <c r="H38" i="57" s="1"/>
  <c r="H40" i="57" s="1"/>
  <c r="G31" i="57"/>
  <c r="F31" i="57"/>
  <c r="E31" i="57"/>
  <c r="D31" i="57"/>
  <c r="Q30" i="57"/>
  <c r="P30" i="57"/>
  <c r="Q29" i="57"/>
  <c r="P29" i="57"/>
  <c r="Q28" i="57"/>
  <c r="P28" i="57"/>
  <c r="Q27" i="57"/>
  <c r="Q31" i="57" s="1"/>
  <c r="P27" i="57"/>
  <c r="P31" i="57" s="1"/>
  <c r="Q25" i="57"/>
  <c r="O25" i="57"/>
  <c r="N25" i="57"/>
  <c r="M25" i="57"/>
  <c r="L25" i="57"/>
  <c r="J25" i="57"/>
  <c r="I25" i="57"/>
  <c r="H25" i="57"/>
  <c r="G25" i="57"/>
  <c r="F25" i="57"/>
  <c r="E25" i="57"/>
  <c r="D25" i="57"/>
  <c r="Q24" i="57"/>
  <c r="P24" i="57"/>
  <c r="Q23" i="57"/>
  <c r="P23" i="57"/>
  <c r="Q22" i="57"/>
  <c r="P22" i="57"/>
  <c r="P25" i="57" s="1"/>
  <c r="O20" i="57"/>
  <c r="N20" i="57"/>
  <c r="M20" i="57"/>
  <c r="L20" i="57"/>
  <c r="J20" i="57"/>
  <c r="I20" i="57"/>
  <c r="H20" i="57"/>
  <c r="G20" i="57"/>
  <c r="F20" i="57"/>
  <c r="E20" i="57"/>
  <c r="D20" i="57"/>
  <c r="Q19" i="57"/>
  <c r="P19" i="57"/>
  <c r="Q18" i="57"/>
  <c r="P18" i="57"/>
  <c r="Q17" i="57"/>
  <c r="P17" i="57"/>
  <c r="Q16" i="57"/>
  <c r="P16" i="57"/>
  <c r="Q15" i="57"/>
  <c r="Q20" i="57" s="1"/>
  <c r="P15" i="57"/>
  <c r="O13" i="57"/>
  <c r="N13" i="57"/>
  <c r="M13" i="57"/>
  <c r="M36" i="57" s="1"/>
  <c r="M37" i="57" s="1"/>
  <c r="M38" i="57" s="1"/>
  <c r="M40" i="57" s="1"/>
  <c r="L13" i="57"/>
  <c r="L36" i="57" s="1"/>
  <c r="L37" i="57" s="1"/>
  <c r="L38" i="57" s="1"/>
  <c r="J13" i="57"/>
  <c r="J36" i="57" s="1"/>
  <c r="J37" i="57" s="1"/>
  <c r="J38" i="57" s="1"/>
  <c r="I13" i="57"/>
  <c r="I36" i="57" s="1"/>
  <c r="I37" i="57" s="1"/>
  <c r="I38" i="57" s="1"/>
  <c r="I40" i="57" s="1"/>
  <c r="H13" i="57"/>
  <c r="G13" i="57"/>
  <c r="G36" i="57" s="1"/>
  <c r="G37" i="57" s="1"/>
  <c r="G38" i="57" s="1"/>
  <c r="G40" i="57" s="1"/>
  <c r="F13" i="57"/>
  <c r="F36" i="57" s="1"/>
  <c r="F37" i="57" s="1"/>
  <c r="F38" i="57" s="1"/>
  <c r="F40" i="57" s="1"/>
  <c r="E13" i="57"/>
  <c r="D13" i="57"/>
  <c r="D36" i="57" s="1"/>
  <c r="D37" i="57" s="1"/>
  <c r="D38" i="57" s="1"/>
  <c r="D40" i="57" s="1"/>
  <c r="Q12" i="57"/>
  <c r="P12" i="57"/>
  <c r="Q11" i="57"/>
  <c r="P11" i="57"/>
  <c r="Q10" i="57"/>
  <c r="Q13" i="57" s="1"/>
  <c r="P10" i="57"/>
  <c r="P13" i="57" s="1"/>
  <c r="M151" i="56"/>
  <c r="I151" i="56"/>
  <c r="H151" i="56"/>
  <c r="F151" i="56"/>
  <c r="Q150" i="56"/>
  <c r="Q151" i="56" s="1"/>
  <c r="O150" i="56"/>
  <c r="O151" i="56" s="1"/>
  <c r="N150" i="56"/>
  <c r="N151" i="56" s="1"/>
  <c r="M150" i="56"/>
  <c r="L150" i="56"/>
  <c r="L151" i="56" s="1"/>
  <c r="J150" i="56"/>
  <c r="J151" i="56" s="1"/>
  <c r="I150" i="56"/>
  <c r="H150" i="56"/>
  <c r="G150" i="56"/>
  <c r="G151" i="56" s="1"/>
  <c r="F150" i="56"/>
  <c r="E150" i="56"/>
  <c r="E151" i="56" s="1"/>
  <c r="D150" i="56"/>
  <c r="D151" i="56" s="1"/>
  <c r="Q147" i="56"/>
  <c r="P147" i="56"/>
  <c r="P150" i="56" s="1"/>
  <c r="P151" i="56" s="1"/>
  <c r="O143" i="56"/>
  <c r="N143" i="56"/>
  <c r="M143" i="56"/>
  <c r="L143" i="56"/>
  <c r="J143" i="56"/>
  <c r="I143" i="56"/>
  <c r="H143" i="56"/>
  <c r="G143" i="56"/>
  <c r="F143" i="56"/>
  <c r="E143" i="56"/>
  <c r="D143" i="56"/>
  <c r="Q142" i="56"/>
  <c r="Q143" i="56" s="1"/>
  <c r="P142" i="56"/>
  <c r="P143" i="56" s="1"/>
  <c r="Q140" i="56"/>
  <c r="O140" i="56"/>
  <c r="N140" i="56"/>
  <c r="M140" i="56"/>
  <c r="L140" i="56"/>
  <c r="J140" i="56"/>
  <c r="I140" i="56"/>
  <c r="H140" i="56"/>
  <c r="G140" i="56"/>
  <c r="F140" i="56"/>
  <c r="E140" i="56"/>
  <c r="D140" i="56"/>
  <c r="Q139" i="56"/>
  <c r="P139" i="56"/>
  <c r="P140" i="56" s="1"/>
  <c r="O137" i="56"/>
  <c r="N137" i="56"/>
  <c r="M137" i="56"/>
  <c r="L137" i="56"/>
  <c r="J137" i="56"/>
  <c r="I137" i="56"/>
  <c r="H137" i="56"/>
  <c r="G137" i="56"/>
  <c r="F137" i="56"/>
  <c r="E137" i="56"/>
  <c r="D137" i="56"/>
  <c r="Q136" i="56"/>
  <c r="Q137" i="56" s="1"/>
  <c r="P136" i="56"/>
  <c r="P137" i="56" s="1"/>
  <c r="Q134" i="56"/>
  <c r="O134" i="56"/>
  <c r="N134" i="56"/>
  <c r="M134" i="56"/>
  <c r="L134" i="56"/>
  <c r="J134" i="56"/>
  <c r="I134" i="56"/>
  <c r="H134" i="56"/>
  <c r="G134" i="56"/>
  <c r="F134" i="56"/>
  <c r="E134" i="56"/>
  <c r="D134" i="56"/>
  <c r="Q133" i="56"/>
  <c r="P133" i="56"/>
  <c r="Q132" i="56"/>
  <c r="P132" i="56"/>
  <c r="P134" i="56" s="1"/>
  <c r="Q130" i="56"/>
  <c r="P130" i="56"/>
  <c r="O130" i="56"/>
  <c r="N130" i="56"/>
  <c r="M130" i="56"/>
  <c r="L130" i="56"/>
  <c r="J130" i="56"/>
  <c r="I130" i="56"/>
  <c r="H130" i="56"/>
  <c r="G130" i="56"/>
  <c r="F130" i="56"/>
  <c r="E130" i="56"/>
  <c r="D130" i="56"/>
  <c r="Q129" i="56"/>
  <c r="P129" i="56"/>
  <c r="Q128" i="56"/>
  <c r="P128" i="56"/>
  <c r="Q127" i="56"/>
  <c r="P127" i="56"/>
  <c r="Q126" i="56"/>
  <c r="P126" i="56"/>
  <c r="O124" i="56"/>
  <c r="N124" i="56"/>
  <c r="N144" i="56" s="1"/>
  <c r="M124" i="56"/>
  <c r="M144" i="56" s="1"/>
  <c r="L124" i="56"/>
  <c r="L144" i="56" s="1"/>
  <c r="J124" i="56"/>
  <c r="J144" i="56" s="1"/>
  <c r="I124" i="56"/>
  <c r="I144" i="56" s="1"/>
  <c r="H124" i="56"/>
  <c r="G124" i="56"/>
  <c r="F124" i="56"/>
  <c r="F144" i="56" s="1"/>
  <c r="E124" i="56"/>
  <c r="E144" i="56" s="1"/>
  <c r="D124" i="56"/>
  <c r="Q123" i="56"/>
  <c r="P123" i="56"/>
  <c r="Q122" i="56"/>
  <c r="P122" i="56"/>
  <c r="Q121" i="56"/>
  <c r="P121" i="56"/>
  <c r="Q120" i="56"/>
  <c r="P120" i="56"/>
  <c r="I117" i="56"/>
  <c r="Q116" i="56"/>
  <c r="O116" i="56"/>
  <c r="N116" i="56"/>
  <c r="M116" i="56"/>
  <c r="L116" i="56"/>
  <c r="J116" i="56"/>
  <c r="I116" i="56"/>
  <c r="H116" i="56"/>
  <c r="G116" i="56"/>
  <c r="F116" i="56"/>
  <c r="E116" i="56"/>
  <c r="D116" i="56"/>
  <c r="Q115" i="56"/>
  <c r="P115" i="56"/>
  <c r="P116" i="56" s="1"/>
  <c r="O113" i="56"/>
  <c r="N113" i="56"/>
  <c r="M113" i="56"/>
  <c r="L113" i="56"/>
  <c r="J113" i="56"/>
  <c r="I113" i="56"/>
  <c r="H113" i="56"/>
  <c r="G113" i="56"/>
  <c r="F113" i="56"/>
  <c r="E113" i="56"/>
  <c r="D113" i="56"/>
  <c r="Q112" i="56"/>
  <c r="Q113" i="56" s="1"/>
  <c r="P112" i="56"/>
  <c r="P113" i="56" s="1"/>
  <c r="Q110" i="56"/>
  <c r="O110" i="56"/>
  <c r="N110" i="56"/>
  <c r="M110" i="56"/>
  <c r="L110" i="56"/>
  <c r="J110" i="56"/>
  <c r="I110" i="56"/>
  <c r="H110" i="56"/>
  <c r="G110" i="56"/>
  <c r="F110" i="56"/>
  <c r="E110" i="56"/>
  <c r="D110" i="56"/>
  <c r="D117" i="56" s="1"/>
  <c r="Q109" i="56"/>
  <c r="P109" i="56"/>
  <c r="P110" i="56" s="1"/>
  <c r="O107" i="56"/>
  <c r="N107" i="56"/>
  <c r="M107" i="56"/>
  <c r="L107" i="56"/>
  <c r="J107" i="56"/>
  <c r="I107" i="56"/>
  <c r="H107" i="56"/>
  <c r="G107" i="56"/>
  <c r="F107" i="56"/>
  <c r="E107" i="56"/>
  <c r="D107" i="56"/>
  <c r="Q106" i="56"/>
  <c r="Q107" i="56" s="1"/>
  <c r="P106" i="56"/>
  <c r="P107" i="56" s="1"/>
  <c r="O104" i="56"/>
  <c r="N104" i="56"/>
  <c r="M104" i="56"/>
  <c r="L104" i="56"/>
  <c r="J104" i="56"/>
  <c r="J117" i="56" s="1"/>
  <c r="I104" i="56"/>
  <c r="H104" i="56"/>
  <c r="G104" i="56"/>
  <c r="F104" i="56"/>
  <c r="E104" i="56"/>
  <c r="D104" i="56"/>
  <c r="Q103" i="56"/>
  <c r="P103" i="56"/>
  <c r="Q102" i="56"/>
  <c r="P102" i="56"/>
  <c r="Q101" i="56"/>
  <c r="P101" i="56"/>
  <c r="Q100" i="56"/>
  <c r="P100" i="56"/>
  <c r="O98" i="56"/>
  <c r="O117" i="56" s="1"/>
  <c r="N98" i="56"/>
  <c r="N117" i="56" s="1"/>
  <c r="M98" i="56"/>
  <c r="M117" i="56" s="1"/>
  <c r="L98" i="56"/>
  <c r="L117" i="56" s="1"/>
  <c r="J98" i="56"/>
  <c r="I98" i="56"/>
  <c r="H98" i="56"/>
  <c r="H117" i="56" s="1"/>
  <c r="G98" i="56"/>
  <c r="G117" i="56" s="1"/>
  <c r="F98" i="56"/>
  <c r="F117" i="56" s="1"/>
  <c r="E98" i="56"/>
  <c r="E117" i="56" s="1"/>
  <c r="D98" i="56"/>
  <c r="Q96" i="56"/>
  <c r="P96" i="56"/>
  <c r="P98" i="56" s="1"/>
  <c r="Q95" i="56"/>
  <c r="Q98" i="56" s="1"/>
  <c r="P95" i="56"/>
  <c r="N92" i="56"/>
  <c r="M92" i="56"/>
  <c r="G92" i="56"/>
  <c r="O91" i="56"/>
  <c r="N91" i="56"/>
  <c r="M91" i="56"/>
  <c r="L91" i="56"/>
  <c r="J91" i="56"/>
  <c r="I91" i="56"/>
  <c r="H91" i="56"/>
  <c r="G91" i="56"/>
  <c r="F91" i="56"/>
  <c r="E91" i="56"/>
  <c r="D91" i="56"/>
  <c r="Q90" i="56"/>
  <c r="P90" i="56"/>
  <c r="Q89" i="56"/>
  <c r="P89" i="56"/>
  <c r="Q88" i="56"/>
  <c r="P88" i="56"/>
  <c r="Q87" i="56"/>
  <c r="P87" i="56"/>
  <c r="O85" i="56"/>
  <c r="N85" i="56"/>
  <c r="M85" i="56"/>
  <c r="L85" i="56"/>
  <c r="J85" i="56"/>
  <c r="I85" i="56"/>
  <c r="H85" i="56"/>
  <c r="G85" i="56"/>
  <c r="F85" i="56"/>
  <c r="E85" i="56"/>
  <c r="D85" i="56"/>
  <c r="Q84" i="56"/>
  <c r="P84" i="56"/>
  <c r="Q83" i="56"/>
  <c r="P83" i="56"/>
  <c r="Q82" i="56"/>
  <c r="Q85" i="56" s="1"/>
  <c r="P82" i="56"/>
  <c r="P85" i="56" s="1"/>
  <c r="O80" i="56"/>
  <c r="N80" i="56"/>
  <c r="M80" i="56"/>
  <c r="L80" i="56"/>
  <c r="J80" i="56"/>
  <c r="I80" i="56"/>
  <c r="H80" i="56"/>
  <c r="G80" i="56"/>
  <c r="F80" i="56"/>
  <c r="E80" i="56"/>
  <c r="D80" i="56"/>
  <c r="Q79" i="56"/>
  <c r="P79" i="56"/>
  <c r="Q78" i="56"/>
  <c r="P78" i="56"/>
  <c r="Q77" i="56"/>
  <c r="P77" i="56"/>
  <c r="Q76" i="56"/>
  <c r="P76" i="56"/>
  <c r="Q75" i="56"/>
  <c r="Q80" i="56" s="1"/>
  <c r="P75" i="56"/>
  <c r="P80" i="56" s="1"/>
  <c r="Q72" i="56"/>
  <c r="O72" i="56"/>
  <c r="O92" i="56" s="1"/>
  <c r="N72" i="56"/>
  <c r="M72" i="56"/>
  <c r="L72" i="56"/>
  <c r="J72" i="56"/>
  <c r="I72" i="56"/>
  <c r="I92" i="56" s="1"/>
  <c r="H72" i="56"/>
  <c r="H92" i="56" s="1"/>
  <c r="G72" i="56"/>
  <c r="F72" i="56"/>
  <c r="F92" i="56" s="1"/>
  <c r="E72" i="56"/>
  <c r="D72" i="56"/>
  <c r="D92" i="56" s="1"/>
  <c r="Q71" i="56"/>
  <c r="P71" i="56"/>
  <c r="Q70" i="56"/>
  <c r="P70" i="56"/>
  <c r="Q69" i="56"/>
  <c r="P69" i="56"/>
  <c r="Q68" i="56"/>
  <c r="P68" i="56"/>
  <c r="Q67" i="56"/>
  <c r="P67" i="56"/>
  <c r="Q66" i="56"/>
  <c r="P66" i="56"/>
  <c r="P72" i="56" s="1"/>
  <c r="F63" i="56"/>
  <c r="E63" i="56"/>
  <c r="O62" i="56"/>
  <c r="N62" i="56"/>
  <c r="M62" i="56"/>
  <c r="L62" i="56"/>
  <c r="J62" i="56"/>
  <c r="I62" i="56"/>
  <c r="H62" i="56"/>
  <c r="G62" i="56"/>
  <c r="F62" i="56"/>
  <c r="E62" i="56"/>
  <c r="D62" i="56"/>
  <c r="Q61" i="56"/>
  <c r="Q62" i="56" s="1"/>
  <c r="P61" i="56"/>
  <c r="P62" i="56" s="1"/>
  <c r="Q59" i="56"/>
  <c r="O59" i="56"/>
  <c r="N59" i="56"/>
  <c r="M59" i="56"/>
  <c r="L59" i="56"/>
  <c r="J59" i="56"/>
  <c r="I59" i="56"/>
  <c r="H59" i="56"/>
  <c r="G59" i="56"/>
  <c r="F59" i="56"/>
  <c r="E59" i="56"/>
  <c r="D59" i="56"/>
  <c r="Q58" i="56"/>
  <c r="P58" i="56"/>
  <c r="P59" i="56" s="1"/>
  <c r="O56" i="56"/>
  <c r="O63" i="56" s="1"/>
  <c r="N56" i="56"/>
  <c r="N63" i="56" s="1"/>
  <c r="M56" i="56"/>
  <c r="M63" i="56" s="1"/>
  <c r="L56" i="56"/>
  <c r="L63" i="56" s="1"/>
  <c r="J56" i="56"/>
  <c r="J63" i="56" s="1"/>
  <c r="I56" i="56"/>
  <c r="H56" i="56"/>
  <c r="H63" i="56" s="1"/>
  <c r="G56" i="56"/>
  <c r="G63" i="56" s="1"/>
  <c r="F56" i="56"/>
  <c r="E56" i="56"/>
  <c r="D56" i="56"/>
  <c r="D63" i="56" s="1"/>
  <c r="Q55" i="56"/>
  <c r="P55" i="56"/>
  <c r="Q54" i="56"/>
  <c r="P54" i="56"/>
  <c r="Q53" i="56"/>
  <c r="P53" i="56"/>
  <c r="Q52" i="56"/>
  <c r="P52" i="56"/>
  <c r="P56" i="56" s="1"/>
  <c r="J49" i="56"/>
  <c r="I49" i="56"/>
  <c r="Q48" i="56"/>
  <c r="O48" i="56"/>
  <c r="N48" i="56"/>
  <c r="M48" i="56"/>
  <c r="L48" i="56"/>
  <c r="J48" i="56"/>
  <c r="I48" i="56"/>
  <c r="H48" i="56"/>
  <c r="G48" i="56"/>
  <c r="F48" i="56"/>
  <c r="E48" i="56"/>
  <c r="D48" i="56"/>
  <c r="Q46" i="56"/>
  <c r="P46" i="56"/>
  <c r="P48" i="56" s="1"/>
  <c r="O44" i="56"/>
  <c r="N44" i="56"/>
  <c r="M44" i="56"/>
  <c r="L44" i="56"/>
  <c r="J44" i="56"/>
  <c r="I44" i="56"/>
  <c r="H44" i="56"/>
  <c r="G44" i="56"/>
  <c r="F44" i="56"/>
  <c r="E44" i="56"/>
  <c r="D44" i="56"/>
  <c r="Q43" i="56"/>
  <c r="P43" i="56"/>
  <c r="Q42" i="56"/>
  <c r="P42" i="56"/>
  <c r="Q41" i="56"/>
  <c r="P41" i="56"/>
  <c r="Q40" i="56"/>
  <c r="P40" i="56"/>
  <c r="Q39" i="56"/>
  <c r="P39" i="56"/>
  <c r="Q38" i="56"/>
  <c r="P38" i="56"/>
  <c r="Q37" i="56"/>
  <c r="Q44" i="56" s="1"/>
  <c r="P37" i="56"/>
  <c r="P44" i="56" s="1"/>
  <c r="L35" i="56"/>
  <c r="J35" i="56"/>
  <c r="I35" i="56"/>
  <c r="H35" i="56"/>
  <c r="G35" i="56"/>
  <c r="F35" i="56"/>
  <c r="E35" i="56"/>
  <c r="D35" i="56"/>
  <c r="O34" i="56"/>
  <c r="O35" i="56" s="1"/>
  <c r="N34" i="56"/>
  <c r="Q34" i="56" s="1"/>
  <c r="Q35" i="56" s="1"/>
  <c r="M34" i="56"/>
  <c r="M35" i="56" s="1"/>
  <c r="L34" i="56"/>
  <c r="Q33" i="56"/>
  <c r="P33" i="56"/>
  <c r="Q32" i="56"/>
  <c r="P32" i="56"/>
  <c r="O30" i="56"/>
  <c r="J30" i="56"/>
  <c r="I30" i="56"/>
  <c r="H30" i="56"/>
  <c r="G30" i="56"/>
  <c r="F30" i="56"/>
  <c r="E30" i="56"/>
  <c r="D30" i="56"/>
  <c r="Q29" i="56"/>
  <c r="P29" i="56"/>
  <c r="N28" i="56"/>
  <c r="N30" i="56" s="1"/>
  <c r="M28" i="56"/>
  <c r="M30" i="56" s="1"/>
  <c r="L28" i="56"/>
  <c r="L30" i="56" s="1"/>
  <c r="O26" i="56"/>
  <c r="N26" i="56"/>
  <c r="M26" i="56"/>
  <c r="L26" i="56"/>
  <c r="J26" i="56"/>
  <c r="I26" i="56"/>
  <c r="H26" i="56"/>
  <c r="G26" i="56"/>
  <c r="F26" i="56"/>
  <c r="E26" i="56"/>
  <c r="D26" i="56"/>
  <c r="Q25" i="56"/>
  <c r="P25" i="56"/>
  <c r="Q24" i="56"/>
  <c r="P24" i="56"/>
  <c r="Q23" i="56"/>
  <c r="Q26" i="56" s="1"/>
  <c r="P23" i="56"/>
  <c r="O21" i="56"/>
  <c r="N21" i="56"/>
  <c r="M21" i="56"/>
  <c r="L21" i="56"/>
  <c r="J21" i="56"/>
  <c r="I21" i="56"/>
  <c r="H21" i="56"/>
  <c r="G21" i="56"/>
  <c r="F21" i="56"/>
  <c r="E21" i="56"/>
  <c r="D21" i="56"/>
  <c r="Q20" i="56"/>
  <c r="P20" i="56"/>
  <c r="Q19" i="56"/>
  <c r="P19" i="56"/>
  <c r="Q18" i="56"/>
  <c r="P18" i="56"/>
  <c r="Q17" i="56"/>
  <c r="P17" i="56"/>
  <c r="Q16" i="56"/>
  <c r="Q21" i="56" s="1"/>
  <c r="P16" i="56"/>
  <c r="P21" i="56" s="1"/>
  <c r="O14" i="56"/>
  <c r="N14" i="56"/>
  <c r="M14" i="56"/>
  <c r="L14" i="56"/>
  <c r="J14" i="56"/>
  <c r="I14" i="56"/>
  <c r="H14" i="56"/>
  <c r="H49" i="56" s="1"/>
  <c r="G14" i="56"/>
  <c r="F14" i="56"/>
  <c r="E14" i="56"/>
  <c r="E49" i="56" s="1"/>
  <c r="D14" i="56"/>
  <c r="Q13" i="56"/>
  <c r="P13" i="56"/>
  <c r="Q12" i="56"/>
  <c r="P12" i="56"/>
  <c r="Q11" i="56"/>
  <c r="P11" i="56"/>
  <c r="Q10" i="56"/>
  <c r="Q14" i="56" s="1"/>
  <c r="P10" i="56"/>
  <c r="P14" i="56" s="1"/>
  <c r="O177" i="55"/>
  <c r="H177" i="55"/>
  <c r="G177" i="55"/>
  <c r="P176" i="55"/>
  <c r="O176" i="55"/>
  <c r="N176" i="55"/>
  <c r="M176" i="55"/>
  <c r="L176" i="55"/>
  <c r="J176" i="55"/>
  <c r="I176" i="55"/>
  <c r="H176" i="55"/>
  <c r="G176" i="55"/>
  <c r="F176" i="55"/>
  <c r="E176" i="55"/>
  <c r="D176" i="55"/>
  <c r="Q175" i="55"/>
  <c r="Q176" i="55" s="1"/>
  <c r="P175" i="55"/>
  <c r="Q173" i="55"/>
  <c r="O173" i="55"/>
  <c r="N173" i="55"/>
  <c r="M173" i="55"/>
  <c r="L173" i="55"/>
  <c r="J173" i="55"/>
  <c r="I173" i="55"/>
  <c r="H173" i="55"/>
  <c r="G173" i="55"/>
  <c r="F173" i="55"/>
  <c r="E173" i="55"/>
  <c r="D173" i="55"/>
  <c r="Q172" i="55"/>
  <c r="P172" i="55"/>
  <c r="P173" i="55" s="1"/>
  <c r="P170" i="55"/>
  <c r="O170" i="55"/>
  <c r="N170" i="55"/>
  <c r="M170" i="55"/>
  <c r="L170" i="55"/>
  <c r="J170" i="55"/>
  <c r="I170" i="55"/>
  <c r="H170" i="55"/>
  <c r="G170" i="55"/>
  <c r="F170" i="55"/>
  <c r="E170" i="55"/>
  <c r="D170" i="55"/>
  <c r="Q169" i="55"/>
  <c r="P169" i="55"/>
  <c r="Q168" i="55"/>
  <c r="P168" i="55"/>
  <c r="Q167" i="55"/>
  <c r="P167" i="55"/>
  <c r="Q165" i="55"/>
  <c r="O165" i="55"/>
  <c r="N165" i="55"/>
  <c r="N177" i="55" s="1"/>
  <c r="M165" i="55"/>
  <c r="M177" i="55" s="1"/>
  <c r="L165" i="55"/>
  <c r="L177" i="55" s="1"/>
  <c r="J165" i="55"/>
  <c r="J177" i="55" s="1"/>
  <c r="I165" i="55"/>
  <c r="I177" i="55" s="1"/>
  <c r="H165" i="55"/>
  <c r="G165" i="55"/>
  <c r="F165" i="55"/>
  <c r="E165" i="55"/>
  <c r="E177" i="55" s="1"/>
  <c r="D165" i="55"/>
  <c r="D177" i="55" s="1"/>
  <c r="Q164" i="55"/>
  <c r="P164" i="55"/>
  <c r="Q163" i="55"/>
  <c r="P163" i="55"/>
  <c r="P165" i="55" s="1"/>
  <c r="P177" i="55" s="1"/>
  <c r="I160" i="55"/>
  <c r="J159" i="55"/>
  <c r="I159" i="55"/>
  <c r="H159" i="55"/>
  <c r="G159" i="55"/>
  <c r="F159" i="55"/>
  <c r="E159" i="55"/>
  <c r="D159" i="55"/>
  <c r="Q158" i="55"/>
  <c r="Q159" i="55" s="1"/>
  <c r="O158" i="55"/>
  <c r="O159" i="55" s="1"/>
  <c r="O160" i="55" s="1"/>
  <c r="N158" i="55"/>
  <c r="P158" i="55" s="1"/>
  <c r="P159" i="55" s="1"/>
  <c r="M158" i="55"/>
  <c r="M159" i="55" s="1"/>
  <c r="L158" i="55"/>
  <c r="L159" i="55" s="1"/>
  <c r="O156" i="55"/>
  <c r="N156" i="55"/>
  <c r="M156" i="55"/>
  <c r="L156" i="55"/>
  <c r="J156" i="55"/>
  <c r="I156" i="55"/>
  <c r="H156" i="55"/>
  <c r="G156" i="55"/>
  <c r="F156" i="55"/>
  <c r="E156" i="55"/>
  <c r="D156" i="55"/>
  <c r="Q155" i="55"/>
  <c r="P155" i="55"/>
  <c r="Q154" i="55"/>
  <c r="P154" i="55"/>
  <c r="Q153" i="55"/>
  <c r="Q156" i="55" s="1"/>
  <c r="P153" i="55"/>
  <c r="P156" i="55" s="1"/>
  <c r="O151" i="55"/>
  <c r="N151" i="55"/>
  <c r="M151" i="55"/>
  <c r="L151" i="55"/>
  <c r="J151" i="55"/>
  <c r="I151" i="55"/>
  <c r="H151" i="55"/>
  <c r="G151" i="55"/>
  <c r="F151" i="55"/>
  <c r="E151" i="55"/>
  <c r="D151" i="55"/>
  <c r="Q150" i="55"/>
  <c r="Q151" i="55" s="1"/>
  <c r="P150" i="55"/>
  <c r="P151" i="55" s="1"/>
  <c r="P148" i="55"/>
  <c r="O148" i="55"/>
  <c r="N148" i="55"/>
  <c r="M148" i="55"/>
  <c r="L148" i="55"/>
  <c r="J148" i="55"/>
  <c r="I148" i="55"/>
  <c r="H148" i="55"/>
  <c r="G148" i="55"/>
  <c r="F148" i="55"/>
  <c r="E148" i="55"/>
  <c r="D148" i="55"/>
  <c r="Q147" i="55"/>
  <c r="Q148" i="55" s="1"/>
  <c r="P147" i="55"/>
  <c r="O145" i="55"/>
  <c r="N145" i="55"/>
  <c r="M145" i="55"/>
  <c r="L145" i="55"/>
  <c r="J145" i="55"/>
  <c r="I145" i="55"/>
  <c r="H145" i="55"/>
  <c r="G145" i="55"/>
  <c r="F145" i="55"/>
  <c r="E145" i="55"/>
  <c r="D145" i="55"/>
  <c r="Q144" i="55"/>
  <c r="P144" i="55"/>
  <c r="Q143" i="55"/>
  <c r="P143" i="55"/>
  <c r="Q142" i="55"/>
  <c r="Q145" i="55" s="1"/>
  <c r="P142" i="55"/>
  <c r="O140" i="55"/>
  <c r="N140" i="55"/>
  <c r="M140" i="55"/>
  <c r="L140" i="55"/>
  <c r="J140" i="55"/>
  <c r="I140" i="55"/>
  <c r="H140" i="55"/>
  <c r="G140" i="55"/>
  <c r="F140" i="55"/>
  <c r="E140" i="55"/>
  <c r="D140" i="55"/>
  <c r="Q139" i="55"/>
  <c r="P139" i="55"/>
  <c r="Q138" i="55"/>
  <c r="P138" i="55"/>
  <c r="P140" i="55" s="1"/>
  <c r="Q137" i="55"/>
  <c r="P137" i="55"/>
  <c r="Q136" i="55"/>
  <c r="Q140" i="55" s="1"/>
  <c r="P136" i="55"/>
  <c r="P134" i="55"/>
  <c r="O134" i="55"/>
  <c r="N134" i="55"/>
  <c r="M134" i="55"/>
  <c r="L134" i="55"/>
  <c r="J134" i="55"/>
  <c r="J160" i="55" s="1"/>
  <c r="I134" i="55"/>
  <c r="H134" i="55"/>
  <c r="H160" i="55" s="1"/>
  <c r="G134" i="55"/>
  <c r="G160" i="55" s="1"/>
  <c r="F134" i="55"/>
  <c r="F160" i="55" s="1"/>
  <c r="E134" i="55"/>
  <c r="E160" i="55" s="1"/>
  <c r="D134" i="55"/>
  <c r="Q133" i="55"/>
  <c r="Q134" i="55" s="1"/>
  <c r="P133" i="55"/>
  <c r="Q132" i="55"/>
  <c r="P132" i="55"/>
  <c r="Q131" i="55"/>
  <c r="P131" i="55"/>
  <c r="Q130" i="55"/>
  <c r="P130" i="55"/>
  <c r="Q129" i="55"/>
  <c r="P129" i="55"/>
  <c r="O126" i="55"/>
  <c r="P125" i="55"/>
  <c r="O125" i="55"/>
  <c r="N125" i="55"/>
  <c r="M125" i="55"/>
  <c r="L125" i="55"/>
  <c r="J125" i="55"/>
  <c r="I125" i="55"/>
  <c r="H125" i="55"/>
  <c r="G125" i="55"/>
  <c r="F125" i="55"/>
  <c r="E125" i="55"/>
  <c r="D125" i="55"/>
  <c r="Q124" i="55"/>
  <c r="Q125" i="55" s="1"/>
  <c r="P124" i="55"/>
  <c r="Q123" i="55"/>
  <c r="P123" i="55"/>
  <c r="P121" i="55"/>
  <c r="O121" i="55"/>
  <c r="N121" i="55"/>
  <c r="M121" i="55"/>
  <c r="L121" i="55"/>
  <c r="J121" i="55"/>
  <c r="I121" i="55"/>
  <c r="I126" i="55" s="1"/>
  <c r="H121" i="55"/>
  <c r="G121" i="55"/>
  <c r="F121" i="55"/>
  <c r="E121" i="55"/>
  <c r="D121" i="55"/>
  <c r="Q119" i="55"/>
  <c r="Q121" i="55" s="1"/>
  <c r="P119" i="55"/>
  <c r="O117" i="55"/>
  <c r="N117" i="55"/>
  <c r="M117" i="55"/>
  <c r="L117" i="55"/>
  <c r="J117" i="55"/>
  <c r="I117" i="55"/>
  <c r="H117" i="55"/>
  <c r="G117" i="55"/>
  <c r="F117" i="55"/>
  <c r="E117" i="55"/>
  <c r="D117" i="55"/>
  <c r="Q116" i="55"/>
  <c r="P116" i="55"/>
  <c r="Q115" i="55"/>
  <c r="P115" i="55"/>
  <c r="Q114" i="55"/>
  <c r="Q117" i="55" s="1"/>
  <c r="P114" i="55"/>
  <c r="O112" i="55"/>
  <c r="N112" i="55"/>
  <c r="M112" i="55"/>
  <c r="L112" i="55"/>
  <c r="J112" i="55"/>
  <c r="I112" i="55"/>
  <c r="H112" i="55"/>
  <c r="G112" i="55"/>
  <c r="F112" i="55"/>
  <c r="E112" i="55"/>
  <c r="D112" i="55"/>
  <c r="Q111" i="55"/>
  <c r="P111" i="55"/>
  <c r="Q110" i="55"/>
  <c r="P110" i="55"/>
  <c r="Q109" i="55"/>
  <c r="P109" i="55"/>
  <c r="Q108" i="55"/>
  <c r="P108" i="55"/>
  <c r="P112" i="55" s="1"/>
  <c r="Q105" i="55"/>
  <c r="O105" i="55"/>
  <c r="N105" i="55"/>
  <c r="M105" i="55"/>
  <c r="L105" i="55"/>
  <c r="J105" i="55"/>
  <c r="J126" i="55" s="1"/>
  <c r="I105" i="55"/>
  <c r="H105" i="55"/>
  <c r="G105" i="55"/>
  <c r="F105" i="55"/>
  <c r="E105" i="55"/>
  <c r="E126" i="55" s="1"/>
  <c r="D105" i="55"/>
  <c r="D126" i="55" s="1"/>
  <c r="Q104" i="55"/>
  <c r="P104" i="55"/>
  <c r="Q103" i="55"/>
  <c r="P103" i="55"/>
  <c r="Q102" i="55"/>
  <c r="P102" i="55"/>
  <c r="Q101" i="55"/>
  <c r="P101" i="55"/>
  <c r="Q100" i="55"/>
  <c r="P100" i="55"/>
  <c r="Q99" i="55"/>
  <c r="P99" i="55"/>
  <c r="P105" i="55" s="1"/>
  <c r="L96" i="55"/>
  <c r="D96" i="55"/>
  <c r="O95" i="55"/>
  <c r="N95" i="55"/>
  <c r="M95" i="55"/>
  <c r="L95" i="55"/>
  <c r="J95" i="55"/>
  <c r="I95" i="55"/>
  <c r="H95" i="55"/>
  <c r="G95" i="55"/>
  <c r="F95" i="55"/>
  <c r="E95" i="55"/>
  <c r="E96" i="55" s="1"/>
  <c r="D95" i="55"/>
  <c r="Q94" i="55"/>
  <c r="Q95" i="55" s="1"/>
  <c r="P94" i="55"/>
  <c r="P95" i="55" s="1"/>
  <c r="P92" i="55"/>
  <c r="O92" i="55"/>
  <c r="N92" i="55"/>
  <c r="M92" i="55"/>
  <c r="L92" i="55"/>
  <c r="J92" i="55"/>
  <c r="I92" i="55"/>
  <c r="H92" i="55"/>
  <c r="G92" i="55"/>
  <c r="F92" i="55"/>
  <c r="E92" i="55"/>
  <c r="D92" i="55"/>
  <c r="Q91" i="55"/>
  <c r="P91" i="55"/>
  <c r="Q90" i="55"/>
  <c r="P90" i="55"/>
  <c r="P88" i="55"/>
  <c r="O88" i="55"/>
  <c r="N88" i="55"/>
  <c r="M88" i="55"/>
  <c r="L88" i="55"/>
  <c r="J88" i="55"/>
  <c r="I88" i="55"/>
  <c r="H88" i="55"/>
  <c r="G88" i="55"/>
  <c r="F88" i="55"/>
  <c r="E88" i="55"/>
  <c r="D88" i="55"/>
  <c r="Q87" i="55"/>
  <c r="Q88" i="55" s="1"/>
  <c r="P87" i="55"/>
  <c r="Q85" i="55"/>
  <c r="O85" i="55"/>
  <c r="N85" i="55"/>
  <c r="M85" i="55"/>
  <c r="L85" i="55"/>
  <c r="J85" i="55"/>
  <c r="I85" i="55"/>
  <c r="H85" i="55"/>
  <c r="G85" i="55"/>
  <c r="F85" i="55"/>
  <c r="E85" i="55"/>
  <c r="D85" i="55"/>
  <c r="Q84" i="55"/>
  <c r="P84" i="55"/>
  <c r="Q83" i="55"/>
  <c r="P83" i="55"/>
  <c r="Q82" i="55"/>
  <c r="P82" i="55"/>
  <c r="P85" i="55" s="1"/>
  <c r="O80" i="55"/>
  <c r="N80" i="55"/>
  <c r="M80" i="55"/>
  <c r="L80" i="55"/>
  <c r="J80" i="55"/>
  <c r="I80" i="55"/>
  <c r="H80" i="55"/>
  <c r="G80" i="55"/>
  <c r="F80" i="55"/>
  <c r="E80" i="55"/>
  <c r="D80" i="55"/>
  <c r="Q79" i="55"/>
  <c r="P79" i="55"/>
  <c r="Q78" i="55"/>
  <c r="P78" i="55"/>
  <c r="Q77" i="55"/>
  <c r="Q80" i="55" s="1"/>
  <c r="P77" i="55"/>
  <c r="P80" i="55" s="1"/>
  <c r="O75" i="55"/>
  <c r="O96" i="55" s="1"/>
  <c r="N75" i="55"/>
  <c r="N96" i="55" s="1"/>
  <c r="M75" i="55"/>
  <c r="M96" i="55" s="1"/>
  <c r="L75" i="55"/>
  <c r="J75" i="55"/>
  <c r="J96" i="55" s="1"/>
  <c r="I75" i="55"/>
  <c r="H75" i="55"/>
  <c r="G75" i="55"/>
  <c r="F75" i="55"/>
  <c r="E75" i="55"/>
  <c r="D75" i="55"/>
  <c r="Q74" i="55"/>
  <c r="Q75" i="55" s="1"/>
  <c r="P74" i="55"/>
  <c r="P75" i="55" s="1"/>
  <c r="L71" i="55"/>
  <c r="J71" i="55"/>
  <c r="P70" i="55"/>
  <c r="O70" i="55"/>
  <c r="N70" i="55"/>
  <c r="M70" i="55"/>
  <c r="L70" i="55"/>
  <c r="J70" i="55"/>
  <c r="I70" i="55"/>
  <c r="H70" i="55"/>
  <c r="G70" i="55"/>
  <c r="F70" i="55"/>
  <c r="E70" i="55"/>
  <c r="D70" i="55"/>
  <c r="Q69" i="55"/>
  <c r="Q70" i="55" s="1"/>
  <c r="P69" i="55"/>
  <c r="O67" i="55"/>
  <c r="N67" i="55"/>
  <c r="M67" i="55"/>
  <c r="L67" i="55"/>
  <c r="J67" i="55"/>
  <c r="I67" i="55"/>
  <c r="H67" i="55"/>
  <c r="G67" i="55"/>
  <c r="F67" i="55"/>
  <c r="E67" i="55"/>
  <c r="D67" i="55"/>
  <c r="Q66" i="55"/>
  <c r="P66" i="55"/>
  <c r="Q65" i="55"/>
  <c r="P65" i="55"/>
  <c r="Q64" i="55"/>
  <c r="Q67" i="55" s="1"/>
  <c r="P64" i="55"/>
  <c r="P67" i="55" s="1"/>
  <c r="P62" i="55"/>
  <c r="O62" i="55"/>
  <c r="N62" i="55"/>
  <c r="M62" i="55"/>
  <c r="L62" i="55"/>
  <c r="J62" i="55"/>
  <c r="I62" i="55"/>
  <c r="H62" i="55"/>
  <c r="G62" i="55"/>
  <c r="F62" i="55"/>
  <c r="E62" i="55"/>
  <c r="D62" i="55"/>
  <c r="Q61" i="55"/>
  <c r="P61" i="55"/>
  <c r="Q60" i="55"/>
  <c r="Q62" i="55" s="1"/>
  <c r="P60" i="55"/>
  <c r="O58" i="55"/>
  <c r="N58" i="55"/>
  <c r="M58" i="55"/>
  <c r="L58" i="55"/>
  <c r="J58" i="55"/>
  <c r="I58" i="55"/>
  <c r="H58" i="55"/>
  <c r="G58" i="55"/>
  <c r="F58" i="55"/>
  <c r="F71" i="55" s="1"/>
  <c r="E58" i="55"/>
  <c r="D58" i="55"/>
  <c r="Q57" i="55"/>
  <c r="P57" i="55"/>
  <c r="Q56" i="55"/>
  <c r="P56" i="55"/>
  <c r="Q55" i="55"/>
  <c r="P55" i="55"/>
  <c r="Q54" i="55"/>
  <c r="Q58" i="55" s="1"/>
  <c r="P54" i="55"/>
  <c r="P52" i="55"/>
  <c r="O52" i="55"/>
  <c r="N52" i="55"/>
  <c r="M52" i="55"/>
  <c r="L52" i="55"/>
  <c r="J52" i="55"/>
  <c r="I52" i="55"/>
  <c r="I71" i="55" s="1"/>
  <c r="H52" i="55"/>
  <c r="H71" i="55" s="1"/>
  <c r="G52" i="55"/>
  <c r="F52" i="55"/>
  <c r="E52" i="55"/>
  <c r="D52" i="55"/>
  <c r="D71" i="55" s="1"/>
  <c r="Q51" i="55"/>
  <c r="P51" i="55"/>
  <c r="Q50" i="55"/>
  <c r="P50" i="55"/>
  <c r="Q49" i="55"/>
  <c r="Q52" i="55" s="1"/>
  <c r="Q71" i="55" s="1"/>
  <c r="P49" i="55"/>
  <c r="D46" i="55"/>
  <c r="Q45" i="55"/>
  <c r="P45" i="55"/>
  <c r="O45" i="55"/>
  <c r="N45" i="55"/>
  <c r="M45" i="55"/>
  <c r="L45" i="55"/>
  <c r="J45" i="55"/>
  <c r="I45" i="55"/>
  <c r="H45" i="55"/>
  <c r="G45" i="55"/>
  <c r="F45" i="55"/>
  <c r="E45" i="55"/>
  <c r="D45" i="55"/>
  <c r="Q41" i="55"/>
  <c r="O41" i="55"/>
  <c r="N41" i="55"/>
  <c r="M41" i="55"/>
  <c r="M46" i="55" s="1"/>
  <c r="L41" i="55"/>
  <c r="J41" i="55"/>
  <c r="I41" i="55"/>
  <c r="H41" i="55"/>
  <c r="G41" i="55"/>
  <c r="F41" i="55"/>
  <c r="E41" i="55"/>
  <c r="D41" i="55"/>
  <c r="Q40" i="55"/>
  <c r="P40" i="55"/>
  <c r="Q39" i="55"/>
  <c r="P39" i="55"/>
  <c r="P41" i="55" s="1"/>
  <c r="Q38" i="55"/>
  <c r="P38" i="55"/>
  <c r="Q37" i="55"/>
  <c r="P37" i="55"/>
  <c r="P35" i="55"/>
  <c r="O35" i="55"/>
  <c r="O46" i="55" s="1"/>
  <c r="N35" i="55"/>
  <c r="M35" i="55"/>
  <c r="L35" i="55"/>
  <c r="J35" i="55"/>
  <c r="I35" i="55"/>
  <c r="H35" i="55"/>
  <c r="G35" i="55"/>
  <c r="F35" i="55"/>
  <c r="E35" i="55"/>
  <c r="D35" i="55"/>
  <c r="Q34" i="55"/>
  <c r="P34" i="55"/>
  <c r="Q33" i="55"/>
  <c r="P33" i="55"/>
  <c r="O31" i="55"/>
  <c r="N31" i="55"/>
  <c r="M31" i="55"/>
  <c r="L31" i="55"/>
  <c r="J31" i="55"/>
  <c r="I31" i="55"/>
  <c r="H31" i="55"/>
  <c r="G31" i="55"/>
  <c r="F31" i="55"/>
  <c r="E31" i="55"/>
  <c r="D31" i="55"/>
  <c r="Q30" i="55"/>
  <c r="P30" i="55"/>
  <c r="Q29" i="55"/>
  <c r="P29" i="55"/>
  <c r="Q28" i="55"/>
  <c r="P28" i="55"/>
  <c r="Q27" i="55"/>
  <c r="P27" i="55"/>
  <c r="Q26" i="55"/>
  <c r="Q31" i="55" s="1"/>
  <c r="P26" i="55"/>
  <c r="Q25" i="55"/>
  <c r="P25" i="55"/>
  <c r="O23" i="55"/>
  <c r="N23" i="55"/>
  <c r="M23" i="55"/>
  <c r="L23" i="55"/>
  <c r="J23" i="55"/>
  <c r="I23" i="55"/>
  <c r="H23" i="55"/>
  <c r="G23" i="55"/>
  <c r="F23" i="55"/>
  <c r="E23" i="55"/>
  <c r="E46" i="55" s="1"/>
  <c r="D23" i="55"/>
  <c r="Q22" i="55"/>
  <c r="P22" i="55"/>
  <c r="Q21" i="55"/>
  <c r="P21" i="55"/>
  <c r="Q20" i="55"/>
  <c r="P20" i="55"/>
  <c r="Q19" i="55"/>
  <c r="P19" i="55"/>
  <c r="P23" i="55" s="1"/>
  <c r="Q18" i="55"/>
  <c r="P18" i="55"/>
  <c r="Q17" i="55"/>
  <c r="P17" i="55"/>
  <c r="O15" i="55"/>
  <c r="N15" i="55"/>
  <c r="M15" i="55"/>
  <c r="L15" i="55"/>
  <c r="L46" i="55" s="1"/>
  <c r="J15" i="55"/>
  <c r="J46" i="55" s="1"/>
  <c r="I15" i="55"/>
  <c r="I46" i="55" s="1"/>
  <c r="H15" i="55"/>
  <c r="G15" i="55"/>
  <c r="G46" i="55" s="1"/>
  <c r="F15" i="55"/>
  <c r="F46" i="55" s="1"/>
  <c r="E15" i="55"/>
  <c r="D15" i="55"/>
  <c r="Q14" i="55"/>
  <c r="P14" i="55"/>
  <c r="P13" i="55"/>
  <c r="Q12" i="55"/>
  <c r="P12" i="55"/>
  <c r="Q11" i="55"/>
  <c r="P11" i="55"/>
  <c r="Q10" i="55"/>
  <c r="P10" i="55"/>
  <c r="P15" i="55" s="1"/>
  <c r="N13" i="54"/>
  <c r="N14" i="54" s="1"/>
  <c r="N16" i="54" s="1"/>
  <c r="I13" i="54"/>
  <c r="I14" i="54" s="1"/>
  <c r="I16" i="54" s="1"/>
  <c r="O12" i="54"/>
  <c r="O13" i="54" s="1"/>
  <c r="O14" i="54" s="1"/>
  <c r="O16" i="54" s="1"/>
  <c r="N12" i="54"/>
  <c r="L12" i="54"/>
  <c r="L13" i="54" s="1"/>
  <c r="L14" i="54" s="1"/>
  <c r="L16" i="54" s="1"/>
  <c r="J12" i="54"/>
  <c r="J13" i="54" s="1"/>
  <c r="J14" i="54" s="1"/>
  <c r="J16" i="54" s="1"/>
  <c r="I12" i="54"/>
  <c r="G12" i="54"/>
  <c r="G13" i="54" s="1"/>
  <c r="G14" i="54" s="1"/>
  <c r="G16" i="54" s="1"/>
  <c r="E12" i="54"/>
  <c r="E13" i="54" s="1"/>
  <c r="E14" i="54" s="1"/>
  <c r="E16" i="54" s="1"/>
  <c r="P11" i="54"/>
  <c r="P12" i="54" s="1"/>
  <c r="P13" i="54" s="1"/>
  <c r="P14" i="54" s="1"/>
  <c r="P16" i="54" s="1"/>
  <c r="O11" i="54"/>
  <c r="N11" i="54"/>
  <c r="M11" i="54"/>
  <c r="M12" i="54" s="1"/>
  <c r="M13" i="54" s="1"/>
  <c r="M14" i="54" s="1"/>
  <c r="M16" i="54" s="1"/>
  <c r="L11" i="54"/>
  <c r="J11" i="54"/>
  <c r="I11" i="54"/>
  <c r="H11" i="54"/>
  <c r="H12" i="54" s="1"/>
  <c r="H13" i="54" s="1"/>
  <c r="H14" i="54" s="1"/>
  <c r="H16" i="54" s="1"/>
  <c r="G11" i="54"/>
  <c r="F11" i="54"/>
  <c r="F12" i="54" s="1"/>
  <c r="F13" i="54" s="1"/>
  <c r="F14" i="54" s="1"/>
  <c r="F16" i="54" s="1"/>
  <c r="E11" i="54"/>
  <c r="D11" i="54"/>
  <c r="D12" i="54" s="1"/>
  <c r="D13" i="54" s="1"/>
  <c r="D14" i="54" s="1"/>
  <c r="D16" i="54" s="1"/>
  <c r="Q10" i="54"/>
  <c r="Q11" i="54" s="1"/>
  <c r="Q12" i="54" s="1"/>
  <c r="Q13" i="54" s="1"/>
  <c r="Q14" i="54" s="1"/>
  <c r="Q16" i="54" s="1"/>
  <c r="P10" i="54"/>
  <c r="O20" i="53"/>
  <c r="O22" i="53" s="1"/>
  <c r="H19" i="53"/>
  <c r="H20" i="53" s="1"/>
  <c r="H22" i="53" s="1"/>
  <c r="I18" i="53"/>
  <c r="I19" i="53" s="1"/>
  <c r="I20" i="53" s="1"/>
  <c r="I22" i="53" s="1"/>
  <c r="H18" i="53"/>
  <c r="E18" i="53"/>
  <c r="E19" i="53" s="1"/>
  <c r="E20" i="53" s="1"/>
  <c r="E22" i="53" s="1"/>
  <c r="D18" i="53"/>
  <c r="D19" i="53" s="1"/>
  <c r="D20" i="53" s="1"/>
  <c r="D22" i="53" s="1"/>
  <c r="O17" i="53"/>
  <c r="N17" i="53"/>
  <c r="J17" i="53"/>
  <c r="I17" i="53"/>
  <c r="H17" i="53"/>
  <c r="G17" i="53"/>
  <c r="F17" i="53"/>
  <c r="F18" i="53" s="1"/>
  <c r="F19" i="53" s="1"/>
  <c r="F20" i="53" s="1"/>
  <c r="F22" i="53" s="1"/>
  <c r="E17" i="53"/>
  <c r="D17" i="53"/>
  <c r="Q16" i="53"/>
  <c r="P16" i="53"/>
  <c r="Q15" i="53"/>
  <c r="Q17" i="53" s="1"/>
  <c r="O15" i="53"/>
  <c r="N15" i="53"/>
  <c r="P15" i="53" s="1"/>
  <c r="P17" i="53" s="1"/>
  <c r="M15" i="53"/>
  <c r="M17" i="53" s="1"/>
  <c r="L15" i="53"/>
  <c r="L17" i="53" s="1"/>
  <c r="O13" i="53"/>
  <c r="O18" i="53" s="1"/>
  <c r="O19" i="53" s="1"/>
  <c r="N13" i="53"/>
  <c r="N18" i="53" s="1"/>
  <c r="N19" i="53" s="1"/>
  <c r="N20" i="53" s="1"/>
  <c r="N22" i="53" s="1"/>
  <c r="M13" i="53"/>
  <c r="M18" i="53" s="1"/>
  <c r="M19" i="53" s="1"/>
  <c r="M20" i="53" s="1"/>
  <c r="M22" i="53" s="1"/>
  <c r="L13" i="53"/>
  <c r="J13" i="53"/>
  <c r="J18" i="53" s="1"/>
  <c r="J19" i="53" s="1"/>
  <c r="J20" i="53" s="1"/>
  <c r="J22" i="53" s="1"/>
  <c r="I13" i="53"/>
  <c r="H13" i="53"/>
  <c r="G13" i="53"/>
  <c r="G18" i="53" s="1"/>
  <c r="G19" i="53" s="1"/>
  <c r="G20" i="53" s="1"/>
  <c r="G22" i="53" s="1"/>
  <c r="F13" i="53"/>
  <c r="E13" i="53"/>
  <c r="D13" i="53"/>
  <c r="Q12" i="53"/>
  <c r="Q13" i="53" s="1"/>
  <c r="Q18" i="53" s="1"/>
  <c r="Q19" i="53" s="1"/>
  <c r="Q20" i="53" s="1"/>
  <c r="Q22" i="53" s="1"/>
  <c r="P12" i="53"/>
  <c r="P13" i="53" s="1"/>
  <c r="P18" i="53" s="1"/>
  <c r="P19" i="53" s="1"/>
  <c r="P20" i="53" s="1"/>
  <c r="P22" i="53" s="1"/>
  <c r="Q11" i="53"/>
  <c r="P11" i="53"/>
  <c r="Q10" i="53"/>
  <c r="P10" i="53"/>
  <c r="M14" i="52"/>
  <c r="M16" i="52" s="1"/>
  <c r="P12" i="52"/>
  <c r="P13" i="52" s="1"/>
  <c r="P14" i="52" s="1"/>
  <c r="P16" i="52" s="1"/>
  <c r="O12" i="52"/>
  <c r="O13" i="52" s="1"/>
  <c r="O14" i="52" s="1"/>
  <c r="O16" i="52" s="1"/>
  <c r="L12" i="52"/>
  <c r="L13" i="52" s="1"/>
  <c r="L14" i="52" s="1"/>
  <c r="L16" i="52" s="1"/>
  <c r="O11" i="52"/>
  <c r="N11" i="52"/>
  <c r="N12" i="52" s="1"/>
  <c r="N13" i="52" s="1"/>
  <c r="N14" i="52" s="1"/>
  <c r="N16" i="52" s="1"/>
  <c r="M11" i="52"/>
  <c r="M12" i="52" s="1"/>
  <c r="M13" i="52" s="1"/>
  <c r="L11" i="52"/>
  <c r="J11" i="52"/>
  <c r="J12" i="52" s="1"/>
  <c r="J13" i="52" s="1"/>
  <c r="J14" i="52" s="1"/>
  <c r="J16" i="52" s="1"/>
  <c r="I11" i="52"/>
  <c r="I12" i="52" s="1"/>
  <c r="I13" i="52" s="1"/>
  <c r="I14" i="52" s="1"/>
  <c r="I16" i="52" s="1"/>
  <c r="H11" i="52"/>
  <c r="H12" i="52" s="1"/>
  <c r="H13" i="52" s="1"/>
  <c r="H14" i="52" s="1"/>
  <c r="H16" i="52" s="1"/>
  <c r="G11" i="52"/>
  <c r="G12" i="52" s="1"/>
  <c r="G13" i="52" s="1"/>
  <c r="G14" i="52" s="1"/>
  <c r="G16" i="52" s="1"/>
  <c r="F11" i="52"/>
  <c r="F12" i="52" s="1"/>
  <c r="F13" i="52" s="1"/>
  <c r="F14" i="52" s="1"/>
  <c r="F16" i="52" s="1"/>
  <c r="E11" i="52"/>
  <c r="E12" i="52" s="1"/>
  <c r="E13" i="52" s="1"/>
  <c r="E14" i="52" s="1"/>
  <c r="E16" i="52" s="1"/>
  <c r="D11" i="52"/>
  <c r="D12" i="52" s="1"/>
  <c r="D13" i="52" s="1"/>
  <c r="D14" i="52" s="1"/>
  <c r="D16" i="52" s="1"/>
  <c r="Q10" i="52"/>
  <c r="Q11" i="52" s="1"/>
  <c r="Q12" i="52" s="1"/>
  <c r="Q13" i="52" s="1"/>
  <c r="Q14" i="52" s="1"/>
  <c r="Q16" i="52" s="1"/>
  <c r="P10" i="52"/>
  <c r="P11" i="52" s="1"/>
  <c r="M44" i="51"/>
  <c r="J44" i="51"/>
  <c r="H44" i="51"/>
  <c r="E44" i="51"/>
  <c r="D44" i="51"/>
  <c r="O43" i="51"/>
  <c r="O44" i="51" s="1"/>
  <c r="J43" i="51"/>
  <c r="I43" i="51"/>
  <c r="I44" i="51" s="1"/>
  <c r="H43" i="51"/>
  <c r="G43" i="51"/>
  <c r="G44" i="51" s="1"/>
  <c r="F43" i="51"/>
  <c r="F44" i="51" s="1"/>
  <c r="E43" i="51"/>
  <c r="D43" i="51"/>
  <c r="Q42" i="51"/>
  <c r="N42" i="51"/>
  <c r="N43" i="51" s="1"/>
  <c r="N44" i="51" s="1"/>
  <c r="M42" i="51"/>
  <c r="M43" i="51" s="1"/>
  <c r="L42" i="51"/>
  <c r="L43" i="51" s="1"/>
  <c r="L44" i="51" s="1"/>
  <c r="Q41" i="51"/>
  <c r="P41" i="51"/>
  <c r="Q40" i="51"/>
  <c r="P40" i="51"/>
  <c r="Q39" i="51"/>
  <c r="P39" i="51"/>
  <c r="Q38" i="51"/>
  <c r="P38" i="51"/>
  <c r="Q34" i="51"/>
  <c r="O34" i="51"/>
  <c r="N34" i="51"/>
  <c r="M34" i="51"/>
  <c r="L34" i="51"/>
  <c r="J34" i="51"/>
  <c r="I34" i="51"/>
  <c r="H34" i="51"/>
  <c r="G34" i="51"/>
  <c r="F34" i="51"/>
  <c r="E34" i="51"/>
  <c r="E35" i="51" s="1"/>
  <c r="E45" i="51" s="1"/>
  <c r="E46" i="51" s="1"/>
  <c r="E48" i="51" s="1"/>
  <c r="D34" i="51"/>
  <c r="D35" i="51" s="1"/>
  <c r="D45" i="51" s="1"/>
  <c r="D46" i="51" s="1"/>
  <c r="D48" i="51" s="1"/>
  <c r="Q33" i="51"/>
  <c r="P33" i="51"/>
  <c r="Q32" i="51"/>
  <c r="P32" i="51"/>
  <c r="P34" i="51" s="1"/>
  <c r="O30" i="51"/>
  <c r="N30" i="51"/>
  <c r="M30" i="51"/>
  <c r="L30" i="51"/>
  <c r="J30" i="51"/>
  <c r="I30" i="51"/>
  <c r="H30" i="51"/>
  <c r="G30" i="51"/>
  <c r="F30" i="51"/>
  <c r="E30" i="51"/>
  <c r="D30" i="51"/>
  <c r="Q29" i="51"/>
  <c r="Q30" i="51" s="1"/>
  <c r="P29" i="51"/>
  <c r="P30" i="51" s="1"/>
  <c r="O27" i="51"/>
  <c r="N27" i="51"/>
  <c r="N35" i="51" s="1"/>
  <c r="M27" i="51"/>
  <c r="L27" i="51"/>
  <c r="J27" i="51"/>
  <c r="I27" i="51"/>
  <c r="H27" i="51"/>
  <c r="G27" i="51"/>
  <c r="F27" i="51"/>
  <c r="E27" i="51"/>
  <c r="D27" i="51"/>
  <c r="Q26" i="51"/>
  <c r="P26" i="51"/>
  <c r="Q25" i="51"/>
  <c r="P25" i="51"/>
  <c r="Q24" i="51"/>
  <c r="Q27" i="51" s="1"/>
  <c r="P24" i="51"/>
  <c r="Q23" i="51"/>
  <c r="P23" i="51"/>
  <c r="O21" i="51"/>
  <c r="O35" i="51" s="1"/>
  <c r="N21" i="51"/>
  <c r="M21" i="51"/>
  <c r="L21" i="51"/>
  <c r="J21" i="51"/>
  <c r="I21" i="51"/>
  <c r="H21" i="51"/>
  <c r="G21" i="51"/>
  <c r="F21" i="51"/>
  <c r="E21" i="51"/>
  <c r="D21" i="51"/>
  <c r="Q20" i="51"/>
  <c r="P20" i="51"/>
  <c r="Q19" i="51"/>
  <c r="P19" i="51"/>
  <c r="Q18" i="51"/>
  <c r="P18" i="51"/>
  <c r="Q17" i="51"/>
  <c r="P17" i="51"/>
  <c r="Q16" i="51"/>
  <c r="Q21" i="51" s="1"/>
  <c r="Q35" i="51" s="1"/>
  <c r="P16" i="51"/>
  <c r="P21" i="51" s="1"/>
  <c r="O14" i="51"/>
  <c r="N14" i="51"/>
  <c r="M14" i="51"/>
  <c r="L14" i="51"/>
  <c r="J14" i="51"/>
  <c r="I14" i="51"/>
  <c r="H14" i="51"/>
  <c r="H35" i="51" s="1"/>
  <c r="H45" i="51" s="1"/>
  <c r="H46" i="51" s="1"/>
  <c r="H48" i="51" s="1"/>
  <c r="G14" i="51"/>
  <c r="G35" i="51" s="1"/>
  <c r="G45" i="51" s="1"/>
  <c r="G46" i="51" s="1"/>
  <c r="G48" i="51" s="1"/>
  <c r="F14" i="51"/>
  <c r="E14" i="51"/>
  <c r="D14" i="51"/>
  <c r="Q13" i="51"/>
  <c r="P13" i="51"/>
  <c r="Q12" i="51"/>
  <c r="P12" i="51"/>
  <c r="Q11" i="51"/>
  <c r="P11" i="51"/>
  <c r="Q10" i="51"/>
  <c r="Q14" i="51" s="1"/>
  <c r="P10" i="51"/>
  <c r="P14" i="51" s="1"/>
  <c r="O23" i="50"/>
  <c r="N23" i="50"/>
  <c r="M23" i="50"/>
  <c r="L23" i="50"/>
  <c r="J23" i="50"/>
  <c r="I23" i="50"/>
  <c r="H23" i="50"/>
  <c r="G23" i="50"/>
  <c r="F23" i="50"/>
  <c r="E23" i="50"/>
  <c r="D23" i="50"/>
  <c r="Q22" i="50"/>
  <c r="Q23" i="50" s="1"/>
  <c r="P22" i="50"/>
  <c r="P23" i="50" s="1"/>
  <c r="O20" i="50"/>
  <c r="N20" i="50"/>
  <c r="M20" i="50"/>
  <c r="L20" i="50"/>
  <c r="J20" i="50"/>
  <c r="I20" i="50"/>
  <c r="H20" i="50"/>
  <c r="G20" i="50"/>
  <c r="F20" i="50"/>
  <c r="E20" i="50"/>
  <c r="D20" i="50"/>
  <c r="Q19" i="50"/>
  <c r="Q20" i="50" s="1"/>
  <c r="P19" i="50"/>
  <c r="P20" i="50" s="1"/>
  <c r="O17" i="50"/>
  <c r="N17" i="50"/>
  <c r="M17" i="50"/>
  <c r="L17" i="50"/>
  <c r="J17" i="50"/>
  <c r="I17" i="50"/>
  <c r="H17" i="50"/>
  <c r="G17" i="50"/>
  <c r="F17" i="50"/>
  <c r="E17" i="50"/>
  <c r="D17" i="50"/>
  <c r="Q16" i="50"/>
  <c r="P16" i="50"/>
  <c r="Q15" i="50"/>
  <c r="P15" i="50"/>
  <c r="Q14" i="50"/>
  <c r="P14" i="50"/>
  <c r="Q13" i="50"/>
  <c r="P13" i="50"/>
  <c r="O11" i="50"/>
  <c r="N11" i="50"/>
  <c r="M11" i="50"/>
  <c r="M24" i="50" s="1"/>
  <c r="M25" i="50" s="1"/>
  <c r="M26" i="50" s="1"/>
  <c r="M28" i="50" s="1"/>
  <c r="L11" i="50"/>
  <c r="L24" i="50" s="1"/>
  <c r="L25" i="50" s="1"/>
  <c r="L26" i="50" s="1"/>
  <c r="L28" i="50" s="1"/>
  <c r="J11" i="50"/>
  <c r="I11" i="50"/>
  <c r="H11" i="50"/>
  <c r="G11" i="50"/>
  <c r="F11" i="50"/>
  <c r="F24" i="50" s="1"/>
  <c r="F25" i="50" s="1"/>
  <c r="F26" i="50" s="1"/>
  <c r="F28" i="50" s="1"/>
  <c r="E11" i="50"/>
  <c r="D11" i="50"/>
  <c r="Q10" i="50"/>
  <c r="Q11" i="50" s="1"/>
  <c r="P10" i="50"/>
  <c r="P11" i="50" s="1"/>
  <c r="O41" i="49"/>
  <c r="O42" i="49" s="1"/>
  <c r="O43" i="49" s="1"/>
  <c r="O45" i="49" s="1"/>
  <c r="Q40" i="49"/>
  <c r="P40" i="49"/>
  <c r="O40" i="49"/>
  <c r="N40" i="49"/>
  <c r="M40" i="49"/>
  <c r="L40" i="49"/>
  <c r="J40" i="49"/>
  <c r="I40" i="49"/>
  <c r="H40" i="49"/>
  <c r="G40" i="49"/>
  <c r="F40" i="49"/>
  <c r="E40" i="49"/>
  <c r="D40" i="49"/>
  <c r="Q39" i="49"/>
  <c r="P39" i="49"/>
  <c r="Q38" i="49"/>
  <c r="P38" i="49"/>
  <c r="O36" i="49"/>
  <c r="J36" i="49"/>
  <c r="I36" i="49"/>
  <c r="H36" i="49"/>
  <c r="G36" i="49"/>
  <c r="F36" i="49"/>
  <c r="E36" i="49"/>
  <c r="D36" i="49"/>
  <c r="Q35" i="49"/>
  <c r="P35" i="49"/>
  <c r="Q34" i="49"/>
  <c r="P34" i="49"/>
  <c r="Q33" i="49"/>
  <c r="P33" i="49"/>
  <c r="Q32" i="49"/>
  <c r="Q36" i="49" s="1"/>
  <c r="P32" i="49"/>
  <c r="N32" i="49"/>
  <c r="N36" i="49" s="1"/>
  <c r="M32" i="49"/>
  <c r="M36" i="49" s="1"/>
  <c r="M41" i="49" s="1"/>
  <c r="M42" i="49" s="1"/>
  <c r="M43" i="49" s="1"/>
  <c r="M45" i="49" s="1"/>
  <c r="L32" i="49"/>
  <c r="L36" i="49" s="1"/>
  <c r="M30" i="49"/>
  <c r="L30" i="49"/>
  <c r="J30" i="49"/>
  <c r="I30" i="49"/>
  <c r="H30" i="49"/>
  <c r="G30" i="49"/>
  <c r="F30" i="49"/>
  <c r="E30" i="49"/>
  <c r="D30" i="49"/>
  <c r="P29" i="49"/>
  <c r="O29" i="49"/>
  <c r="N29" i="49"/>
  <c r="Q29" i="49" s="1"/>
  <c r="P28" i="49"/>
  <c r="P30" i="49" s="1"/>
  <c r="O28" i="49"/>
  <c r="O30" i="49" s="1"/>
  <c r="N28" i="49"/>
  <c r="P26" i="49"/>
  <c r="O26" i="49"/>
  <c r="N26" i="49"/>
  <c r="M26" i="49"/>
  <c r="L26" i="49"/>
  <c r="J26" i="49"/>
  <c r="I26" i="49"/>
  <c r="H26" i="49"/>
  <c r="G26" i="49"/>
  <c r="F26" i="49"/>
  <c r="E26" i="49"/>
  <c r="D26" i="49"/>
  <c r="Q25" i="49"/>
  <c r="Q26" i="49" s="1"/>
  <c r="P25" i="49"/>
  <c r="Q23" i="49"/>
  <c r="O23" i="49"/>
  <c r="N23" i="49"/>
  <c r="M23" i="49"/>
  <c r="L23" i="49"/>
  <c r="L41" i="49" s="1"/>
  <c r="L42" i="49" s="1"/>
  <c r="L43" i="49" s="1"/>
  <c r="L45" i="49" s="1"/>
  <c r="J23" i="49"/>
  <c r="J41" i="49" s="1"/>
  <c r="J42" i="49" s="1"/>
  <c r="J43" i="49" s="1"/>
  <c r="J45" i="49" s="1"/>
  <c r="I23" i="49"/>
  <c r="I41" i="49" s="1"/>
  <c r="I42" i="49" s="1"/>
  <c r="I43" i="49" s="1"/>
  <c r="I45" i="49" s="1"/>
  <c r="H23" i="49"/>
  <c r="H41" i="49" s="1"/>
  <c r="H42" i="49" s="1"/>
  <c r="H43" i="49" s="1"/>
  <c r="H45" i="49" s="1"/>
  <c r="G23" i="49"/>
  <c r="F23" i="49"/>
  <c r="E23" i="49"/>
  <c r="D23" i="49"/>
  <c r="Q22" i="49"/>
  <c r="P22" i="49"/>
  <c r="Q21" i="49"/>
  <c r="P21" i="49"/>
  <c r="Q20" i="49"/>
  <c r="P20" i="49"/>
  <c r="P23" i="49" s="1"/>
  <c r="Q18" i="49"/>
  <c r="P18" i="49"/>
  <c r="O18" i="49"/>
  <c r="N18" i="49"/>
  <c r="M18" i="49"/>
  <c r="L18" i="49"/>
  <c r="J18" i="49"/>
  <c r="I18" i="49"/>
  <c r="H18" i="49"/>
  <c r="G18" i="49"/>
  <c r="F18" i="49"/>
  <c r="E18" i="49"/>
  <c r="D18" i="49"/>
  <c r="D41" i="49" s="1"/>
  <c r="D42" i="49" s="1"/>
  <c r="D43" i="49" s="1"/>
  <c r="D45" i="49" s="1"/>
  <c r="Q17" i="49"/>
  <c r="P17" i="49"/>
  <c r="Q16" i="49"/>
  <c r="P16" i="49"/>
  <c r="Q15" i="49"/>
  <c r="P15" i="49"/>
  <c r="Q14" i="49"/>
  <c r="P14" i="49"/>
  <c r="Q13" i="49"/>
  <c r="P13" i="49"/>
  <c r="P11" i="49"/>
  <c r="O11" i="49"/>
  <c r="N11" i="49"/>
  <c r="M11" i="49"/>
  <c r="L11" i="49"/>
  <c r="J11" i="49"/>
  <c r="I11" i="49"/>
  <c r="H11" i="49"/>
  <c r="G11" i="49"/>
  <c r="F11" i="49"/>
  <c r="E11" i="49"/>
  <c r="D11" i="49"/>
  <c r="Q10" i="49"/>
  <c r="Q11" i="49" s="1"/>
  <c r="P10" i="49"/>
  <c r="O54" i="48"/>
  <c r="N54" i="48"/>
  <c r="M54" i="48"/>
  <c r="L54" i="48"/>
  <c r="O39" i="48"/>
  <c r="N39" i="48"/>
  <c r="M39" i="48"/>
  <c r="L39" i="48"/>
  <c r="J39" i="48"/>
  <c r="I39" i="48"/>
  <c r="H39" i="48"/>
  <c r="G39" i="48"/>
  <c r="F39" i="48"/>
  <c r="E39" i="48"/>
  <c r="D39" i="48"/>
  <c r="Q38" i="48"/>
  <c r="P38" i="48"/>
  <c r="P39" i="48" s="1"/>
  <c r="Q37" i="48"/>
  <c r="P37" i="48"/>
  <c r="O37" i="48"/>
  <c r="Q36" i="48"/>
  <c r="P36" i="48"/>
  <c r="Q35" i="48"/>
  <c r="Q39" i="48" s="1"/>
  <c r="P35" i="48"/>
  <c r="N33" i="48"/>
  <c r="M33" i="48"/>
  <c r="L33" i="48"/>
  <c r="J33" i="48"/>
  <c r="I33" i="48"/>
  <c r="H33" i="48"/>
  <c r="G33" i="48"/>
  <c r="F33" i="48"/>
  <c r="E33" i="48"/>
  <c r="D33" i="48"/>
  <c r="Q32" i="48"/>
  <c r="P32" i="48"/>
  <c r="P31" i="48"/>
  <c r="O31" i="48"/>
  <c r="Q31" i="48" s="1"/>
  <c r="P30" i="48"/>
  <c r="O30" i="48"/>
  <c r="Q30" i="48" s="1"/>
  <c r="Q29" i="48"/>
  <c r="P29" i="48"/>
  <c r="P33" i="48" s="1"/>
  <c r="O29" i="48"/>
  <c r="O33" i="48" s="1"/>
  <c r="O40" i="48" s="1"/>
  <c r="O41" i="48" s="1"/>
  <c r="O42" i="48" s="1"/>
  <c r="O44" i="48" s="1"/>
  <c r="O27" i="48"/>
  <c r="N27" i="48"/>
  <c r="N40" i="48" s="1"/>
  <c r="N41" i="48" s="1"/>
  <c r="N42" i="48" s="1"/>
  <c r="N44" i="48" s="1"/>
  <c r="M27" i="48"/>
  <c r="M40" i="48" s="1"/>
  <c r="M41" i="48" s="1"/>
  <c r="M42" i="48" s="1"/>
  <c r="M44" i="48" s="1"/>
  <c r="L27" i="48"/>
  <c r="J27" i="48"/>
  <c r="I27" i="48"/>
  <c r="H27" i="48"/>
  <c r="G27" i="48"/>
  <c r="F27" i="48"/>
  <c r="E27" i="48"/>
  <c r="D27" i="48"/>
  <c r="Q26" i="48"/>
  <c r="Q27" i="48" s="1"/>
  <c r="P26" i="48"/>
  <c r="P27" i="48" s="1"/>
  <c r="Q24" i="48"/>
  <c r="P24" i="48"/>
  <c r="O24" i="48"/>
  <c r="N24" i="48"/>
  <c r="M24" i="48"/>
  <c r="L24" i="48"/>
  <c r="J24" i="48"/>
  <c r="I24" i="48"/>
  <c r="H24" i="48"/>
  <c r="G24" i="48"/>
  <c r="F24" i="48"/>
  <c r="E24" i="48"/>
  <c r="D24" i="48"/>
  <c r="Q23" i="48"/>
  <c r="P23" i="48"/>
  <c r="O23" i="48"/>
  <c r="P22" i="48"/>
  <c r="O22" i="48"/>
  <c r="Q22" i="48" s="1"/>
  <c r="O20" i="48"/>
  <c r="N20" i="48"/>
  <c r="M20" i="48"/>
  <c r="L20" i="48"/>
  <c r="J20" i="48"/>
  <c r="I20" i="48"/>
  <c r="H20" i="48"/>
  <c r="G20" i="48"/>
  <c r="F20" i="48"/>
  <c r="E20" i="48"/>
  <c r="D20" i="48"/>
  <c r="Q19" i="48"/>
  <c r="P19" i="48"/>
  <c r="Q18" i="48"/>
  <c r="P18" i="48"/>
  <c r="Q17" i="48"/>
  <c r="P17" i="48"/>
  <c r="Q16" i="48"/>
  <c r="P16" i="48"/>
  <c r="Q15" i="48"/>
  <c r="P15" i="48"/>
  <c r="Q13" i="48"/>
  <c r="O13" i="48"/>
  <c r="N13" i="48"/>
  <c r="M13" i="48"/>
  <c r="L13" i="48"/>
  <c r="L40" i="48" s="1"/>
  <c r="L41" i="48" s="1"/>
  <c r="L42" i="48" s="1"/>
  <c r="L44" i="48" s="1"/>
  <c r="J13" i="48"/>
  <c r="I13" i="48"/>
  <c r="H13" i="48"/>
  <c r="H40" i="48" s="1"/>
  <c r="H41" i="48" s="1"/>
  <c r="H42" i="48" s="1"/>
  <c r="H44" i="48" s="1"/>
  <c r="G13" i="48"/>
  <c r="G40" i="48" s="1"/>
  <c r="G41" i="48" s="1"/>
  <c r="G42" i="48" s="1"/>
  <c r="G44" i="48" s="1"/>
  <c r="F13" i="48"/>
  <c r="F40" i="48" s="1"/>
  <c r="F41" i="48" s="1"/>
  <c r="F42" i="48" s="1"/>
  <c r="F44" i="48" s="1"/>
  <c r="E13" i="48"/>
  <c r="E40" i="48" s="1"/>
  <c r="E41" i="48" s="1"/>
  <c r="E42" i="48" s="1"/>
  <c r="E44" i="48" s="1"/>
  <c r="D13" i="48"/>
  <c r="Q12" i="48"/>
  <c r="P12" i="48"/>
  <c r="Q11" i="48"/>
  <c r="P11" i="48"/>
  <c r="Q10" i="48"/>
  <c r="P10" i="48"/>
  <c r="P13" i="48" s="1"/>
  <c r="M48" i="47"/>
  <c r="H48" i="47"/>
  <c r="G48" i="47"/>
  <c r="E48" i="47"/>
  <c r="Q47" i="47"/>
  <c r="Q48" i="47" s="1"/>
  <c r="O47" i="47"/>
  <c r="O48" i="47" s="1"/>
  <c r="N47" i="47"/>
  <c r="N48" i="47" s="1"/>
  <c r="M47" i="47"/>
  <c r="L47" i="47"/>
  <c r="L48" i="47" s="1"/>
  <c r="J47" i="47"/>
  <c r="J48" i="47" s="1"/>
  <c r="I47" i="47"/>
  <c r="I48" i="47" s="1"/>
  <c r="H47" i="47"/>
  <c r="G47" i="47"/>
  <c r="F47" i="47"/>
  <c r="F48" i="47" s="1"/>
  <c r="E47" i="47"/>
  <c r="D47" i="47"/>
  <c r="D48" i="47" s="1"/>
  <c r="Q46" i="47"/>
  <c r="P46" i="47"/>
  <c r="Q45" i="47"/>
  <c r="P45" i="47"/>
  <c r="P47" i="47" s="1"/>
  <c r="P48" i="47" s="1"/>
  <c r="Q41" i="47"/>
  <c r="O41" i="47"/>
  <c r="N41" i="47"/>
  <c r="M41" i="47"/>
  <c r="L41" i="47"/>
  <c r="J41" i="47"/>
  <c r="I41" i="47"/>
  <c r="H41" i="47"/>
  <c r="G41" i="47"/>
  <c r="F41" i="47"/>
  <c r="E41" i="47"/>
  <c r="D41" i="47"/>
  <c r="Q40" i="47"/>
  <c r="P40" i="47"/>
  <c r="P41" i="47" s="1"/>
  <c r="P38" i="47"/>
  <c r="N38" i="47"/>
  <c r="M38" i="47"/>
  <c r="L38" i="47"/>
  <c r="J38" i="47"/>
  <c r="I38" i="47"/>
  <c r="H38" i="47"/>
  <c r="G38" i="47"/>
  <c r="F38" i="47"/>
  <c r="E38" i="47"/>
  <c r="D38" i="47"/>
  <c r="Q37" i="47"/>
  <c r="P37" i="47"/>
  <c r="O37" i="47"/>
  <c r="P36" i="47"/>
  <c r="O36" i="47"/>
  <c r="Q36" i="47" s="1"/>
  <c r="P35" i="47"/>
  <c r="O35" i="47"/>
  <c r="Q34" i="47"/>
  <c r="P34" i="47"/>
  <c r="P32" i="47"/>
  <c r="N32" i="47"/>
  <c r="M32" i="47"/>
  <c r="L32" i="47"/>
  <c r="J32" i="47"/>
  <c r="I32" i="47"/>
  <c r="H32" i="47"/>
  <c r="G32" i="47"/>
  <c r="F32" i="47"/>
  <c r="E32" i="47"/>
  <c r="D32" i="47"/>
  <c r="Q31" i="47"/>
  <c r="P31" i="47"/>
  <c r="Q30" i="47"/>
  <c r="P30" i="47"/>
  <c r="P29" i="47"/>
  <c r="O29" i="47"/>
  <c r="O32" i="47" s="1"/>
  <c r="N27" i="47"/>
  <c r="M27" i="47"/>
  <c r="L27" i="47"/>
  <c r="J27" i="47"/>
  <c r="I27" i="47"/>
  <c r="H27" i="47"/>
  <c r="G27" i="47"/>
  <c r="F27" i="47"/>
  <c r="E27" i="47"/>
  <c r="D27" i="47"/>
  <c r="Q26" i="47"/>
  <c r="P26" i="47"/>
  <c r="P25" i="47"/>
  <c r="O25" i="47"/>
  <c r="O27" i="47" s="1"/>
  <c r="P24" i="47"/>
  <c r="P27" i="47" s="1"/>
  <c r="O24" i="47"/>
  <c r="Q24" i="47" s="1"/>
  <c r="Q23" i="47"/>
  <c r="P23" i="47"/>
  <c r="O21" i="47"/>
  <c r="N21" i="47"/>
  <c r="N42" i="47" s="1"/>
  <c r="N49" i="47" s="1"/>
  <c r="N50" i="47" s="1"/>
  <c r="N52" i="47" s="1"/>
  <c r="O58" i="47" s="1"/>
  <c r="M21" i="47"/>
  <c r="L21" i="47"/>
  <c r="J21" i="47"/>
  <c r="I21" i="47"/>
  <c r="H21" i="47"/>
  <c r="G21" i="47"/>
  <c r="F21" i="47"/>
  <c r="E21" i="47"/>
  <c r="D21" i="47"/>
  <c r="Q20" i="47"/>
  <c r="P20" i="47"/>
  <c r="Q19" i="47"/>
  <c r="P19" i="47"/>
  <c r="Q18" i="47"/>
  <c r="P18" i="47"/>
  <c r="Q17" i="47"/>
  <c r="P17" i="47"/>
  <c r="Q16" i="47"/>
  <c r="P16" i="47"/>
  <c r="O14" i="47"/>
  <c r="N14" i="47"/>
  <c r="M14" i="47"/>
  <c r="M42" i="47" s="1"/>
  <c r="M49" i="47" s="1"/>
  <c r="M50" i="47" s="1"/>
  <c r="M52" i="47" s="1"/>
  <c r="L14" i="47"/>
  <c r="L42" i="47" s="1"/>
  <c r="L49" i="47" s="1"/>
  <c r="L50" i="47" s="1"/>
  <c r="L52" i="47" s="1"/>
  <c r="J14" i="47"/>
  <c r="J42" i="47" s="1"/>
  <c r="J49" i="47" s="1"/>
  <c r="J50" i="47" s="1"/>
  <c r="J52" i="47" s="1"/>
  <c r="I14" i="47"/>
  <c r="I42" i="47" s="1"/>
  <c r="I49" i="47" s="1"/>
  <c r="I50" i="47" s="1"/>
  <c r="I52" i="47" s="1"/>
  <c r="H14" i="47"/>
  <c r="G14" i="47"/>
  <c r="G42" i="47" s="1"/>
  <c r="F14" i="47"/>
  <c r="E14" i="47"/>
  <c r="D14" i="47"/>
  <c r="Q13" i="47"/>
  <c r="P13" i="47"/>
  <c r="Q12" i="47"/>
  <c r="P12" i="47"/>
  <c r="Q11" i="47"/>
  <c r="P11" i="47"/>
  <c r="Q10" i="47"/>
  <c r="P10" i="47"/>
  <c r="I78" i="46"/>
  <c r="G78" i="46"/>
  <c r="N77" i="46"/>
  <c r="M77" i="46"/>
  <c r="L77" i="46"/>
  <c r="J77" i="46"/>
  <c r="I77" i="46"/>
  <c r="H77" i="46"/>
  <c r="G77" i="46"/>
  <c r="F77" i="46"/>
  <c r="E77" i="46"/>
  <c r="D77" i="46"/>
  <c r="P76" i="46"/>
  <c r="P77" i="46" s="1"/>
  <c r="O76" i="46"/>
  <c r="Q76" i="46" s="1"/>
  <c r="Q77" i="46" s="1"/>
  <c r="O74" i="46"/>
  <c r="M74" i="46"/>
  <c r="J74" i="46"/>
  <c r="I74" i="46"/>
  <c r="H74" i="46"/>
  <c r="G74" i="46"/>
  <c r="F74" i="46"/>
  <c r="E74" i="46"/>
  <c r="D74" i="46"/>
  <c r="Q73" i="46"/>
  <c r="P73" i="46"/>
  <c r="P72" i="46"/>
  <c r="O72" i="46"/>
  <c r="N72" i="46"/>
  <c r="N74" i="46" s="1"/>
  <c r="M72" i="46"/>
  <c r="L72" i="46"/>
  <c r="L74" i="46" s="1"/>
  <c r="P71" i="46"/>
  <c r="O71" i="46"/>
  <c r="Q71" i="46" s="1"/>
  <c r="O69" i="46"/>
  <c r="N69" i="46"/>
  <c r="M69" i="46"/>
  <c r="L69" i="46"/>
  <c r="J69" i="46"/>
  <c r="I69" i="46"/>
  <c r="H69" i="46"/>
  <c r="G69" i="46"/>
  <c r="F69" i="46"/>
  <c r="E69" i="46"/>
  <c r="D69" i="46"/>
  <c r="Q68" i="46"/>
  <c r="P68" i="46"/>
  <c r="O68" i="46"/>
  <c r="Q67" i="46"/>
  <c r="Q69" i="46" s="1"/>
  <c r="P67" i="46"/>
  <c r="P69" i="46" s="1"/>
  <c r="O67" i="46"/>
  <c r="O65" i="46"/>
  <c r="N65" i="46"/>
  <c r="N78" i="46" s="1"/>
  <c r="M65" i="46"/>
  <c r="L65" i="46"/>
  <c r="L78" i="46" s="1"/>
  <c r="J65" i="46"/>
  <c r="I65" i="46"/>
  <c r="H65" i="46"/>
  <c r="G65" i="46"/>
  <c r="F65" i="46"/>
  <c r="E65" i="46"/>
  <c r="D65" i="46"/>
  <c r="Q64" i="46"/>
  <c r="P64" i="46"/>
  <c r="Q63" i="46"/>
  <c r="Q65" i="46" s="1"/>
  <c r="P63" i="46"/>
  <c r="P65" i="46" s="1"/>
  <c r="Q61" i="46"/>
  <c r="O61" i="46"/>
  <c r="N61" i="46"/>
  <c r="M61" i="46"/>
  <c r="M78" i="46" s="1"/>
  <c r="L61" i="46"/>
  <c r="J61" i="46"/>
  <c r="I61" i="46"/>
  <c r="H61" i="46"/>
  <c r="H78" i="46" s="1"/>
  <c r="G61" i="46"/>
  <c r="F61" i="46"/>
  <c r="E61" i="46"/>
  <c r="E78" i="46" s="1"/>
  <c r="D61" i="46"/>
  <c r="D78" i="46" s="1"/>
  <c r="Q60" i="46"/>
  <c r="P60" i="46"/>
  <c r="Q59" i="46"/>
  <c r="P59" i="46"/>
  <c r="Q58" i="46"/>
  <c r="P58" i="46"/>
  <c r="G55" i="46"/>
  <c r="O54" i="46"/>
  <c r="N54" i="46"/>
  <c r="M54" i="46"/>
  <c r="L54" i="46"/>
  <c r="J54" i="46"/>
  <c r="I54" i="46"/>
  <c r="H54" i="46"/>
  <c r="G54" i="46"/>
  <c r="F54" i="46"/>
  <c r="E54" i="46"/>
  <c r="E55" i="46" s="1"/>
  <c r="D54" i="46"/>
  <c r="D55" i="46" s="1"/>
  <c r="Q53" i="46"/>
  <c r="P53" i="46"/>
  <c r="Q52" i="46"/>
  <c r="P52" i="46"/>
  <c r="Q51" i="46"/>
  <c r="P51" i="46"/>
  <c r="Q50" i="46"/>
  <c r="P50" i="46"/>
  <c r="Q49" i="46"/>
  <c r="P49" i="46"/>
  <c r="Q48" i="46"/>
  <c r="P48" i="46"/>
  <c r="Q47" i="46"/>
  <c r="Q54" i="46" s="1"/>
  <c r="P47" i="46"/>
  <c r="Q45" i="46"/>
  <c r="O45" i="46"/>
  <c r="O55" i="46" s="1"/>
  <c r="N45" i="46"/>
  <c r="N55" i="46" s="1"/>
  <c r="M45" i="46"/>
  <c r="M55" i="46" s="1"/>
  <c r="L45" i="46"/>
  <c r="L55" i="46" s="1"/>
  <c r="J45" i="46"/>
  <c r="I45" i="46"/>
  <c r="I55" i="46" s="1"/>
  <c r="H45" i="46"/>
  <c r="H55" i="46" s="1"/>
  <c r="G45" i="46"/>
  <c r="F45" i="46"/>
  <c r="E45" i="46"/>
  <c r="D45" i="46"/>
  <c r="Q44" i="46"/>
  <c r="P44" i="46"/>
  <c r="P45" i="46" s="1"/>
  <c r="J40" i="46"/>
  <c r="Q39" i="46"/>
  <c r="O39" i="46"/>
  <c r="N39" i="46"/>
  <c r="M39" i="46"/>
  <c r="L39" i="46"/>
  <c r="J39" i="46"/>
  <c r="I39" i="46"/>
  <c r="H39" i="46"/>
  <c r="G39" i="46"/>
  <c r="F39" i="46"/>
  <c r="E39" i="46"/>
  <c r="D39" i="46"/>
  <c r="Q38" i="46"/>
  <c r="P38" i="46"/>
  <c r="P39" i="46" s="1"/>
  <c r="O36" i="46"/>
  <c r="N36" i="46"/>
  <c r="L36" i="46"/>
  <c r="J36" i="46"/>
  <c r="I36" i="46"/>
  <c r="H36" i="46"/>
  <c r="G36" i="46"/>
  <c r="F36" i="46"/>
  <c r="E36" i="46"/>
  <c r="D36" i="46"/>
  <c r="Q35" i="46"/>
  <c r="P35" i="46"/>
  <c r="P36" i="46" s="1"/>
  <c r="O35" i="46"/>
  <c r="N35" i="46"/>
  <c r="M35" i="46"/>
  <c r="M36" i="46" s="1"/>
  <c r="L35" i="46"/>
  <c r="P34" i="46"/>
  <c r="O34" i="46"/>
  <c r="Q34" i="46" s="1"/>
  <c r="Q36" i="46" s="1"/>
  <c r="Q33" i="46"/>
  <c r="P33" i="46"/>
  <c r="O31" i="46"/>
  <c r="N31" i="46"/>
  <c r="M31" i="46"/>
  <c r="L31" i="46"/>
  <c r="J31" i="46"/>
  <c r="I31" i="46"/>
  <c r="H31" i="46"/>
  <c r="G31" i="46"/>
  <c r="F31" i="46"/>
  <c r="E31" i="46"/>
  <c r="D31" i="46"/>
  <c r="Q30" i="46"/>
  <c r="P30" i="46"/>
  <c r="P31" i="46" s="1"/>
  <c r="O30" i="46"/>
  <c r="Q29" i="46"/>
  <c r="P29" i="46"/>
  <c r="P28" i="46"/>
  <c r="O28" i="46"/>
  <c r="Q28" i="46" s="1"/>
  <c r="Q31" i="46" s="1"/>
  <c r="Q27" i="46"/>
  <c r="P27" i="46"/>
  <c r="P25" i="46"/>
  <c r="O25" i="46"/>
  <c r="N25" i="46"/>
  <c r="M25" i="46"/>
  <c r="L25" i="46"/>
  <c r="J25" i="46"/>
  <c r="I25" i="46"/>
  <c r="H25" i="46"/>
  <c r="G25" i="46"/>
  <c r="F25" i="46"/>
  <c r="E25" i="46"/>
  <c r="D25" i="46"/>
  <c r="Q24" i="46"/>
  <c r="P24" i="46"/>
  <c r="Q23" i="46"/>
  <c r="Q25" i="46" s="1"/>
  <c r="P23" i="46"/>
  <c r="L21" i="46"/>
  <c r="J21" i="46"/>
  <c r="I21" i="46"/>
  <c r="H21" i="46"/>
  <c r="G21" i="46"/>
  <c r="G40" i="46" s="1"/>
  <c r="G79" i="46" s="1"/>
  <c r="G80" i="46" s="1"/>
  <c r="F21" i="46"/>
  <c r="E21" i="46"/>
  <c r="E40" i="46" s="1"/>
  <c r="E79" i="46" s="1"/>
  <c r="E80" i="46" s="1"/>
  <c r="D21" i="46"/>
  <c r="O20" i="46"/>
  <c r="O21" i="46" s="1"/>
  <c r="N20" i="46"/>
  <c r="Q20" i="46" s="1"/>
  <c r="M20" i="46"/>
  <c r="M21" i="46" s="1"/>
  <c r="L20" i="46"/>
  <c r="Q19" i="46"/>
  <c r="P19" i="46"/>
  <c r="Q18" i="46"/>
  <c r="P18" i="46"/>
  <c r="Q17" i="46"/>
  <c r="P17" i="46"/>
  <c r="Q16" i="46"/>
  <c r="P16" i="46"/>
  <c r="O14" i="46"/>
  <c r="O40" i="46" s="1"/>
  <c r="N14" i="46"/>
  <c r="M14" i="46"/>
  <c r="L14" i="46"/>
  <c r="L40" i="46" s="1"/>
  <c r="J14" i="46"/>
  <c r="I14" i="46"/>
  <c r="I40" i="46" s="1"/>
  <c r="I79" i="46" s="1"/>
  <c r="I80" i="46" s="1"/>
  <c r="H14" i="46"/>
  <c r="H40" i="46" s="1"/>
  <c r="H79" i="46" s="1"/>
  <c r="H80" i="46" s="1"/>
  <c r="G14" i="46"/>
  <c r="F14" i="46"/>
  <c r="F40" i="46" s="1"/>
  <c r="E14" i="46"/>
  <c r="D14" i="46"/>
  <c r="D40" i="46" s="1"/>
  <c r="D79" i="46" s="1"/>
  <c r="D80" i="46" s="1"/>
  <c r="Q13" i="46"/>
  <c r="P13" i="46"/>
  <c r="Q12" i="46"/>
  <c r="P12" i="46"/>
  <c r="Q11" i="46"/>
  <c r="P11" i="46"/>
  <c r="Q10" i="46"/>
  <c r="Q14" i="46" s="1"/>
  <c r="P10" i="46"/>
  <c r="P14" i="46" s="1"/>
  <c r="H13" i="45"/>
  <c r="H14" i="45" s="1"/>
  <c r="H16" i="45" s="1"/>
  <c r="O12" i="45"/>
  <c r="O13" i="45" s="1"/>
  <c r="O14" i="45" s="1"/>
  <c r="O16" i="45" s="1"/>
  <c r="L12" i="45"/>
  <c r="L13" i="45" s="1"/>
  <c r="L14" i="45" s="1"/>
  <c r="L16" i="45" s="1"/>
  <c r="I12" i="45"/>
  <c r="I13" i="45" s="1"/>
  <c r="I14" i="45" s="1"/>
  <c r="I16" i="45" s="1"/>
  <c r="H12" i="45"/>
  <c r="F12" i="45"/>
  <c r="F13" i="45" s="1"/>
  <c r="F14" i="45" s="1"/>
  <c r="F16" i="45" s="1"/>
  <c r="D12" i="45"/>
  <c r="D13" i="45" s="1"/>
  <c r="D14" i="45" s="1"/>
  <c r="D16" i="45" s="1"/>
  <c r="P11" i="45"/>
  <c r="P12" i="45" s="1"/>
  <c r="P13" i="45" s="1"/>
  <c r="P14" i="45" s="1"/>
  <c r="P16" i="45" s="1"/>
  <c r="O11" i="45"/>
  <c r="N11" i="45"/>
  <c r="N12" i="45" s="1"/>
  <c r="N13" i="45" s="1"/>
  <c r="N14" i="45" s="1"/>
  <c r="N16" i="45" s="1"/>
  <c r="M11" i="45"/>
  <c r="M12" i="45" s="1"/>
  <c r="M13" i="45" s="1"/>
  <c r="M14" i="45" s="1"/>
  <c r="M16" i="45" s="1"/>
  <c r="L11" i="45"/>
  <c r="J11" i="45"/>
  <c r="J12" i="45" s="1"/>
  <c r="J13" i="45" s="1"/>
  <c r="J14" i="45" s="1"/>
  <c r="J16" i="45" s="1"/>
  <c r="I11" i="45"/>
  <c r="H11" i="45"/>
  <c r="G11" i="45"/>
  <c r="G12" i="45" s="1"/>
  <c r="G13" i="45" s="1"/>
  <c r="G14" i="45" s="1"/>
  <c r="G16" i="45" s="1"/>
  <c r="F11" i="45"/>
  <c r="E11" i="45"/>
  <c r="E12" i="45" s="1"/>
  <c r="E13" i="45" s="1"/>
  <c r="E14" i="45" s="1"/>
  <c r="E16" i="45" s="1"/>
  <c r="D11" i="45"/>
  <c r="Q10" i="45"/>
  <c r="Q11" i="45" s="1"/>
  <c r="Q12" i="45" s="1"/>
  <c r="Q13" i="45" s="1"/>
  <c r="Q14" i="45" s="1"/>
  <c r="Q16" i="45" s="1"/>
  <c r="P10" i="45"/>
  <c r="J47" i="44"/>
  <c r="I47" i="44"/>
  <c r="H47" i="44"/>
  <c r="Q46" i="44"/>
  <c r="O46" i="44"/>
  <c r="N46" i="44"/>
  <c r="M46" i="44"/>
  <c r="L46" i="44"/>
  <c r="J46" i="44"/>
  <c r="I46" i="44"/>
  <c r="H46" i="44"/>
  <c r="G46" i="44"/>
  <c r="F46" i="44"/>
  <c r="E46" i="44"/>
  <c r="D46" i="44"/>
  <c r="Q45" i="44"/>
  <c r="P45" i="44"/>
  <c r="P46" i="44" s="1"/>
  <c r="O43" i="44"/>
  <c r="O47" i="44" s="1"/>
  <c r="N43" i="44"/>
  <c r="N47" i="44" s="1"/>
  <c r="M43" i="44"/>
  <c r="M47" i="44" s="1"/>
  <c r="L43" i="44"/>
  <c r="L47" i="44" s="1"/>
  <c r="J43" i="44"/>
  <c r="I43" i="44"/>
  <c r="H43" i="44"/>
  <c r="G43" i="44"/>
  <c r="G47" i="44" s="1"/>
  <c r="F43" i="44"/>
  <c r="F47" i="44" s="1"/>
  <c r="E43" i="44"/>
  <c r="E47" i="44" s="1"/>
  <c r="E48" i="44" s="1"/>
  <c r="E49" i="44" s="1"/>
  <c r="E51" i="44" s="1"/>
  <c r="D43" i="44"/>
  <c r="D47" i="44" s="1"/>
  <c r="D48" i="44" s="1"/>
  <c r="D49" i="44" s="1"/>
  <c r="D51" i="44" s="1"/>
  <c r="Q42" i="44"/>
  <c r="P42" i="44"/>
  <c r="Q41" i="44"/>
  <c r="Q43" i="44" s="1"/>
  <c r="Q47" i="44" s="1"/>
  <c r="P41" i="44"/>
  <c r="P43" i="44" s="1"/>
  <c r="P47" i="44" s="1"/>
  <c r="G38" i="44"/>
  <c r="E38" i="44"/>
  <c r="Q37" i="44"/>
  <c r="O37" i="44"/>
  <c r="N37" i="44"/>
  <c r="M37" i="44"/>
  <c r="L37" i="44"/>
  <c r="J37" i="44"/>
  <c r="I37" i="44"/>
  <c r="H37" i="44"/>
  <c r="G37" i="44"/>
  <c r="F37" i="44"/>
  <c r="F38" i="44" s="1"/>
  <c r="E37" i="44"/>
  <c r="D37" i="44"/>
  <c r="P36" i="44"/>
  <c r="P37" i="44" s="1"/>
  <c r="O34" i="44"/>
  <c r="N34" i="44"/>
  <c r="M34" i="44"/>
  <c r="L34" i="44"/>
  <c r="J34" i="44"/>
  <c r="I34" i="44"/>
  <c r="H34" i="44"/>
  <c r="G34" i="44"/>
  <c r="F34" i="44"/>
  <c r="E34" i="44"/>
  <c r="D34" i="44"/>
  <c r="Q33" i="44"/>
  <c r="P33" i="44"/>
  <c r="Q32" i="44"/>
  <c r="P32" i="44"/>
  <c r="Q31" i="44"/>
  <c r="Q34" i="44" s="1"/>
  <c r="P31" i="44"/>
  <c r="P34" i="44" s="1"/>
  <c r="P29" i="44"/>
  <c r="O29" i="44"/>
  <c r="N29" i="44"/>
  <c r="M29" i="44"/>
  <c r="L29" i="44"/>
  <c r="J29" i="44"/>
  <c r="I29" i="44"/>
  <c r="H29" i="44"/>
  <c r="G29" i="44"/>
  <c r="F29" i="44"/>
  <c r="E29" i="44"/>
  <c r="D29" i="44"/>
  <c r="Q28" i="44"/>
  <c r="Q29" i="44" s="1"/>
  <c r="P28" i="44"/>
  <c r="Q27" i="44"/>
  <c r="P27" i="44"/>
  <c r="Q26" i="44"/>
  <c r="P26" i="44"/>
  <c r="Q25" i="44"/>
  <c r="P25" i="44"/>
  <c r="O23" i="44"/>
  <c r="N23" i="44"/>
  <c r="M23" i="44"/>
  <c r="M38" i="44" s="1"/>
  <c r="L23" i="44"/>
  <c r="L38" i="44" s="1"/>
  <c r="J23" i="44"/>
  <c r="I23" i="44"/>
  <c r="H23" i="44"/>
  <c r="G23" i="44"/>
  <c r="F23" i="44"/>
  <c r="E23" i="44"/>
  <c r="D23" i="44"/>
  <c r="Q22" i="44"/>
  <c r="Q23" i="44" s="1"/>
  <c r="P22" i="44"/>
  <c r="P23" i="44" s="1"/>
  <c r="P20" i="44"/>
  <c r="O20" i="44"/>
  <c r="N20" i="44"/>
  <c r="M20" i="44"/>
  <c r="L20" i="44"/>
  <c r="J20" i="44"/>
  <c r="J38" i="44" s="1"/>
  <c r="I20" i="44"/>
  <c r="H20" i="44"/>
  <c r="G20" i="44"/>
  <c r="F20" i="44"/>
  <c r="E20" i="44"/>
  <c r="D20" i="44"/>
  <c r="Q19" i="44"/>
  <c r="Q20" i="44" s="1"/>
  <c r="P19" i="44"/>
  <c r="Q18" i="44"/>
  <c r="P18" i="44"/>
  <c r="Q17" i="44"/>
  <c r="P17" i="44"/>
  <c r="Q16" i="44"/>
  <c r="P16" i="44"/>
  <c r="Q15" i="44"/>
  <c r="P15" i="44"/>
  <c r="Q13" i="44"/>
  <c r="O13" i="44"/>
  <c r="O38" i="44" s="1"/>
  <c r="N13" i="44"/>
  <c r="N38" i="44" s="1"/>
  <c r="M13" i="44"/>
  <c r="L13" i="44"/>
  <c r="J13" i="44"/>
  <c r="I13" i="44"/>
  <c r="I38" i="44" s="1"/>
  <c r="I48" i="44" s="1"/>
  <c r="I49" i="44" s="1"/>
  <c r="I51" i="44" s="1"/>
  <c r="H13" i="44"/>
  <c r="H38" i="44" s="1"/>
  <c r="G13" i="44"/>
  <c r="F13" i="44"/>
  <c r="E13" i="44"/>
  <c r="D13" i="44"/>
  <c r="D38" i="44" s="1"/>
  <c r="Q12" i="44"/>
  <c r="P12" i="44"/>
  <c r="P13" i="44" s="1"/>
  <c r="Q11" i="44"/>
  <c r="P11" i="44"/>
  <c r="Q10" i="44"/>
  <c r="P10" i="44"/>
  <c r="O54" i="43"/>
  <c r="N54" i="43"/>
  <c r="M54" i="43"/>
  <c r="L54" i="43"/>
  <c r="Q37" i="43"/>
  <c r="P37" i="43"/>
  <c r="O37" i="43"/>
  <c r="N37" i="43"/>
  <c r="M37" i="43"/>
  <c r="L37" i="43"/>
  <c r="J37" i="43"/>
  <c r="I37" i="43"/>
  <c r="H37" i="43"/>
  <c r="G37" i="43"/>
  <c r="F37" i="43"/>
  <c r="E37" i="43"/>
  <c r="E38" i="43" s="1"/>
  <c r="E39" i="43" s="1"/>
  <c r="E40" i="43" s="1"/>
  <c r="E42" i="43" s="1"/>
  <c r="D37" i="43"/>
  <c r="O34" i="43"/>
  <c r="N34" i="43"/>
  <c r="M34" i="43"/>
  <c r="L34" i="43"/>
  <c r="J34" i="43"/>
  <c r="I34" i="43"/>
  <c r="H34" i="43"/>
  <c r="G34" i="43"/>
  <c r="F34" i="43"/>
  <c r="F38" i="43" s="1"/>
  <c r="F39" i="43" s="1"/>
  <c r="F40" i="43" s="1"/>
  <c r="F42" i="43" s="1"/>
  <c r="D34" i="43"/>
  <c r="Q33" i="43"/>
  <c r="P33" i="43"/>
  <c r="Q32" i="43"/>
  <c r="P32" i="43"/>
  <c r="Q31" i="43"/>
  <c r="Q34" i="43" s="1"/>
  <c r="P31" i="43"/>
  <c r="P34" i="43" s="1"/>
  <c r="N29" i="43"/>
  <c r="M29" i="43"/>
  <c r="L29" i="43"/>
  <c r="J29" i="43"/>
  <c r="I29" i="43"/>
  <c r="H29" i="43"/>
  <c r="G29" i="43"/>
  <c r="F29" i="43"/>
  <c r="D29" i="43"/>
  <c r="P28" i="43"/>
  <c r="O28" i="43"/>
  <c r="O29" i="43" s="1"/>
  <c r="Q27" i="43"/>
  <c r="P27" i="43"/>
  <c r="O27" i="43"/>
  <c r="P26" i="43"/>
  <c r="O26" i="43"/>
  <c r="Q26" i="43" s="1"/>
  <c r="Q25" i="43"/>
  <c r="P25" i="43"/>
  <c r="P29" i="43" s="1"/>
  <c r="O25" i="43"/>
  <c r="O23" i="43"/>
  <c r="M23" i="43"/>
  <c r="J23" i="43"/>
  <c r="I23" i="43"/>
  <c r="H23" i="43"/>
  <c r="G23" i="43"/>
  <c r="F23" i="43"/>
  <c r="D23" i="43"/>
  <c r="N22" i="43"/>
  <c r="Q22" i="43" s="1"/>
  <c r="Q23" i="43" s="1"/>
  <c r="M22" i="43"/>
  <c r="L22" i="43"/>
  <c r="L23" i="43" s="1"/>
  <c r="L38" i="43" s="1"/>
  <c r="L39" i="43" s="1"/>
  <c r="L40" i="43" s="1"/>
  <c r="L42" i="43" s="1"/>
  <c r="O20" i="43"/>
  <c r="N20" i="43"/>
  <c r="M20" i="43"/>
  <c r="L20" i="43"/>
  <c r="J20" i="43"/>
  <c r="I20" i="43"/>
  <c r="H20" i="43"/>
  <c r="G20" i="43"/>
  <c r="F20" i="43"/>
  <c r="D20" i="43"/>
  <c r="D38" i="43" s="1"/>
  <c r="D39" i="43" s="1"/>
  <c r="D40" i="43" s="1"/>
  <c r="D42" i="43" s="1"/>
  <c r="Q19" i="43"/>
  <c r="P19" i="43"/>
  <c r="Q18" i="43"/>
  <c r="P18" i="43"/>
  <c r="Q17" i="43"/>
  <c r="P17" i="43"/>
  <c r="Q16" i="43"/>
  <c r="Q20" i="43" s="1"/>
  <c r="P16" i="43"/>
  <c r="Q15" i="43"/>
  <c r="P15" i="43"/>
  <c r="P20" i="43" s="1"/>
  <c r="P13" i="43"/>
  <c r="O13" i="43"/>
  <c r="O38" i="43" s="1"/>
  <c r="O39" i="43" s="1"/>
  <c r="O40" i="43" s="1"/>
  <c r="O42" i="43" s="1"/>
  <c r="N13" i="43"/>
  <c r="M13" i="43"/>
  <c r="M38" i="43" s="1"/>
  <c r="M39" i="43" s="1"/>
  <c r="M40" i="43" s="1"/>
  <c r="M42" i="43" s="1"/>
  <c r="L13" i="43"/>
  <c r="J13" i="43"/>
  <c r="J38" i="43" s="1"/>
  <c r="J39" i="43" s="1"/>
  <c r="J40" i="43" s="1"/>
  <c r="J42" i="43" s="1"/>
  <c r="I13" i="43"/>
  <c r="I38" i="43" s="1"/>
  <c r="I39" i="43" s="1"/>
  <c r="I40" i="43" s="1"/>
  <c r="I42" i="43" s="1"/>
  <c r="H13" i="43"/>
  <c r="H38" i="43" s="1"/>
  <c r="H39" i="43" s="1"/>
  <c r="H40" i="43" s="1"/>
  <c r="H42" i="43" s="1"/>
  <c r="G13" i="43"/>
  <c r="G38" i="43" s="1"/>
  <c r="G39" i="43" s="1"/>
  <c r="G40" i="43" s="1"/>
  <c r="G42" i="43" s="1"/>
  <c r="F13" i="43"/>
  <c r="D13" i="43"/>
  <c r="Q12" i="43"/>
  <c r="Q13" i="43" s="1"/>
  <c r="P12" i="43"/>
  <c r="P11" i="43"/>
  <c r="Q10" i="43"/>
  <c r="P10" i="43"/>
  <c r="O54" i="42"/>
  <c r="N54" i="42"/>
  <c r="M54" i="42"/>
  <c r="L54" i="42"/>
  <c r="O26" i="42"/>
  <c r="O27" i="42" s="1"/>
  <c r="O28" i="42" s="1"/>
  <c r="O29" i="42" s="1"/>
  <c r="O31" i="42" s="1"/>
  <c r="J26" i="42"/>
  <c r="I26" i="42"/>
  <c r="H26" i="42"/>
  <c r="G26" i="42"/>
  <c r="F26" i="42"/>
  <c r="E26" i="42"/>
  <c r="D26" i="42"/>
  <c r="P25" i="42"/>
  <c r="N25" i="42"/>
  <c r="Q25" i="42" s="1"/>
  <c r="M25" i="42"/>
  <c r="M26" i="42" s="1"/>
  <c r="L25" i="42"/>
  <c r="L26" i="42" s="1"/>
  <c r="P24" i="42"/>
  <c r="P26" i="42" s="1"/>
  <c r="O24" i="42"/>
  <c r="Q24" i="42" s="1"/>
  <c r="O22" i="42"/>
  <c r="N22" i="42"/>
  <c r="M22" i="42"/>
  <c r="L22" i="42"/>
  <c r="J22" i="42"/>
  <c r="I22" i="42"/>
  <c r="H22" i="42"/>
  <c r="G22" i="42"/>
  <c r="F22" i="42"/>
  <c r="E22" i="42"/>
  <c r="D22" i="42"/>
  <c r="Q21" i="42"/>
  <c r="P21" i="42"/>
  <c r="Q20" i="42"/>
  <c r="P20" i="42"/>
  <c r="Q19" i="42"/>
  <c r="P19" i="42"/>
  <c r="P22" i="42" s="1"/>
  <c r="Q18" i="42"/>
  <c r="Q22" i="42" s="1"/>
  <c r="P18" i="42"/>
  <c r="O16" i="42"/>
  <c r="N16" i="42"/>
  <c r="M16" i="42"/>
  <c r="L16" i="42"/>
  <c r="J16" i="42"/>
  <c r="I16" i="42"/>
  <c r="H16" i="42"/>
  <c r="G16" i="42"/>
  <c r="F16" i="42"/>
  <c r="D16" i="42"/>
  <c r="Q15" i="42"/>
  <c r="P15" i="42"/>
  <c r="Q14" i="42"/>
  <c r="P14" i="42"/>
  <c r="Q13" i="42"/>
  <c r="Q16" i="42" s="1"/>
  <c r="P13" i="42"/>
  <c r="P16" i="42" s="1"/>
  <c r="O11" i="42"/>
  <c r="N11" i="42"/>
  <c r="M11" i="42"/>
  <c r="M27" i="42" s="1"/>
  <c r="M28" i="42" s="1"/>
  <c r="M29" i="42" s="1"/>
  <c r="M31" i="42" s="1"/>
  <c r="L11" i="42"/>
  <c r="J11" i="42"/>
  <c r="J27" i="42" s="1"/>
  <c r="J28" i="42" s="1"/>
  <c r="J29" i="42" s="1"/>
  <c r="J31" i="42" s="1"/>
  <c r="I11" i="42"/>
  <c r="I27" i="42" s="1"/>
  <c r="I28" i="42" s="1"/>
  <c r="I29" i="42" s="1"/>
  <c r="I31" i="42" s="1"/>
  <c r="H11" i="42"/>
  <c r="H27" i="42" s="1"/>
  <c r="H28" i="42" s="1"/>
  <c r="H29" i="42" s="1"/>
  <c r="H31" i="42" s="1"/>
  <c r="G11" i="42"/>
  <c r="G27" i="42" s="1"/>
  <c r="G28" i="42" s="1"/>
  <c r="G29" i="42" s="1"/>
  <c r="G31" i="42" s="1"/>
  <c r="F11" i="42"/>
  <c r="F27" i="42" s="1"/>
  <c r="F28" i="42" s="1"/>
  <c r="F29" i="42" s="1"/>
  <c r="F31" i="42" s="1"/>
  <c r="D11" i="42"/>
  <c r="D27" i="42" s="1"/>
  <c r="D28" i="42" s="1"/>
  <c r="D29" i="42" s="1"/>
  <c r="D31" i="42" s="1"/>
  <c r="Q10" i="42"/>
  <c r="Q11" i="42" s="1"/>
  <c r="P10" i="42"/>
  <c r="P11" i="42" s="1"/>
  <c r="AT538" i="72" l="1"/>
  <c r="AS538" i="72"/>
  <c r="N24" i="50"/>
  <c r="N25" i="50" s="1"/>
  <c r="N26" i="50" s="1"/>
  <c r="N28" i="50" s="1"/>
  <c r="O24" i="50"/>
  <c r="O25" i="50" s="1"/>
  <c r="O26" i="50" s="1"/>
  <c r="O28" i="50" s="1"/>
  <c r="E24" i="50"/>
  <c r="E25" i="50" s="1"/>
  <c r="E26" i="50" s="1"/>
  <c r="E28" i="50" s="1"/>
  <c r="Q17" i="50"/>
  <c r="Q24" i="50" s="1"/>
  <c r="Q25" i="50" s="1"/>
  <c r="Q26" i="50" s="1"/>
  <c r="Q28" i="50" s="1"/>
  <c r="I24" i="50"/>
  <c r="I25" i="50" s="1"/>
  <c r="I26" i="50" s="1"/>
  <c r="I28" i="50" s="1"/>
  <c r="M48" i="44"/>
  <c r="M49" i="44" s="1"/>
  <c r="M51" i="44" s="1"/>
  <c r="M54" i="44"/>
  <c r="N48" i="44"/>
  <c r="N49" i="44" s="1"/>
  <c r="N51" i="44" s="1"/>
  <c r="Q21" i="46"/>
  <c r="P43" i="51"/>
  <c r="P44" i="51" s="1"/>
  <c r="O48" i="44"/>
  <c r="O49" i="44" s="1"/>
  <c r="O51" i="44" s="1"/>
  <c r="L27" i="42"/>
  <c r="L28" i="42" s="1"/>
  <c r="L29" i="42" s="1"/>
  <c r="L31" i="42" s="1"/>
  <c r="P38" i="43"/>
  <c r="P39" i="43" s="1"/>
  <c r="P40" i="43" s="1"/>
  <c r="P42" i="43" s="1"/>
  <c r="H48" i="44"/>
  <c r="H49" i="44" s="1"/>
  <c r="H51" i="44" s="1"/>
  <c r="P46" i="55"/>
  <c r="Q26" i="42"/>
  <c r="F48" i="44"/>
  <c r="F49" i="44" s="1"/>
  <c r="F51" i="44" s="1"/>
  <c r="Q40" i="46"/>
  <c r="N45" i="51"/>
  <c r="N46" i="51" s="1"/>
  <c r="N48" i="51" s="1"/>
  <c r="P27" i="42"/>
  <c r="P28" i="42" s="1"/>
  <c r="P29" i="42" s="1"/>
  <c r="P31" i="42" s="1"/>
  <c r="P38" i="44"/>
  <c r="P48" i="44" s="1"/>
  <c r="P49" i="44" s="1"/>
  <c r="P51" i="44" s="1"/>
  <c r="G49" i="47"/>
  <c r="G50" i="47" s="1"/>
  <c r="G52" i="47" s="1"/>
  <c r="G48" i="44"/>
  <c r="G49" i="44" s="1"/>
  <c r="G51" i="44" s="1"/>
  <c r="J48" i="44"/>
  <c r="J49" i="44" s="1"/>
  <c r="J51" i="44" s="1"/>
  <c r="L48" i="44"/>
  <c r="L49" i="44" s="1"/>
  <c r="L51" i="44" s="1"/>
  <c r="Q27" i="42"/>
  <c r="Q28" i="42" s="1"/>
  <c r="Q29" i="42" s="1"/>
  <c r="Q31" i="42" s="1"/>
  <c r="Q38" i="44"/>
  <c r="Q48" i="44" s="1"/>
  <c r="Q49" i="44" s="1"/>
  <c r="Q51" i="44" s="1"/>
  <c r="L79" i="46"/>
  <c r="L80" i="46" s="1"/>
  <c r="M40" i="46"/>
  <c r="M79" i="46" s="1"/>
  <c r="M80" i="46" s="1"/>
  <c r="N26" i="42"/>
  <c r="N27" i="42" s="1"/>
  <c r="N28" i="42" s="1"/>
  <c r="N29" i="42" s="1"/>
  <c r="N31" i="42" s="1"/>
  <c r="N23" i="43"/>
  <c r="N38" i="43" s="1"/>
  <c r="N39" i="43" s="1"/>
  <c r="N40" i="43" s="1"/>
  <c r="N42" i="43" s="1"/>
  <c r="P42" i="51"/>
  <c r="F178" i="55"/>
  <c r="F179" i="55" s="1"/>
  <c r="F181" i="55" s="1"/>
  <c r="P22" i="43"/>
  <c r="P23" i="43" s="1"/>
  <c r="J55" i="46"/>
  <c r="F78" i="46"/>
  <c r="F79" i="46" s="1"/>
  <c r="F80" i="46" s="1"/>
  <c r="I40" i="48"/>
  <c r="I41" i="48" s="1"/>
  <c r="I42" i="48" s="1"/>
  <c r="I44" i="48" s="1"/>
  <c r="P36" i="49"/>
  <c r="P41" i="49" s="1"/>
  <c r="P42" i="49" s="1"/>
  <c r="P43" i="49" s="1"/>
  <c r="P45" i="49" s="1"/>
  <c r="D24" i="50"/>
  <c r="D25" i="50" s="1"/>
  <c r="D26" i="50" s="1"/>
  <c r="D28" i="50" s="1"/>
  <c r="Q43" i="51"/>
  <c r="Q44" i="51" s="1"/>
  <c r="Q45" i="51" s="1"/>
  <c r="Q46" i="51" s="1"/>
  <c r="Q48" i="51" s="1"/>
  <c r="L18" i="53"/>
  <c r="L19" i="53" s="1"/>
  <c r="L20" i="53" s="1"/>
  <c r="L22" i="53" s="1"/>
  <c r="Q15" i="55"/>
  <c r="H46" i="55"/>
  <c r="H178" i="55" s="1"/>
  <c r="H179" i="55" s="1"/>
  <c r="H181" i="55" s="1"/>
  <c r="Q28" i="43"/>
  <c r="Q29" i="43" s="1"/>
  <c r="Q38" i="43" s="1"/>
  <c r="Q39" i="43" s="1"/>
  <c r="Q40" i="43" s="1"/>
  <c r="Q42" i="43" s="1"/>
  <c r="J40" i="48"/>
  <c r="J41" i="48" s="1"/>
  <c r="J42" i="48" s="1"/>
  <c r="J44" i="48" s="1"/>
  <c r="Q33" i="48"/>
  <c r="P17" i="50"/>
  <c r="P24" i="50" s="1"/>
  <c r="P25" i="50" s="1"/>
  <c r="P26" i="50" s="1"/>
  <c r="P28" i="50" s="1"/>
  <c r="F35" i="51"/>
  <c r="F45" i="51" s="1"/>
  <c r="F46" i="51" s="1"/>
  <c r="F48" i="51" s="1"/>
  <c r="O24" i="62"/>
  <c r="O44" i="62" s="1"/>
  <c r="O45" i="62" s="1"/>
  <c r="O46" i="62" s="1"/>
  <c r="O48" i="62" s="1"/>
  <c r="Q21" i="62"/>
  <c r="Q24" i="62" s="1"/>
  <c r="O77" i="46"/>
  <c r="P21" i="47"/>
  <c r="Q38" i="47"/>
  <c r="J178" i="55"/>
  <c r="J179" i="55" s="1"/>
  <c r="J181" i="55" s="1"/>
  <c r="D42" i="47"/>
  <c r="D49" i="47" s="1"/>
  <c r="D50" i="47" s="1"/>
  <c r="D52" i="47" s="1"/>
  <c r="Q21" i="47"/>
  <c r="O38" i="47"/>
  <c r="O42" i="47" s="1"/>
  <c r="O49" i="47" s="1"/>
  <c r="O50" i="47" s="1"/>
  <c r="O52" i="47" s="1"/>
  <c r="Q35" i="47"/>
  <c r="G24" i="50"/>
  <c r="G25" i="50" s="1"/>
  <c r="G26" i="50" s="1"/>
  <c r="G28" i="50" s="1"/>
  <c r="L35" i="51"/>
  <c r="L45" i="51" s="1"/>
  <c r="L46" i="51" s="1"/>
  <c r="L48" i="51" s="1"/>
  <c r="G69" i="58"/>
  <c r="G70" i="58" s="1"/>
  <c r="G72" i="58" s="1"/>
  <c r="N21" i="46"/>
  <c r="N40" i="46" s="1"/>
  <c r="N79" i="46" s="1"/>
  <c r="N80" i="46" s="1"/>
  <c r="P61" i="46"/>
  <c r="J78" i="46"/>
  <c r="J79" i="46" s="1"/>
  <c r="J80" i="46" s="1"/>
  <c r="E42" i="47"/>
  <c r="E49" i="47" s="1"/>
  <c r="E50" i="47" s="1"/>
  <c r="E52" i="47" s="1"/>
  <c r="H24" i="50"/>
  <c r="H25" i="50" s="1"/>
  <c r="H26" i="50" s="1"/>
  <c r="H28" i="50" s="1"/>
  <c r="I35" i="51"/>
  <c r="I45" i="51" s="1"/>
  <c r="I46" i="51" s="1"/>
  <c r="I48" i="51" s="1"/>
  <c r="P58" i="55"/>
  <c r="L69" i="58"/>
  <c r="L70" i="58" s="1"/>
  <c r="L72" i="58" s="1"/>
  <c r="N56" i="63"/>
  <c r="N57" i="63" s="1"/>
  <c r="N58" i="63" s="1"/>
  <c r="N60" i="63" s="1"/>
  <c r="P20" i="46"/>
  <c r="P21" i="46" s="1"/>
  <c r="P40" i="46" s="1"/>
  <c r="F42" i="47"/>
  <c r="F49" i="47" s="1"/>
  <c r="F50" i="47" s="1"/>
  <c r="F52" i="47" s="1"/>
  <c r="Q25" i="47"/>
  <c r="Q27" i="47" s="1"/>
  <c r="E41" i="49"/>
  <c r="E42" i="49" s="1"/>
  <c r="E43" i="49" s="1"/>
  <c r="E45" i="49" s="1"/>
  <c r="J35" i="51"/>
  <c r="J45" i="51" s="1"/>
  <c r="J46" i="51" s="1"/>
  <c r="J48" i="51" s="1"/>
  <c r="N46" i="55"/>
  <c r="Q160" i="55"/>
  <c r="O56" i="63"/>
  <c r="O57" i="63" s="1"/>
  <c r="O58" i="63" s="1"/>
  <c r="O60" i="63" s="1"/>
  <c r="Q55" i="46"/>
  <c r="F41" i="49"/>
  <c r="F42" i="49" s="1"/>
  <c r="F43" i="49" s="1"/>
  <c r="F45" i="49" s="1"/>
  <c r="N30" i="49"/>
  <c r="N41" i="49" s="1"/>
  <c r="N42" i="49" s="1"/>
  <c r="N43" i="49" s="1"/>
  <c r="N45" i="49" s="1"/>
  <c r="Q28" i="49"/>
  <c r="Q30" i="49" s="1"/>
  <c r="Q41" i="49" s="1"/>
  <c r="Q42" i="49" s="1"/>
  <c r="Q43" i="49" s="1"/>
  <c r="Q45" i="49" s="1"/>
  <c r="J24" i="50"/>
  <c r="J25" i="50" s="1"/>
  <c r="J26" i="50" s="1"/>
  <c r="J28" i="50" s="1"/>
  <c r="O45" i="51"/>
  <c r="O46" i="51" s="1"/>
  <c r="O48" i="51" s="1"/>
  <c r="P31" i="55"/>
  <c r="Q35" i="55"/>
  <c r="P54" i="46"/>
  <c r="P55" i="46" s="1"/>
  <c r="P14" i="47"/>
  <c r="H42" i="47"/>
  <c r="H49" i="47" s="1"/>
  <c r="H50" i="47" s="1"/>
  <c r="H52" i="47" s="1"/>
  <c r="D40" i="48"/>
  <c r="D41" i="48" s="1"/>
  <c r="D42" i="48" s="1"/>
  <c r="D44" i="48" s="1"/>
  <c r="P20" i="48"/>
  <c r="P40" i="48" s="1"/>
  <c r="P41" i="48" s="1"/>
  <c r="P42" i="48" s="1"/>
  <c r="P44" i="48" s="1"/>
  <c r="G41" i="49"/>
  <c r="G42" i="49" s="1"/>
  <c r="G43" i="49" s="1"/>
  <c r="G45" i="49" s="1"/>
  <c r="M35" i="51"/>
  <c r="M45" i="51" s="1"/>
  <c r="M46" i="51" s="1"/>
  <c r="M48" i="51" s="1"/>
  <c r="P27" i="51"/>
  <c r="P35" i="51" s="1"/>
  <c r="P45" i="51" s="1"/>
  <c r="P46" i="51" s="1"/>
  <c r="P48" i="51" s="1"/>
  <c r="G71" i="55"/>
  <c r="G178" i="55" s="1"/>
  <c r="G179" i="55" s="1"/>
  <c r="G181" i="55" s="1"/>
  <c r="F55" i="46"/>
  <c r="O78" i="46"/>
  <c r="O79" i="46" s="1"/>
  <c r="O80" i="46" s="1"/>
  <c r="P74" i="46"/>
  <c r="Q14" i="47"/>
  <c r="Q20" i="48"/>
  <c r="Q40" i="48" s="1"/>
  <c r="Q41" i="48" s="1"/>
  <c r="Q42" i="48" s="1"/>
  <c r="Q44" i="48" s="1"/>
  <c r="Q23" i="55"/>
  <c r="P96" i="55"/>
  <c r="F49" i="56"/>
  <c r="F152" i="56" s="1"/>
  <c r="F153" i="56" s="1"/>
  <c r="F155" i="56" s="1"/>
  <c r="P63" i="56"/>
  <c r="P92" i="56"/>
  <c r="O144" i="56"/>
  <c r="Q35" i="57"/>
  <c r="Q36" i="57" s="1"/>
  <c r="Q37" i="57" s="1"/>
  <c r="Q38" i="57" s="1"/>
  <c r="Q40" i="57" s="1"/>
  <c r="I69" i="58"/>
  <c r="I70" i="58" s="1"/>
  <c r="I72" i="58" s="1"/>
  <c r="J27" i="60"/>
  <c r="J28" i="60" s="1"/>
  <c r="J30" i="60" s="1"/>
  <c r="P44" i="62"/>
  <c r="P45" i="62" s="1"/>
  <c r="P46" i="62" s="1"/>
  <c r="P48" i="62" s="1"/>
  <c r="P56" i="63"/>
  <c r="P57" i="63" s="1"/>
  <c r="P58" i="63" s="1"/>
  <c r="P60" i="63" s="1"/>
  <c r="P45" i="63"/>
  <c r="F31" i="64"/>
  <c r="F32" i="64" s="1"/>
  <c r="F33" i="64" s="1"/>
  <c r="F35" i="64" s="1"/>
  <c r="J37" i="65"/>
  <c r="J38" i="65" s="1"/>
  <c r="J39" i="65" s="1"/>
  <c r="J41" i="65" s="1"/>
  <c r="F126" i="55"/>
  <c r="Q112" i="55"/>
  <c r="Q126" i="55" s="1"/>
  <c r="G49" i="56"/>
  <c r="G152" i="56" s="1"/>
  <c r="G153" i="56" s="1"/>
  <c r="G155" i="56" s="1"/>
  <c r="Q56" i="56"/>
  <c r="Q63" i="56" s="1"/>
  <c r="I63" i="56"/>
  <c r="I152" i="56" s="1"/>
  <c r="I153" i="56" s="1"/>
  <c r="I155" i="56" s="1"/>
  <c r="E92" i="56"/>
  <c r="E152" i="56" s="1"/>
  <c r="E153" i="56" s="1"/>
  <c r="E155" i="56" s="1"/>
  <c r="P20" i="57"/>
  <c r="P36" i="57" s="1"/>
  <c r="P37" i="57" s="1"/>
  <c r="P38" i="57" s="1"/>
  <c r="P40" i="57" s="1"/>
  <c r="J51" i="58"/>
  <c r="J69" i="58" s="1"/>
  <c r="J70" i="58" s="1"/>
  <c r="J72" i="58" s="1"/>
  <c r="J37" i="59"/>
  <c r="J38" i="59" s="1"/>
  <c r="J39" i="59" s="1"/>
  <c r="J41" i="59" s="1"/>
  <c r="P36" i="59"/>
  <c r="P37" i="59" s="1"/>
  <c r="P38" i="59" s="1"/>
  <c r="P39" i="59" s="1"/>
  <c r="P41" i="59" s="1"/>
  <c r="L27" i="60"/>
  <c r="L28" i="60" s="1"/>
  <c r="L30" i="60" s="1"/>
  <c r="Q26" i="60"/>
  <c r="Q27" i="60" s="1"/>
  <c r="Q28" i="60" s="1"/>
  <c r="Q30" i="60" s="1"/>
  <c r="P26" i="60"/>
  <c r="O52" i="61"/>
  <c r="O53" i="61" s="1"/>
  <c r="O54" i="61" s="1"/>
  <c r="O56" i="61" s="1"/>
  <c r="D56" i="63"/>
  <c r="D57" i="63" s="1"/>
  <c r="D58" i="63" s="1"/>
  <c r="D60" i="63" s="1"/>
  <c r="N31" i="65"/>
  <c r="N37" i="65" s="1"/>
  <c r="N38" i="65" s="1"/>
  <c r="N39" i="65" s="1"/>
  <c r="N41" i="65" s="1"/>
  <c r="Q28" i="65"/>
  <c r="Q31" i="65" s="1"/>
  <c r="Q37" i="65" s="1"/>
  <c r="Q38" i="65" s="1"/>
  <c r="Q39" i="65" s="1"/>
  <c r="Q41" i="65" s="1"/>
  <c r="P28" i="65"/>
  <c r="P31" i="65" s="1"/>
  <c r="P37" i="65" s="1"/>
  <c r="P38" i="65" s="1"/>
  <c r="P39" i="65" s="1"/>
  <c r="P41" i="65" s="1"/>
  <c r="M71" i="55"/>
  <c r="G126" i="55"/>
  <c r="P35" i="56"/>
  <c r="P91" i="56"/>
  <c r="P117" i="56"/>
  <c r="D144" i="56"/>
  <c r="P30" i="58"/>
  <c r="P51" i="58" s="1"/>
  <c r="P69" i="58" s="1"/>
  <c r="P70" i="58" s="1"/>
  <c r="P72" i="58" s="1"/>
  <c r="L37" i="59"/>
  <c r="L38" i="59" s="1"/>
  <c r="L39" i="59" s="1"/>
  <c r="L41" i="59" s="1"/>
  <c r="Q29" i="47"/>
  <c r="Q32" i="47" s="1"/>
  <c r="N71" i="55"/>
  <c r="Q92" i="55"/>
  <c r="Q96" i="55" s="1"/>
  <c r="H126" i="55"/>
  <c r="L160" i="55"/>
  <c r="Q170" i="55"/>
  <c r="Q177" i="55" s="1"/>
  <c r="Q91" i="56"/>
  <c r="Q92" i="56" s="1"/>
  <c r="P104" i="56"/>
  <c r="E36" i="57"/>
  <c r="E37" i="57" s="1"/>
  <c r="E38" i="57" s="1"/>
  <c r="E40" i="57" s="1"/>
  <c r="M51" i="58"/>
  <c r="M69" i="58" s="1"/>
  <c r="M70" i="58" s="1"/>
  <c r="M72" i="58" s="1"/>
  <c r="Q68" i="58"/>
  <c r="D52" i="61"/>
  <c r="D53" i="61" s="1"/>
  <c r="D54" i="61" s="1"/>
  <c r="D56" i="61" s="1"/>
  <c r="Q27" i="61"/>
  <c r="Q52" i="61" s="1"/>
  <c r="Q53" i="61" s="1"/>
  <c r="Q54" i="61" s="1"/>
  <c r="Q56" i="61" s="1"/>
  <c r="F44" i="62"/>
  <c r="F45" i="62" s="1"/>
  <c r="F46" i="62" s="1"/>
  <c r="F48" i="62" s="1"/>
  <c r="Q37" i="63"/>
  <c r="Q56" i="63" s="1"/>
  <c r="Q57" i="63" s="1"/>
  <c r="Q58" i="63" s="1"/>
  <c r="Q60" i="63" s="1"/>
  <c r="P55" i="63"/>
  <c r="O71" i="55"/>
  <c r="O178" i="55" s="1"/>
  <c r="O179" i="55" s="1"/>
  <c r="O181" i="55" s="1"/>
  <c r="F96" i="55"/>
  <c r="M160" i="55"/>
  <c r="M178" i="55" s="1"/>
  <c r="M179" i="55" s="1"/>
  <c r="M181" i="55" s="1"/>
  <c r="P145" i="55"/>
  <c r="P160" i="55" s="1"/>
  <c r="F177" i="55"/>
  <c r="D49" i="56"/>
  <c r="Q104" i="56"/>
  <c r="Q117" i="56" s="1"/>
  <c r="N51" i="58"/>
  <c r="N69" i="58" s="1"/>
  <c r="N70" i="58" s="1"/>
  <c r="N72" i="58" s="1"/>
  <c r="D68" i="58"/>
  <c r="D69" i="58" s="1"/>
  <c r="D70" i="58" s="1"/>
  <c r="D72" i="58" s="1"/>
  <c r="P27" i="60"/>
  <c r="P28" i="60" s="1"/>
  <c r="P30" i="60" s="1"/>
  <c r="O27" i="60"/>
  <c r="O28" i="60" s="1"/>
  <c r="O30" i="60" s="1"/>
  <c r="E52" i="61"/>
  <c r="E53" i="61" s="1"/>
  <c r="E54" i="61" s="1"/>
  <c r="E56" i="61" s="1"/>
  <c r="P20" i="61"/>
  <c r="P52" i="61" s="1"/>
  <c r="P53" i="61" s="1"/>
  <c r="P54" i="61" s="1"/>
  <c r="P56" i="61" s="1"/>
  <c r="P71" i="55"/>
  <c r="G96" i="55"/>
  <c r="L49" i="56"/>
  <c r="G144" i="56"/>
  <c r="Q30" i="58"/>
  <c r="O37" i="59"/>
  <c r="O38" i="59" s="1"/>
  <c r="O39" i="59" s="1"/>
  <c r="O41" i="59" s="1"/>
  <c r="Q25" i="60"/>
  <c r="F52" i="61"/>
  <c r="F53" i="61" s="1"/>
  <c r="F54" i="61" s="1"/>
  <c r="F56" i="61" s="1"/>
  <c r="H44" i="62"/>
  <c r="H45" i="62" s="1"/>
  <c r="H46" i="62" s="1"/>
  <c r="H48" i="62" s="1"/>
  <c r="Q29" i="62"/>
  <c r="Q44" i="62" s="1"/>
  <c r="Q45" i="62" s="1"/>
  <c r="Q46" i="62" s="1"/>
  <c r="Q48" i="62" s="1"/>
  <c r="H56" i="63"/>
  <c r="H57" i="63" s="1"/>
  <c r="H58" i="63" s="1"/>
  <c r="H60" i="63" s="1"/>
  <c r="O25" i="65"/>
  <c r="O37" i="65" s="1"/>
  <c r="O38" i="65" s="1"/>
  <c r="O39" i="65" s="1"/>
  <c r="O41" i="65" s="1"/>
  <c r="Q22" i="65"/>
  <c r="Q25" i="65" s="1"/>
  <c r="P36" i="65"/>
  <c r="Q72" i="46"/>
  <c r="Q74" i="46" s="1"/>
  <c r="Q78" i="46" s="1"/>
  <c r="H96" i="55"/>
  <c r="L126" i="55"/>
  <c r="L178" i="55" s="1"/>
  <c r="L179" i="55" s="1"/>
  <c r="L181" i="55" s="1"/>
  <c r="L184" i="55" s="1"/>
  <c r="M49" i="56"/>
  <c r="M152" i="56" s="1"/>
  <c r="M153" i="56" s="1"/>
  <c r="M155" i="56" s="1"/>
  <c r="P26" i="56"/>
  <c r="P49" i="56" s="1"/>
  <c r="P152" i="56" s="1"/>
  <c r="P153" i="56" s="1"/>
  <c r="P155" i="56" s="1"/>
  <c r="J92" i="56"/>
  <c r="J152" i="56" s="1"/>
  <c r="J153" i="56" s="1"/>
  <c r="J155" i="56" s="1"/>
  <c r="P124" i="56"/>
  <c r="P144" i="56" s="1"/>
  <c r="H144" i="56"/>
  <c r="H152" i="56" s="1"/>
  <c r="H153" i="56" s="1"/>
  <c r="H155" i="56" s="1"/>
  <c r="Q21" i="58"/>
  <c r="Q51" i="58" s="1"/>
  <c r="Q69" i="58" s="1"/>
  <c r="Q70" i="58" s="1"/>
  <c r="Q72" i="58" s="1"/>
  <c r="Q37" i="59"/>
  <c r="Q38" i="59" s="1"/>
  <c r="Q39" i="59" s="1"/>
  <c r="Q41" i="59" s="1"/>
  <c r="P30" i="59"/>
  <c r="D27" i="60"/>
  <c r="D28" i="60" s="1"/>
  <c r="D30" i="60" s="1"/>
  <c r="I44" i="62"/>
  <c r="I45" i="62" s="1"/>
  <c r="I46" i="62" s="1"/>
  <c r="I48" i="62" s="1"/>
  <c r="O29" i="62"/>
  <c r="Q27" i="62"/>
  <c r="I56" i="63"/>
  <c r="I57" i="63" s="1"/>
  <c r="I58" i="63" s="1"/>
  <c r="I60" i="63" s="1"/>
  <c r="E71" i="55"/>
  <c r="E178" i="55" s="1"/>
  <c r="E179" i="55" s="1"/>
  <c r="E181" i="55" s="1"/>
  <c r="I96" i="55"/>
  <c r="I178" i="55" s="1"/>
  <c r="I179" i="55" s="1"/>
  <c r="I181" i="55" s="1"/>
  <c r="M126" i="55"/>
  <c r="P117" i="55"/>
  <c r="P126" i="55" s="1"/>
  <c r="N49" i="56"/>
  <c r="N152" i="56" s="1"/>
  <c r="N153" i="56" s="1"/>
  <c r="N155" i="56" s="1"/>
  <c r="L92" i="56"/>
  <c r="Q124" i="56"/>
  <c r="Q144" i="56" s="1"/>
  <c r="Q30" i="59"/>
  <c r="Q31" i="64"/>
  <c r="Q32" i="64" s="1"/>
  <c r="Q33" i="64" s="1"/>
  <c r="Q35" i="64" s="1"/>
  <c r="N126" i="55"/>
  <c r="D160" i="55"/>
  <c r="D178" i="55" s="1"/>
  <c r="D179" i="55" s="1"/>
  <c r="D181" i="55" s="1"/>
  <c r="O49" i="56"/>
  <c r="O152" i="56" s="1"/>
  <c r="O153" i="56" s="1"/>
  <c r="O155" i="56" s="1"/>
  <c r="E37" i="59"/>
  <c r="E38" i="59" s="1"/>
  <c r="E39" i="59" s="1"/>
  <c r="E41" i="59" s="1"/>
  <c r="G52" i="61"/>
  <c r="G53" i="61" s="1"/>
  <c r="G54" i="61" s="1"/>
  <c r="G56" i="61" s="1"/>
  <c r="F37" i="65"/>
  <c r="F38" i="65" s="1"/>
  <c r="F39" i="65" s="1"/>
  <c r="F41" i="65" s="1"/>
  <c r="O14" i="58"/>
  <c r="O51" i="58" s="1"/>
  <c r="O69" i="58" s="1"/>
  <c r="O70" i="58" s="1"/>
  <c r="O72" i="58" s="1"/>
  <c r="P28" i="56"/>
  <c r="P30" i="56" s="1"/>
  <c r="N35" i="56"/>
  <c r="N159" i="55"/>
  <c r="N160" i="55" s="1"/>
  <c r="Q28" i="56"/>
  <c r="Q30" i="56" s="1"/>
  <c r="Q49" i="56" s="1"/>
  <c r="Q152" i="56" s="1"/>
  <c r="Q153" i="56" s="1"/>
  <c r="Q155" i="56" s="1"/>
  <c r="P34" i="56"/>
  <c r="N178" i="55" l="1"/>
  <c r="N179" i="55" s="1"/>
  <c r="N181" i="55" s="1"/>
  <c r="N184" i="55" s="1"/>
  <c r="P178" i="55"/>
  <c r="P179" i="55" s="1"/>
  <c r="P181" i="55" s="1"/>
  <c r="Q46" i="55"/>
  <c r="Q178" i="55" s="1"/>
  <c r="Q179" i="55" s="1"/>
  <c r="Q181" i="55" s="1"/>
  <c r="P78" i="46"/>
  <c r="P79" i="46" s="1"/>
  <c r="P80" i="46" s="1"/>
  <c r="N54" i="44"/>
  <c r="D152" i="56"/>
  <c r="D153" i="56" s="1"/>
  <c r="D155" i="56" s="1"/>
  <c r="Q42" i="47"/>
  <c r="Q49" i="47" s="1"/>
  <c r="Q50" i="47" s="1"/>
  <c r="Q52" i="47" s="1"/>
  <c r="P42" i="47"/>
  <c r="P49" i="47" s="1"/>
  <c r="P50" i="47" s="1"/>
  <c r="P52" i="47" s="1"/>
  <c r="N82" i="46"/>
  <c r="L152" i="56"/>
  <c r="L153" i="56" s="1"/>
  <c r="L155" i="56" s="1"/>
  <c r="Q79" i="46"/>
  <c r="Q80" i="46" s="1"/>
  <c r="L54" i="44"/>
  <c r="O54" i="44"/>
</calcChain>
</file>

<file path=xl/sharedStrings.xml><?xml version="1.0" encoding="utf-8"?>
<sst xmlns="http://schemas.openxmlformats.org/spreadsheetml/2006/main" count="5632" uniqueCount="649">
  <si>
    <t>Account Number</t>
  </si>
  <si>
    <t>Account Description</t>
  </si>
  <si>
    <t>2023 Actuals</t>
  </si>
  <si>
    <t>2023 Budget</t>
  </si>
  <si>
    <t>2024 Budget</t>
  </si>
  <si>
    <t>2024 Actuals</t>
  </si>
  <si>
    <t>2025 Budget</t>
  </si>
  <si>
    <t>2025 Actuals</t>
  </si>
  <si>
    <t>2026 Budget</t>
  </si>
  <si>
    <t xml:space="preserve">2027 Default Budget </t>
  </si>
  <si>
    <t>2027 Town Manager  Budget</t>
  </si>
  <si>
    <t>PS Salaries - Personnel services - salaries</t>
  </si>
  <si>
    <t>4130-000</t>
  </si>
  <si>
    <t>Elected Salaries</t>
  </si>
  <si>
    <t>PS Benefits - Personnel services - benefits</t>
  </si>
  <si>
    <t>4220-000</t>
  </si>
  <si>
    <t>FICA Benefits</t>
  </si>
  <si>
    <t>4225-000</t>
  </si>
  <si>
    <t>Medicare Benefits</t>
  </si>
  <si>
    <t>4260-000</t>
  </si>
  <si>
    <t>Workers' comp Benefits</t>
  </si>
  <si>
    <t>PS prof - Purchased services - professional &amp; technical</t>
  </si>
  <si>
    <t>4550-000</t>
  </si>
  <si>
    <t>Printing Services</t>
  </si>
  <si>
    <t>4570-000</t>
  </si>
  <si>
    <t>Sem &amp; workshops Services</t>
  </si>
  <si>
    <t>4575-000</t>
  </si>
  <si>
    <t>Travel &amp; mileage Services</t>
  </si>
  <si>
    <t>4330-000</t>
  </si>
  <si>
    <t>MGMT services Services</t>
  </si>
  <si>
    <t>Supplies - Supplies</t>
  </si>
  <si>
    <t>4610-000</t>
  </si>
  <si>
    <t>General expenses Supplies</t>
  </si>
  <si>
    <t>4680-000</t>
  </si>
  <si>
    <t>Dept. expense Supplies</t>
  </si>
  <si>
    <t>4110-000</t>
  </si>
  <si>
    <t>Regular Salaries</t>
  </si>
  <si>
    <t>4120-000</t>
  </si>
  <si>
    <t>Part-time Salaries</t>
  </si>
  <si>
    <t>4140-000</t>
  </si>
  <si>
    <t>Overtime Salaries</t>
  </si>
  <si>
    <t>4215-000</t>
  </si>
  <si>
    <t>STD, LTD, &amp; Life  Benefits</t>
  </si>
  <si>
    <t>4230-000</t>
  </si>
  <si>
    <t>Retirement Benefits</t>
  </si>
  <si>
    <t>PS other - Purchased services - other</t>
  </si>
  <si>
    <t>4560-000</t>
  </si>
  <si>
    <t>Dues &amp; subs Services</t>
  </si>
  <si>
    <t>Office supplies Supplies</t>
  </si>
  <si>
    <t>Postage Supplies</t>
  </si>
  <si>
    <t>Books &amp; periodicals Supplies</t>
  </si>
  <si>
    <t>4620-000</t>
  </si>
  <si>
    <t>4625-000</t>
  </si>
  <si>
    <t>4670-000</t>
  </si>
  <si>
    <t>Property - Property</t>
  </si>
  <si>
    <t>4750-000</t>
  </si>
  <si>
    <t>Furniture &amp; fixures Property</t>
  </si>
  <si>
    <t>4210-000</t>
  </si>
  <si>
    <t>Health Ins Benefits</t>
  </si>
  <si>
    <t>4240-000</t>
  </si>
  <si>
    <t>Tuition reimbursement Benefits</t>
  </si>
  <si>
    <t>4330-001</t>
  </si>
  <si>
    <t>Employee Programs</t>
  </si>
  <si>
    <t>Town of Londonderry, NH
Town Council Department 
Fiscal Year 2027 Proposed Budget</t>
  </si>
  <si>
    <t>2027  
Department Budget</t>
  </si>
  <si>
    <t>2027 
Town Manager 
Budget</t>
  </si>
  <si>
    <t>2027 
Town Council 
Proposed Budget</t>
  </si>
  <si>
    <t>Change from 
Prior Year 
(27-26)</t>
  </si>
  <si>
    <t>Over/(Under) 
Default</t>
  </si>
  <si>
    <t>Fund:      100 - General Fund</t>
  </si>
  <si>
    <t>EXPENSES</t>
  </si>
  <si>
    <t>Department:       01 - Town Council</t>
  </si>
  <si>
    <t>Division:       00 - Non-Divisional</t>
  </si>
  <si>
    <t>01-00</t>
  </si>
  <si>
    <t>Account Classification Total: PS Salaries - Personnel services - salaries</t>
  </si>
  <si>
    <t>Account Classification Total: PS Benefits - Personnel services - benefits</t>
  </si>
  <si>
    <t>Account Classification Total: PS prof - Purchased services - professional &amp; technical</t>
  </si>
  <si>
    <t>Account Classification Total: Supplies - Supplies</t>
  </si>
  <si>
    <t>Division Total: 00 - Non-Divisional</t>
  </si>
  <si>
    <t>Department Total: 01 - Town Council</t>
  </si>
  <si>
    <t>EXPENSES Total</t>
  </si>
  <si>
    <t>Fund EXPENSE      Total: 100 - General Fund</t>
  </si>
  <si>
    <t>Town of Londonderry, NH 
Town Manager Department 
Fiscal Year 2027 Proposed Budget</t>
  </si>
  <si>
    <t>Department:       02 - Town Manager</t>
  </si>
  <si>
    <t>02-00</t>
  </si>
  <si>
    <t>Account Classification Total: PS other - Purchased services - other</t>
  </si>
  <si>
    <t>Account Classification Total: Property - Property</t>
  </si>
  <si>
    <t>Department Total: 02 - Town Manager</t>
  </si>
  <si>
    <t>Town of Londonderry, NH 
Human Resources Department 
Fiscal Year 2027 Proposed Budget</t>
  </si>
  <si>
    <t>Department:       03 - Human Resources</t>
  </si>
  <si>
    <t>03-00</t>
  </si>
  <si>
    <t>Division:       44 - Personnel Administration</t>
  </si>
  <si>
    <t>03-44</t>
  </si>
  <si>
    <t>Division Total: 44 - Personnel Administration</t>
  </si>
  <si>
    <t xml:space="preserve">Department Total: 03 - Human Resources </t>
  </si>
  <si>
    <t>Town of Londonderry, NH 
Budget Committee 
Fiscal Year 2027 Proposed Budget</t>
  </si>
  <si>
    <t>Department:       04 - Budget Committee</t>
  </si>
  <si>
    <t>04-00</t>
  </si>
  <si>
    <t>Department Total: 04 - Budget Committee</t>
  </si>
  <si>
    <t>Town of Londonderry, NH
Town Clerk Department 
Fiscal Year 2027 Proposed Budget</t>
  </si>
  <si>
    <t>Department:       05 - Town Clerk/Tax Collector</t>
  </si>
  <si>
    <t>05-00</t>
  </si>
  <si>
    <t>4321-000</t>
  </si>
  <si>
    <t>Redemptions Services</t>
  </si>
  <si>
    <t>Division:       42 - Town Clerk</t>
  </si>
  <si>
    <t>05-42</t>
  </si>
  <si>
    <t>4219-000</t>
  </si>
  <si>
    <t xml:space="preserve">Dental Insurance Benefits </t>
  </si>
  <si>
    <t>Division Total: 42 - Town Clerk</t>
  </si>
  <si>
    <t>Division:       43 - Voter Registration</t>
  </si>
  <si>
    <t>05-43</t>
  </si>
  <si>
    <t>4440-000</t>
  </si>
  <si>
    <t>Rental and leases Services</t>
  </si>
  <si>
    <t>General Expenses Supplies</t>
  </si>
  <si>
    <t>4740-000</t>
  </si>
  <si>
    <t>Mach &amp; equip Property</t>
  </si>
  <si>
    <t>Division Total: 43 - Voter Registration</t>
  </si>
  <si>
    <t>Department Total: 05 - Town Clerk/Tax Collector</t>
  </si>
  <si>
    <t>Town of Londonderry, NH 
Finance Department 
Fiscal Year 2027 Proposed Budget</t>
  </si>
  <si>
    <t>Department:       08 - Finance</t>
  </si>
  <si>
    <t>08-00</t>
  </si>
  <si>
    <t>4301-000</t>
  </si>
  <si>
    <t>Auditing services Services</t>
  </si>
  <si>
    <t>4340-000</t>
  </si>
  <si>
    <t>Bank services Services</t>
  </si>
  <si>
    <t>4390-000</t>
  </si>
  <si>
    <t>Other professional Services</t>
  </si>
  <si>
    <t>Department Total: 08 - Finance</t>
  </si>
  <si>
    <t>Town of Londonderry, NH
Assessing Department 
Fiscal Year 2027 Proposed Budget</t>
  </si>
  <si>
    <t>Department:       09 - Assessing</t>
  </si>
  <si>
    <t>09-00</t>
  </si>
  <si>
    <t>4241-000</t>
  </si>
  <si>
    <t>Training Benefits</t>
  </si>
  <si>
    <t>PS property - Purchased services - property services</t>
  </si>
  <si>
    <t>4490-000</t>
  </si>
  <si>
    <t>Clothing allowance Services</t>
  </si>
  <si>
    <t>Account Classification Total: PS property - Purchased services - property services</t>
  </si>
  <si>
    <t>4630-000</t>
  </si>
  <si>
    <t>Maint &amp; repairs Supplies</t>
  </si>
  <si>
    <t>Department Total: 09 - Assessing</t>
  </si>
  <si>
    <t>Department:       10 - Information Technology</t>
  </si>
  <si>
    <t>10-00</t>
  </si>
  <si>
    <t>4332-000</t>
  </si>
  <si>
    <t>Contracted services Services</t>
  </si>
  <si>
    <t>4341-000</t>
  </si>
  <si>
    <t>Telephone Services</t>
  </si>
  <si>
    <t>4430-000</t>
  </si>
  <si>
    <t>Repairs &amp; maint Service</t>
  </si>
  <si>
    <t>Department Total: 10 - Information Technology</t>
  </si>
  <si>
    <t>Town of Londonderry, NH 
Legal Department 
Fiscal Year 2027 Proposed Budget</t>
  </si>
  <si>
    <t>Department:       12 - Legal</t>
  </si>
  <si>
    <t>12-00</t>
  </si>
  <si>
    <t>4320-000</t>
  </si>
  <si>
    <t>Legal general Services</t>
  </si>
  <si>
    <t>Department Total: 12 - Legal</t>
  </si>
  <si>
    <t>Town of Londonderry, NH 
General Government Department 
Fiscal Year 2027 Proposed Budget</t>
  </si>
  <si>
    <t>Department:       15 - General Government</t>
  </si>
  <si>
    <t>15-00</t>
  </si>
  <si>
    <t>4360-000</t>
  </si>
  <si>
    <t>Custodial Services</t>
  </si>
  <si>
    <t>4410-000</t>
  </si>
  <si>
    <t>Electric Services</t>
  </si>
  <si>
    <t>4411-000</t>
  </si>
  <si>
    <t>Heat &amp; oil Services</t>
  </si>
  <si>
    <t>4412-000</t>
  </si>
  <si>
    <t>Water Services</t>
  </si>
  <si>
    <t>4491-000</t>
  </si>
  <si>
    <t>Town common exp Services</t>
  </si>
  <si>
    <t>4635-000</t>
  </si>
  <si>
    <t>Gasoline Supplies</t>
  </si>
  <si>
    <t>4660-000</t>
  </si>
  <si>
    <t>Vehicle repairs Supplies</t>
  </si>
  <si>
    <t>Other - Other objects</t>
  </si>
  <si>
    <t>4866-000</t>
  </si>
  <si>
    <t>Environ testing Other</t>
  </si>
  <si>
    <t>4868-000</t>
  </si>
  <si>
    <t>Regional trans initiative Other</t>
  </si>
  <si>
    <t>Account Classification Total: Other - Other objects</t>
  </si>
  <si>
    <t>Division:       42 - Cultural Activities</t>
  </si>
  <si>
    <t>15-42</t>
  </si>
  <si>
    <t>4850-000</t>
  </si>
  <si>
    <t>Old home day Other</t>
  </si>
  <si>
    <t>4851-000</t>
  </si>
  <si>
    <t>Fireworks/Anniversary Celebrations</t>
  </si>
  <si>
    <t>4860-000</t>
  </si>
  <si>
    <t>Morrison house Other</t>
  </si>
  <si>
    <t>4861-000</t>
  </si>
  <si>
    <t>Heritage comm exp Other</t>
  </si>
  <si>
    <t>4864-000</t>
  </si>
  <si>
    <t>Cultural affairs cmte Other</t>
  </si>
  <si>
    <t>Division Total: 42 - Cultural Activities</t>
  </si>
  <si>
    <t>Department Total: 15 - General Government</t>
  </si>
  <si>
    <t xml:space="preserve"> </t>
  </si>
  <si>
    <t>Town of Londonderry, NH 
Cemetery Department 
Fiscal Year 2027 Proposed Budget</t>
  </si>
  <si>
    <t>Department:       16 - Cemetery</t>
  </si>
  <si>
    <t>16-00</t>
  </si>
  <si>
    <t>Department Total: 16 - Cemetery</t>
  </si>
  <si>
    <t>Town of Londonderry, NH 
Insurance Department 
Fiscal Year 2027 Proposed Budget</t>
  </si>
  <si>
    <t>Department:       17 - Insurance</t>
  </si>
  <si>
    <t>17-00</t>
  </si>
  <si>
    <t>4250-000</t>
  </si>
  <si>
    <t>Unemployment ins Benefits</t>
  </si>
  <si>
    <t>4520-000</t>
  </si>
  <si>
    <t>Property ins Services</t>
  </si>
  <si>
    <t>4521-000</t>
  </si>
  <si>
    <t>Ins deductible Services</t>
  </si>
  <si>
    <t>Department Total: 17 - Insurance</t>
  </si>
  <si>
    <t>Town of Londonderry, NH 
Conservation Department 
Fiscal Year 2027 Proposed Budget</t>
  </si>
  <si>
    <t>Department:       18 - Conservation</t>
  </si>
  <si>
    <t>18-00</t>
  </si>
  <si>
    <t>4690-000</t>
  </si>
  <si>
    <t>Other misc Supplies</t>
  </si>
  <si>
    <t>Department Total: 18 - Conservation</t>
  </si>
  <si>
    <t>Town of Londonderry, NH 
Police Department 
Fiscal Year 2027 Proposed Budget</t>
  </si>
  <si>
    <t>2027 Department  Budget</t>
  </si>
  <si>
    <t>2027 Town Manager Budget</t>
  </si>
  <si>
    <t>2027 Town Council Request Budget</t>
  </si>
  <si>
    <t>2027 Default Budget</t>
  </si>
  <si>
    <t>Change in Budget
 (27-26)</t>
  </si>
  <si>
    <t>Department:       20 - Police</t>
  </si>
  <si>
    <t>Division:       01 - Administration</t>
  </si>
  <si>
    <t>20-01</t>
  </si>
  <si>
    <t>4151-000</t>
  </si>
  <si>
    <t>4151-001</t>
  </si>
  <si>
    <t>Legally Mandated Training - Salaries</t>
  </si>
  <si>
    <t>4290-000</t>
  </si>
  <si>
    <t>Uniforms &amp; cleaning Benefits</t>
  </si>
  <si>
    <t>4323-000</t>
  </si>
  <si>
    <t>Legal &amp; Profesional Standards</t>
  </si>
  <si>
    <t>4350-000</t>
  </si>
  <si>
    <t>Medical services Services</t>
  </si>
  <si>
    <t>Division Total: 01 - Administration</t>
  </si>
  <si>
    <t>Division:       02 - Station</t>
  </si>
  <si>
    <t>20-02</t>
  </si>
  <si>
    <t>Division Total: 02 - Station</t>
  </si>
  <si>
    <t>Division:       10 - Information Technology</t>
  </si>
  <si>
    <t>20-10</t>
  </si>
  <si>
    <t>Division Total: 10 - Information Technology</t>
  </si>
  <si>
    <t>Division:       11 - Uniformed Officer Division</t>
  </si>
  <si>
    <t>20-11</t>
  </si>
  <si>
    <t>4193-000</t>
  </si>
  <si>
    <t>Holiday Salaries</t>
  </si>
  <si>
    <t>Life Ins Benefits</t>
  </si>
  <si>
    <t>4331-000</t>
  </si>
  <si>
    <t>Special investigations Services</t>
  </si>
  <si>
    <t>4611-000</t>
  </si>
  <si>
    <t>K-9 supplies Supplies</t>
  </si>
  <si>
    <t>4760-000</t>
  </si>
  <si>
    <t>Imp Other than Building Other Property</t>
  </si>
  <si>
    <t>Division Total: 11 - Uniformed Officer Division</t>
  </si>
  <si>
    <t xml:space="preserve">Division:       12 - Support </t>
  </si>
  <si>
    <t>20-12</t>
  </si>
  <si>
    <t>4612-000</t>
  </si>
  <si>
    <t>Crime prevention Supplies</t>
  </si>
  <si>
    <t>4613-000</t>
  </si>
  <si>
    <t>Safety program Supplies</t>
  </si>
  <si>
    <t>4744-000</t>
  </si>
  <si>
    <t>Capital leases Property</t>
  </si>
  <si>
    <t xml:space="preserve">Division Total: 12 - Support </t>
  </si>
  <si>
    <t>Division:       13 - Animal Control</t>
  </si>
  <si>
    <t>20-13</t>
  </si>
  <si>
    <t>Division Total: 13 - Animal Control</t>
  </si>
  <si>
    <t>Department Total: 20 - Police</t>
  </si>
  <si>
    <t>Town of Londonderry, NH 
Fire Department 
Fiscal Year 2027 Proposed Budget</t>
  </si>
  <si>
    <t>Department:       23 - Fire</t>
  </si>
  <si>
    <t>23-01</t>
  </si>
  <si>
    <t>Contractually Mandated Training Overtime</t>
  </si>
  <si>
    <t>4531-000</t>
  </si>
  <si>
    <t>Safety program Services</t>
  </si>
  <si>
    <t>4530-000</t>
  </si>
  <si>
    <t>Public education Services</t>
  </si>
  <si>
    <t>4634-000</t>
  </si>
  <si>
    <t>Hazardous materials Supplies</t>
  </si>
  <si>
    <t>4890-000</t>
  </si>
  <si>
    <t xml:space="preserve">Grant Expenses </t>
  </si>
  <si>
    <t>23-02</t>
  </si>
  <si>
    <t>Division:       22 - Fire Fighting</t>
  </si>
  <si>
    <t>23-22</t>
  </si>
  <si>
    <t>4152-000</t>
  </si>
  <si>
    <t>Concurrent Duty Overtime</t>
  </si>
  <si>
    <t>Division Total: 22 - Fire Fighting</t>
  </si>
  <si>
    <t>Division:       23 - Fire Prevention</t>
  </si>
  <si>
    <t>23-23</t>
  </si>
  <si>
    <t xml:space="preserve">Holiday Salaries </t>
  </si>
  <si>
    <t>Division Total: 23 - Fire Prevention</t>
  </si>
  <si>
    <t>Division:       24 - Fire Communications</t>
  </si>
  <si>
    <t>23-24</t>
  </si>
  <si>
    <t>Division Total: 24 - Fire Communications</t>
  </si>
  <si>
    <t>Division:       25 - Emergency Management</t>
  </si>
  <si>
    <t>23-25</t>
  </si>
  <si>
    <t>4614-000</t>
  </si>
  <si>
    <t>Civil defense exp Supplies</t>
  </si>
  <si>
    <t>4615-000</t>
  </si>
  <si>
    <t>Forest fire exp Supplies</t>
  </si>
  <si>
    <t>Division Total: 25 - Emergency Management</t>
  </si>
  <si>
    <t>Department Total: 23 - Fire</t>
  </si>
  <si>
    <t>Town of Londonderry, NH 
Building Department 
Fiscal Year 2027 Proposed Budget</t>
  </si>
  <si>
    <t>Department:       24 - Building</t>
  </si>
  <si>
    <t>24-00</t>
  </si>
  <si>
    <t>4580-000</t>
  </si>
  <si>
    <t>Mosquito Control</t>
  </si>
  <si>
    <t>Department Total: 24 - Building</t>
  </si>
  <si>
    <t>Town of Londonderry, NH 
Public Works Department 
Fiscal Year 2027 Proposed Budget</t>
  </si>
  <si>
    <t>Department:       26 - Public Works</t>
  </si>
  <si>
    <t>26-01</t>
  </si>
  <si>
    <t>4145-000</t>
  </si>
  <si>
    <t>Snow overtime Salaries</t>
  </si>
  <si>
    <t>4241-001</t>
  </si>
  <si>
    <t>CDL Training</t>
  </si>
  <si>
    <t>4311-000</t>
  </si>
  <si>
    <t>Engineering Services</t>
  </si>
  <si>
    <t>4333-000</t>
  </si>
  <si>
    <t>Work Zone Safety - Services</t>
  </si>
  <si>
    <t>Division:       31 - Highways and Streets</t>
  </si>
  <si>
    <t>26-31</t>
  </si>
  <si>
    <t>4395-000</t>
  </si>
  <si>
    <t>Snow removal Services</t>
  </si>
  <si>
    <t>4414-000</t>
  </si>
  <si>
    <t>Hydrants Services</t>
  </si>
  <si>
    <t>4415-000</t>
  </si>
  <si>
    <t>Street lighting Service</t>
  </si>
  <si>
    <t>4436-000</t>
  </si>
  <si>
    <t>Road Maintenance Services</t>
  </si>
  <si>
    <t>4438-000</t>
  </si>
  <si>
    <t>Storm drain const Services</t>
  </si>
  <si>
    <t>4695-000</t>
  </si>
  <si>
    <t>Gravel Supplies</t>
  </si>
  <si>
    <t>4696-000</t>
  </si>
  <si>
    <t>Street signs Supplies</t>
  </si>
  <si>
    <t>4697-000</t>
  </si>
  <si>
    <t>Salt Supplies</t>
  </si>
  <si>
    <t>4698-000</t>
  </si>
  <si>
    <t>Sand Supplies</t>
  </si>
  <si>
    <t>Division Total: 31 - Highways and Streets</t>
  </si>
  <si>
    <t>Department Total: 26 - Public Works</t>
  </si>
  <si>
    <t>Town of Londonderry, NH 
Solid Waste Department 
Fiscal Year 2027 Proposed Budget</t>
  </si>
  <si>
    <t>Department:       27 - Solid Waste</t>
  </si>
  <si>
    <t>27-01</t>
  </si>
  <si>
    <t>4335-000</t>
  </si>
  <si>
    <t>Waste collection Services</t>
  </si>
  <si>
    <t>4336-000</t>
  </si>
  <si>
    <t>Recycling Services</t>
  </si>
  <si>
    <t>Department Total: 27 - Solid Waste</t>
  </si>
  <si>
    <t>Town of Londonderry, NH 
General Assistance Department 
Fiscal Year 2027 Proposed Budget</t>
  </si>
  <si>
    <t>Department:       28 - General Assistance</t>
  </si>
  <si>
    <t>28-00</t>
  </si>
  <si>
    <t>4830-000</t>
  </si>
  <si>
    <t>Social service agencies Other</t>
  </si>
  <si>
    <t>Division:       41 - General Assistance</t>
  </si>
  <si>
    <t>4693-000</t>
  </si>
  <si>
    <t>Welfare rent Supplies</t>
  </si>
  <si>
    <t>4694-000</t>
  </si>
  <si>
    <t>Welfare medical Supplies</t>
  </si>
  <si>
    <t>4699-000</t>
  </si>
  <si>
    <t>Welfare Heat &amp; Oil Supplies</t>
  </si>
  <si>
    <t>Division Total: 41 - General Assistance</t>
  </si>
  <si>
    <t>Department Total: 28 - General Assistance</t>
  </si>
  <si>
    <t>Town of Londonderry, NH 
Cable Department 
Fiscal Year 2027 Proposed Budget</t>
  </si>
  <si>
    <t>Department:       29 - Cable</t>
  </si>
  <si>
    <t>29-00</t>
  </si>
  <si>
    <t>4355-000</t>
  </si>
  <si>
    <t>Photo services Services</t>
  </si>
  <si>
    <t>4824-000</t>
  </si>
  <si>
    <t>Programs Other</t>
  </si>
  <si>
    <t>Department Total: 29 - Cable</t>
  </si>
  <si>
    <t>Town of Londonderry, NH 
Recreation Department 
Fiscal Year 2027 Proposed Budget</t>
  </si>
  <si>
    <t>Department:       30 - Recreation</t>
  </si>
  <si>
    <t>30-00</t>
  </si>
  <si>
    <t>4741-000</t>
  </si>
  <si>
    <t>Department Specialized Equipment</t>
  </si>
  <si>
    <t>4821-000</t>
  </si>
  <si>
    <t>Adult programs Other</t>
  </si>
  <si>
    <t>4823-000</t>
  </si>
  <si>
    <t>Summer programs Other</t>
  </si>
  <si>
    <t>Department Total: 30 - Recreation</t>
  </si>
  <si>
    <t>Town of Londonderry, NH 
Leach Library 
Fiscal Year 2027 Proposed Budget</t>
  </si>
  <si>
    <t>2027 Town Council  Budget</t>
  </si>
  <si>
    <t>Department:       31 - Library</t>
  </si>
  <si>
    <t>31-00</t>
  </si>
  <si>
    <t>4560-001</t>
  </si>
  <si>
    <t>Library Consortiums</t>
  </si>
  <si>
    <t>4670-001</t>
  </si>
  <si>
    <t>Electronic Books/Databases</t>
  </si>
  <si>
    <t>4822-000</t>
  </si>
  <si>
    <t>Youth programs Other</t>
  </si>
  <si>
    <t>4825-000</t>
  </si>
  <si>
    <t>Teen programs Other</t>
  </si>
  <si>
    <t>Department Total: 31 - Library</t>
  </si>
  <si>
    <t>Town of Londonderry, NH 
Senior Affairs Department 
Fiscal Year 2027 Proposed Budget</t>
  </si>
  <si>
    <t>Department:       32 - Senior Affairs</t>
  </si>
  <si>
    <t>32-00</t>
  </si>
  <si>
    <t>4870-000</t>
  </si>
  <si>
    <t>Senior Transportation</t>
  </si>
  <si>
    <t>4820-000</t>
  </si>
  <si>
    <t>Sr. affairs program Other</t>
  </si>
  <si>
    <t>Department Total: 32 - Senior Affairs</t>
  </si>
  <si>
    <t>Town of Londonderry, NH 
Community Development (Planning) Department 
Fiscal Year 2027 Proposed Budget</t>
  </si>
  <si>
    <t>Department:       33 - Community Development</t>
  </si>
  <si>
    <t>33-00</t>
  </si>
  <si>
    <t>4640-000</t>
  </si>
  <si>
    <t>GIS Services &amp; Supplies</t>
  </si>
  <si>
    <t>Department Total: 33 - Community Development</t>
  </si>
  <si>
    <t>Department Name</t>
  </si>
  <si>
    <t>Department ID</t>
  </si>
  <si>
    <t>Division Name</t>
  </si>
  <si>
    <t>Division ID</t>
  </si>
  <si>
    <t>Account Classification</t>
  </si>
  <si>
    <t>01 - Town Council</t>
  </si>
  <si>
    <t>00 - Non-Divisional</t>
  </si>
  <si>
    <t>02 - Town Manager</t>
  </si>
  <si>
    <t>03 - Human Resources</t>
  </si>
  <si>
    <t>44 - Personnel Administration</t>
  </si>
  <si>
    <t>04 - Budget Committee</t>
  </si>
  <si>
    <t>05 - Town Clerk/Tax Collector</t>
  </si>
  <si>
    <t>42 - Town Clerk</t>
  </si>
  <si>
    <t>43 - Voter Registration</t>
  </si>
  <si>
    <t>08 - Finance</t>
  </si>
  <si>
    <t>09 - Assessing</t>
  </si>
  <si>
    <t>10 - Information Technology</t>
  </si>
  <si>
    <t>12 - Legal</t>
  </si>
  <si>
    <t>15 - General Government</t>
  </si>
  <si>
    <t>42 - Cultural Activities</t>
  </si>
  <si>
    <t>16 - Cemetery</t>
  </si>
  <si>
    <t>17 - Insurance</t>
  </si>
  <si>
    <t>18 - Conservation</t>
  </si>
  <si>
    <t>20 - Police</t>
  </si>
  <si>
    <t>01 - Administration</t>
  </si>
  <si>
    <t>02 - Station</t>
  </si>
  <si>
    <t>11 - Uniformed Officer Division</t>
  </si>
  <si>
    <t>12 - Support</t>
  </si>
  <si>
    <t>13 - Animal Control</t>
  </si>
  <si>
    <t>23 - Fire</t>
  </si>
  <si>
    <t>22 - Fire Fighting</t>
  </si>
  <si>
    <t>23 - Fire Prevention</t>
  </si>
  <si>
    <t>24 - Fire Communications</t>
  </si>
  <si>
    <t>25 - Emergency Management</t>
  </si>
  <si>
    <t>24 - Building</t>
  </si>
  <si>
    <t>26 - Public Works</t>
  </si>
  <si>
    <t>31 - Highways and Streets</t>
  </si>
  <si>
    <t>27 - Solid Waste</t>
  </si>
  <si>
    <t>28 - General Assistance</t>
  </si>
  <si>
    <t>41 - General Assistance</t>
  </si>
  <si>
    <t>29 - Cable</t>
  </si>
  <si>
    <t>30 - Recreation</t>
  </si>
  <si>
    <t>31 - Library</t>
  </si>
  <si>
    <t>32 - Senior Affairs</t>
  </si>
  <si>
    <t>33 - Community Development</t>
  </si>
  <si>
    <t>TOTALS</t>
  </si>
  <si>
    <t>FY27 Town Council Proposed Budget (TCPB)</t>
  </si>
  <si>
    <t>FY27 Default Budget</t>
  </si>
  <si>
    <t>FY23 Budget</t>
  </si>
  <si>
    <t>FY23 Actuals</t>
  </si>
  <si>
    <t>FY24 Budget</t>
  </si>
  <si>
    <t>FY24 Actuals</t>
  </si>
  <si>
    <t>FY25 Budget</t>
  </si>
  <si>
    <t>FY25 Actuals</t>
  </si>
  <si>
    <t>FY26 Budget</t>
  </si>
  <si>
    <t>FY27 Department Budget</t>
  </si>
  <si>
    <t>FY27 Town Manager Budget</t>
  </si>
  <si>
    <t>FY27 TCPB $ o/(u) FY26 Budget</t>
  </si>
  <si>
    <t>FY27 TCPB $ o/(u) Default</t>
  </si>
  <si>
    <t>FY27 TCPB % o/-u FY26 Budget</t>
  </si>
  <si>
    <t>FY23 Actuals % o/-u FY23 Budget</t>
  </si>
  <si>
    <t>FY24 Actuals % o/-u FY24 Budget</t>
  </si>
  <si>
    <t>FY25 Actuals % o/-u FY25 Budget</t>
  </si>
  <si>
    <t>FY24 Budget % o/-u FY23 Budget</t>
  </si>
  <si>
    <t>FY24 Actuals % o/-u FY23 Actuals</t>
  </si>
  <si>
    <t>FY25 Budget % o/-u FY24 Budget</t>
  </si>
  <si>
    <t>FY25 Actuals % o/-u FY24 Actuals</t>
  </si>
  <si>
    <t>FY26 Budget % o/-u FY25 Budget</t>
  </si>
  <si>
    <t>FY26 Budget % o/-u FY23 Budget</t>
  </si>
  <si>
    <t>FY27 Dept Budget % o/-u FY26 Budget</t>
  </si>
  <si>
    <t>FY27 Town Mgr Budget % o/-u FY26 Budget</t>
  </si>
  <si>
    <t>FY27 Default % o/-u FY26 Budget</t>
  </si>
  <si>
    <t>FY27 Dept Budget % o/-u FY23 Budget</t>
  </si>
  <si>
    <t>FY27 Town Mgr Budget % o/-u FY23 Budget</t>
  </si>
  <si>
    <t>FY27 TCPB % o/-u FY23 Budget</t>
  </si>
  <si>
    <t>FY27 Default % o/-u FY23 Budget</t>
  </si>
  <si>
    <t xml:space="preserve">Department Name </t>
  </si>
  <si>
    <t xml:space="preserve">FY26 Budget </t>
  </si>
  <si>
    <t xml:space="preserve">FY27 TCPB </t>
  </si>
  <si>
    <t xml:space="preserve">FY27 TCPB $ o/(u) FY26 Budget </t>
  </si>
  <si>
    <t xml:space="preserve">FY27 Default Budget </t>
  </si>
  <si>
    <t xml:space="preserve">FY27 TCPB $ o/(u) Default </t>
  </si>
  <si>
    <t xml:space="preserve">FY27 TCPB % o/-u FY26 Budget </t>
  </si>
  <si>
    <t xml:space="preserve">FY27 TCPB % o/-u Default </t>
  </si>
  <si>
    <t>Totals</t>
  </si>
  <si>
    <t xml:space="preserve">Account </t>
  </si>
  <si>
    <t>Account Number and Name</t>
  </si>
  <si>
    <t>4110-000: Regular Salaries</t>
  </si>
  <si>
    <t>4210-000: Health Ins Benefits</t>
  </si>
  <si>
    <t>4230-000: Retirement Benefits</t>
  </si>
  <si>
    <t>4140-000: Overtime Salaries</t>
  </si>
  <si>
    <t>4335-000: Waste collection Services</t>
  </si>
  <si>
    <t>4744-000: Capital leases Property</t>
  </si>
  <si>
    <t>4330-000: MGMT services Services</t>
  </si>
  <si>
    <t>4120-000: Part-time Salaries</t>
  </si>
  <si>
    <t>4336-000: Recycling Services</t>
  </si>
  <si>
    <t>4436-000: Road Maintenance Services</t>
  </si>
  <si>
    <t>4414-000: Hydrants Services</t>
  </si>
  <si>
    <t>4220-000: FICA Benefits</t>
  </si>
  <si>
    <t>4260-000: Workers' comp Benefits</t>
  </si>
  <si>
    <t>4193-000: Holiday Salaries</t>
  </si>
  <si>
    <t>4630-000: Maint &amp; repairs Supplies</t>
  </si>
  <si>
    <t>4635-000: Gasoline Supplies</t>
  </si>
  <si>
    <t>4520-000: Property ins Services</t>
  </si>
  <si>
    <t>4241-000: Training Benefits</t>
  </si>
  <si>
    <t>4225-000: Medicare Benefits</t>
  </si>
  <si>
    <t>4697-000: Salt Supplies</t>
  </si>
  <si>
    <t>4660-000: Vehicle repairs Supplies</t>
  </si>
  <si>
    <t>4320-000: Legal general Services</t>
  </si>
  <si>
    <t>4410-000: Electric Services</t>
  </si>
  <si>
    <t>4740-000: Mach &amp; equip Property</t>
  </si>
  <si>
    <t>4610-000: General expenses Supplies</t>
  </si>
  <si>
    <t>4145-000: Snow overtime Salaries</t>
  </si>
  <si>
    <t>4560-000: Dues &amp; subs Services</t>
  </si>
  <si>
    <t>4151-001: Legally Mandated Training - Salaries</t>
  </si>
  <si>
    <t>4670-000: Books &amp; periodicals Supplies</t>
  </si>
  <si>
    <t>4290-000: Uniforms &amp; cleaning Benefits</t>
  </si>
  <si>
    <t>4130-000: Elected Salaries</t>
  </si>
  <si>
    <t>4411-000: Heat &amp; oil Services</t>
  </si>
  <si>
    <t>4240-000: Tuition reimbursement Benefits</t>
  </si>
  <si>
    <t>4311-000: Engineering Services</t>
  </si>
  <si>
    <t>4395-000: Snow removal Services</t>
  </si>
  <si>
    <t>4680-000: Dept. expense Supplies</t>
  </si>
  <si>
    <t>4332-000: Contracted services Services</t>
  </si>
  <si>
    <t>4360-000: Custodial Services</t>
  </si>
  <si>
    <t>4438-000: Storm drain const Services</t>
  </si>
  <si>
    <t>4151-000: Contractually Mandated Training Overtime</t>
  </si>
  <si>
    <t>4341-000: Telephone Services</t>
  </si>
  <si>
    <t>4412-000: Water Services</t>
  </si>
  <si>
    <t>4625-000: Postage Supplies</t>
  </si>
  <si>
    <t>4333-000: Work Zone Safety - Services</t>
  </si>
  <si>
    <t>4440-000: Rental and leases Services</t>
  </si>
  <si>
    <t>4620-000: Office supplies Supplies</t>
  </si>
  <si>
    <t>4301-000: Auditing services Services</t>
  </si>
  <si>
    <t>4531-000: Safety program Services</t>
  </si>
  <si>
    <t>4430-000: Repairs &amp; maint Service</t>
  </si>
  <si>
    <t>4830-000: Social service agencies Other</t>
  </si>
  <si>
    <t>4550-000: Printing Services</t>
  </si>
  <si>
    <t>4580-000: Mosquito Control</t>
  </si>
  <si>
    <t>4698-000: Sand Supplies</t>
  </si>
  <si>
    <t>4868-000: Regional trans initiative Other</t>
  </si>
  <si>
    <t>4323-000: Legal &amp; Profesional Standards</t>
  </si>
  <si>
    <t>4490-000: Clothing allowance Services</t>
  </si>
  <si>
    <t>4390-000: Other professional Services</t>
  </si>
  <si>
    <t>4575-000: Travel &amp; mileage Services</t>
  </si>
  <si>
    <t>4851-000: Fireworks/Anniversary Celebrations</t>
  </si>
  <si>
    <t>4415-000: Street lighting Service</t>
  </si>
  <si>
    <t>4570-000: Sem &amp; workshops Services</t>
  </si>
  <si>
    <t>4634-000: Hazardous materials Supplies</t>
  </si>
  <si>
    <t>4864-000: Cultural affairs cmte Other</t>
  </si>
  <si>
    <t>4693-000: Welfare rent Supplies</t>
  </si>
  <si>
    <t>4491-000: Town common exp Services</t>
  </si>
  <si>
    <t>4820-000: Sr. affairs program Other</t>
  </si>
  <si>
    <t>4640-000: GIS Services &amp; Supplies</t>
  </si>
  <si>
    <t>4152-000: Concurrent Duty Overtime</t>
  </si>
  <si>
    <t>4850-000: Old home day Other</t>
  </si>
  <si>
    <t>4611-000: K-9 supplies Supplies</t>
  </si>
  <si>
    <t>4696-000: Street signs Supplies</t>
  </si>
  <si>
    <t>4690-000: Other misc Supplies</t>
  </si>
  <si>
    <t>4750-000: Furniture &amp; fixures Property</t>
  </si>
  <si>
    <t>4241-001: CDL Training</t>
  </si>
  <si>
    <t>4330-001: Employee Programs</t>
  </si>
  <si>
    <t>4340-000: Bank services Services</t>
  </si>
  <si>
    <t>4860-000: Morrison house Other</t>
  </si>
  <si>
    <t>4741-000: Department Specialized Equipment</t>
  </si>
  <si>
    <t>4695-000: Gravel Supplies</t>
  </si>
  <si>
    <t>4250-000: Unemployment ins Benefits</t>
  </si>
  <si>
    <t>4331-000: Special investigations Services</t>
  </si>
  <si>
    <t>4870-000: Senior Transportation</t>
  </si>
  <si>
    <t>4521-000: Ins deductible Services</t>
  </si>
  <si>
    <t>4530-000: Public education Services</t>
  </si>
  <si>
    <t>4350-000: Medical services Services</t>
  </si>
  <si>
    <t>4612-000: Crime prevention Supplies</t>
  </si>
  <si>
    <t>4699-000: Welfare Heat &amp; Oil Supplies</t>
  </si>
  <si>
    <t>4824-000: Programs Other</t>
  </si>
  <si>
    <t>4321-000: Redemptions Services</t>
  </si>
  <si>
    <t>4614-000: Civil defense exp Supplies</t>
  </si>
  <si>
    <t>4861-000: Heritage comm exp Other</t>
  </si>
  <si>
    <t>4694-000: Welfare medical Supplies</t>
  </si>
  <si>
    <t>4560-001: Library Consortiums</t>
  </si>
  <si>
    <t>4355-000: Photo services Services</t>
  </si>
  <si>
    <t>4613-000: Safety program Supplies</t>
  </si>
  <si>
    <t>4822-000: Youth programs Other</t>
  </si>
  <si>
    <t>4866-000: Environ testing Other</t>
  </si>
  <si>
    <t>4215-000: Life Ins Benefits</t>
  </si>
  <si>
    <t>4760-000: Imp Other than Building Other Property</t>
  </si>
  <si>
    <t>4821-000: Adult programs Other</t>
  </si>
  <si>
    <t>4670-001: Electronic Books/Databases</t>
  </si>
  <si>
    <t>4825-000: Teen programs Other</t>
  </si>
  <si>
    <t>4615-000: Forest fire exp Supplies</t>
  </si>
  <si>
    <t>4823-000: Summer programs Other</t>
  </si>
  <si>
    <t xml:space="preserve">FY27 TCPB % o/-u FY23 Budget </t>
  </si>
  <si>
    <t>2027 Town Manager 
Budget</t>
  </si>
  <si>
    <t>2027 Town Council 
Proposed Budget</t>
  </si>
  <si>
    <t>2027 Town Council Budget</t>
  </si>
  <si>
    <t>4215-000: STD, LTD, &amp; Life Benefits</t>
  </si>
  <si>
    <t>4219-000: Dental Insurance Benefits</t>
  </si>
  <si>
    <t>4890-000: Grant Expenses</t>
  </si>
  <si>
    <t xml:space="preserve">FY23 Budget </t>
  </si>
  <si>
    <t>Avg Budget % o/-u YoY FY23-FY24, FY24-FY25, FY25-FY26 (3YAVG)</t>
  </si>
  <si>
    <t>Source</t>
  </si>
  <si>
    <t>https://data.bls.gov/toppicks?survey=bls</t>
  </si>
  <si>
    <t>Price Index</t>
  </si>
  <si>
    <t>More Formatting Options</t>
  </si>
  <si>
    <t>12-Month Percent Change</t>
  </si>
  <si>
    <t>12-Month rolling CPI-U</t>
  </si>
  <si>
    <t>End Month</t>
  </si>
  <si>
    <t>Value</t>
  </si>
  <si>
    <t>11/2025</t>
  </si>
  <si>
    <t>11/2024</t>
  </si>
  <si>
    <t>11/2023</t>
  </si>
  <si>
    <t>11/2022</t>
  </si>
  <si>
    <t>Rolling 3-yr average</t>
  </si>
  <si>
    <t>Rolling 4-yr average</t>
  </si>
  <si>
    <t>FY27 TCPB % o/-u FY26 Budget --- o/-u --- 3YAVG</t>
  </si>
  <si>
    <t>FY27 TCPB % o/-u FY26 Budget --- o/-u --- CPIAVG</t>
  </si>
  <si>
    <t>&lt;-- "CPIAVG" USED FOR CALCS ON LINE AND PIVOT TABS</t>
  </si>
  <si>
    <t>12 – Legal – FY 2027</t>
  </si>
  <si>
    <t>Area</t>
  </si>
  <si>
    <t>16 – Cemetery – FY 2027</t>
  </si>
  <si>
    <t>Deleted a duplicate, hidden “2026 Budget” column K which threw off the consolidation calculations</t>
  </si>
  <si>
    <t>Change from Source Data</t>
  </si>
  <si>
    <t>Changed the account name for "STD, LTD &amp; Life Benefits" to "STD, LTD, &amp; Life  Benefits" to match other tabs and aggregate correctly</t>
  </si>
  <si>
    <t>Changed the account number for "Dental Ins Benefits" to "Dental Insurance Benefits" to match other tabs and aggregate correctly</t>
  </si>
  <si>
    <t>Dental Insurance Benefits</t>
  </si>
  <si>
    <t>17 - Insurance - FY 2027</t>
  </si>
  <si>
    <t>Changed the account name for "Health Insurance Benefits" to "Health Ins Benefits" to match other tabs and aggregate correctly</t>
  </si>
  <si>
    <t>Changed the account number for health insurance benefits FROM 42150-000 TO 4210-000 to match other tabs</t>
  </si>
  <si>
    <t>Changed the account name for "Sem &amp; workshops" to "Sem &amp; workshops Services" to match other tabs and aggregate correctly</t>
  </si>
  <si>
    <t>30 - Recreation - FY 2027</t>
  </si>
  <si>
    <t>08 - Finance - FY 2027
09 - Assessing - FY 2027</t>
  </si>
  <si>
    <t>Changed the account name for "General Expenses" to "General expenses Supplies" to match other tabs and aggregate correctly</t>
  </si>
  <si>
    <t>Changed the account name for "Furniture &amp; fixtures Property" to "Furniture &amp; fixures Property" to match other tabs and aggregate correctly</t>
  </si>
  <si>
    <t>32 - Senior Affairs - FY 2027</t>
  </si>
  <si>
    <t>Changed the account name for "Programs - Other" to "Programs Other" to match other tabs and aggregate correctly</t>
  </si>
  <si>
    <t>NOTE: in changing account names to remove multiple spellings/formulations, we changed the less-frequently used version, even if that meant consolidating to a more-used version which contained spelling or other errors.</t>
  </si>
  <si>
    <t>29 - Cable - FY 2027</t>
  </si>
  <si>
    <t>Changed the account name for "Telephone/Internet" to "Telephone Services" to match other tabs and aggregate correctly</t>
  </si>
  <si>
    <t xml:space="preserve">FY24 Budget </t>
  </si>
  <si>
    <t xml:space="preserve">FY25 Budget </t>
  </si>
  <si>
    <t>FY27 TCPB Amt if FY26 Budget Amt adj by 3YAVG</t>
  </si>
  <si>
    <t>FY27 TCPB CHANGE if FY26 Budget Amt adj by 3YAVG</t>
  </si>
  <si>
    <t>Discretionary</t>
  </si>
  <si>
    <t>FY27 TCPB Amt if FY26 Budget Amt adj by CPIAVG</t>
  </si>
  <si>
    <t>FY27 TCPB CHANGE if FY26 Budget Amt adj by CPIAVG</t>
  </si>
  <si>
    <t>FY27 TCPB CHANGE if FY26 adj by 3YAVG</t>
  </si>
  <si>
    <t>FY27 TCPB CHANGE if FY26 adj by CPIAVG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</si>
</sst>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42" formatCode="_(&quot;$&quot;* #,##0_);_(&quot;$&quot;* \(#,##0\);_(&quot;$&quot;* &quot;-&quot;_);_(@_)"/>
    <numFmt numFmtId="44" formatCode="_(&quot;$&quot;* #,##0.00_);_(&quot;$&quot;* \(#,##0.00\);_(&quot;$&quot;* &quot;-&quot;??_);_(@_)"/>
    <numFmt numFmtId="164" formatCode="_(&quot;$&quot;* #,##0.00_);_(&quot;$&quot;* \(#,##0.00\);_(&quot;$&quot;* &quot; - &quot;??_);_(@_)"/>
    <numFmt numFmtId="165" formatCode="&quot;$&quot;#,##0"/>
    <numFmt numFmtId="166" formatCode="0.0%"/>
  </numFmts>
  <fonts count="29" x14ac:knownFonts="1">
    <font>
      <sz val="11"/>
      <color theme="1"/>
      <name val="Aptos Narrow"/>
      <family val="2"/>
      <scheme val="minor"/>
    </font>
    <font>
      <sz val="11"/>
      <color theme="1"/>
      <name val="Aptos Narrow"/>
      <family val="2"/>
      <scheme val="minor"/>
    </font>
    <font>
      <b/>
      <sz val="16"/>
      <name val="Times New Roman"/>
      <family val="1"/>
    </font>
    <font>
      <sz val="11"/>
      <color theme="1"/>
      <name val="Times New Roman"/>
      <family val="1"/>
    </font>
    <font>
      <sz val="11"/>
      <name val="Times New Roman"/>
      <family val="1"/>
    </font>
    <font>
      <sz val="10"/>
      <name val="Times New Roman"/>
      <family val="1"/>
    </font>
    <font>
      <b/>
      <sz val="10"/>
      <name val="Times New Roman"/>
      <family val="1"/>
    </font>
    <font>
      <b/>
      <sz val="8"/>
      <name val="Times New Roman"/>
      <family val="1"/>
    </font>
    <font>
      <sz val="8"/>
      <color indexed="30"/>
      <name val="Times New Roman"/>
      <family val="1"/>
    </font>
    <font>
      <i/>
      <sz val="8"/>
      <name val="Times New Roman"/>
      <family val="1"/>
    </font>
    <font>
      <sz val="8"/>
      <color theme="1"/>
      <name val="Times New Roman"/>
      <family val="1"/>
    </font>
    <font>
      <sz val="8"/>
      <color indexed="8"/>
      <name val="Times New Roman"/>
      <family val="1"/>
    </font>
    <font>
      <sz val="8"/>
      <name val="Times New Roman"/>
      <family val="1"/>
    </font>
    <font>
      <sz val="11"/>
      <color rgb="FFFF0000"/>
      <name val="Times New Roman"/>
      <family val="1"/>
    </font>
    <font>
      <i/>
      <sz val="8"/>
      <color indexed="23"/>
      <name val="Times New Roman"/>
      <family val="1"/>
    </font>
    <font>
      <b/>
      <sz val="12"/>
      <color theme="1"/>
      <name val="Times New Roman"/>
      <family val="1"/>
    </font>
    <font>
      <sz val="10"/>
      <color indexed="8"/>
      <name val="Times New Roman"/>
      <family val="1"/>
    </font>
    <font>
      <b/>
      <sz val="20"/>
      <color indexed="30"/>
      <name val="Times New Roman"/>
      <family val="1"/>
    </font>
    <font>
      <sz val="8"/>
      <color theme="1"/>
      <name val="Aptos Narrow"/>
      <family val="2"/>
      <scheme val="minor"/>
    </font>
    <font>
      <sz val="11"/>
      <name val="Aptos Narrow"/>
      <family val="2"/>
      <scheme val="minor"/>
    </font>
    <font>
      <sz val="10"/>
      <color theme="1"/>
      <name val="Times New Roman"/>
      <family val="1"/>
    </font>
    <font>
      <b/>
      <sz val="11"/>
      <name val="Times New Roman"/>
      <family val="1"/>
    </font>
    <font>
      <sz val="8"/>
      <color indexed="8"/>
      <name val="Tahoma"/>
      <family val="2"/>
    </font>
    <font>
      <sz val="8"/>
      <name val="Tahoma"/>
      <family val="2"/>
    </font>
    <font>
      <b/>
      <sz val="11"/>
      <color theme="1"/>
      <name val="Times New Roman"/>
      <family val="1"/>
    </font>
    <font>
      <sz val="8"/>
      <color rgb="FFFF0000"/>
      <name val="Times New Roman"/>
      <family val="1"/>
    </font>
    <font>
      <b/>
      <sz val="10"/>
      <color theme="1"/>
      <name val="Times New Roman"/>
      <family val="1"/>
    </font>
    <font>
      <b/>
      <sz val="11"/>
      <color theme="1"/>
      <name val="Aptos Narrow"/>
      <family val="2"/>
      <scheme val="minor"/>
    </font>
    <font>
      <u/>
      <sz val="11"/>
      <color theme="10"/>
      <name val="Aptos Narrow"/>
      <family val="2"/>
      <scheme val="minor"/>
    </font>
  </fonts>
  <fills count="7">
    <fill>
      <patternFill patternType="none"/>
    </fill>
    <fill>
      <patternFill patternType="gray125"/>
    </fill>
    <fill>
      <patternFill patternType="solid">
        <fgColor theme="1"/>
        <bgColor indexed="64"/>
      </patternFill>
    </fill>
    <fill>
      <patternFill patternType="solid">
        <fgColor rgb="FFB3E0F2"/>
        <bgColor indexed="64"/>
      </patternFill>
    </fill>
    <fill>
      <patternFill patternType="solid">
        <fgColor rgb="FFE3E3E3"/>
        <bgColor indexed="64"/>
      </patternFill>
    </fill>
    <fill>
      <patternFill patternType="solid">
        <fgColor rgb="FFDFF2F9"/>
        <bgColor indexed="64"/>
      </patternFill>
    </fill>
    <fill>
      <patternFill patternType="solid">
        <fgColor theme="7" tint="0.79998168889431442"/>
        <bgColor indexed="64"/>
      </patternFill>
    </fill>
  </fills>
  <borders count="5">
    <border>
      <left/>
      <right/>
      <top/>
      <bottom/>
      <diagonal/>
    </border>
    <border>
      <left/>
      <right/>
      <top/>
      <bottom style="thin">
        <color rgb="FF00579E"/>
      </bottom>
      <diagonal/>
    </border>
    <border>
      <left/>
      <right/>
      <top/>
      <bottom style="thin">
        <color indexed="64"/>
      </bottom>
      <diagonal/>
    </border>
    <border>
      <left/>
      <right/>
      <top style="thin">
        <color rgb="FF000000"/>
      </top>
      <bottom/>
      <diagonal/>
    </border>
    <border>
      <left/>
      <right/>
      <top style="thin">
        <color rgb="FF000000"/>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8" fillId="0" borderId="0" applyNumberFormat="0" applyFill="0" applyBorder="0" applyAlignment="0" applyProtection="0"/>
  </cellStyleXfs>
  <cellXfs count="194">
    <xf numFmtId="0" fontId="0" fillId="0" borderId="0" xfId="0"/>
    <xf numFmtId="44" fontId="0" fillId="0" borderId="0" xfId="0" applyNumberFormat="1"/>
    <xf numFmtId="0" fontId="2" fillId="0" borderId="0" xfId="0" applyFont="1" applyAlignment="1">
      <alignment horizontal="center" vertical="center" wrapText="1"/>
    </xf>
    <xf numFmtId="0" fontId="3" fillId="0" borderId="0" xfId="0" applyFont="1"/>
    <xf numFmtId="0" fontId="4" fillId="0" borderId="0" xfId="0" applyFont="1"/>
    <xf numFmtId="0" fontId="4" fillId="0" borderId="0" xfId="0" applyFont="1" applyAlignment="1">
      <alignment horizontal="center" vertical="center"/>
    </xf>
    <xf numFmtId="0" fontId="5" fillId="0" borderId="1" xfId="0" applyFont="1" applyBorder="1" applyAlignment="1">
      <alignment horizontal="center" vertical="center" wrapText="1"/>
    </xf>
    <xf numFmtId="0" fontId="6" fillId="0" borderId="1" xfId="0" applyFont="1" applyBorder="1" applyAlignment="1">
      <alignment horizontal="center" vertical="center" wrapText="1"/>
    </xf>
    <xf numFmtId="0" fontId="6" fillId="2" borderId="1" xfId="0" applyFont="1" applyFill="1" applyBorder="1" applyAlignment="1">
      <alignment horizontal="center" vertical="center" wrapText="1"/>
    </xf>
    <xf numFmtId="0" fontId="6" fillId="0" borderId="1" xfId="0" applyFont="1" applyBorder="1" applyAlignment="1">
      <alignment horizontal="center" wrapText="1"/>
    </xf>
    <xf numFmtId="0" fontId="3" fillId="0" borderId="0" xfId="0" applyFont="1" applyAlignment="1">
      <alignment horizontal="center" vertical="center"/>
    </xf>
    <xf numFmtId="0" fontId="3" fillId="2" borderId="0" xfId="0" applyFont="1" applyFill="1"/>
    <xf numFmtId="0" fontId="7" fillId="0" borderId="0" xfId="0" applyFont="1" applyAlignment="1">
      <alignment horizontal="left" vertical="center"/>
    </xf>
    <xf numFmtId="0" fontId="3" fillId="0" borderId="0" xfId="0" applyFont="1" applyAlignment="1">
      <alignment vertical="center"/>
    </xf>
    <xf numFmtId="0" fontId="8" fillId="0" borderId="0" xfId="0" applyFont="1" applyAlignment="1">
      <alignment horizontal="left" vertical="center" indent="1"/>
    </xf>
    <xf numFmtId="0" fontId="7" fillId="0" borderId="0" xfId="0" applyFont="1" applyAlignment="1">
      <alignment horizontal="left" vertical="center" indent="2"/>
    </xf>
    <xf numFmtId="0" fontId="7" fillId="0" borderId="0" xfId="0" applyFont="1" applyAlignment="1">
      <alignment horizontal="left" vertical="center" indent="3"/>
    </xf>
    <xf numFmtId="0" fontId="9" fillId="0" borderId="0" xfId="0" applyFont="1" applyAlignment="1">
      <alignment horizontal="left" vertical="center" indent="3"/>
    </xf>
    <xf numFmtId="0" fontId="10" fillId="0" borderId="0" xfId="0" quotePrefix="1" applyFont="1" applyAlignment="1">
      <alignment horizontal="center"/>
    </xf>
    <xf numFmtId="0" fontId="11" fillId="0" borderId="0" xfId="0" applyFont="1" applyAlignment="1">
      <alignment horizontal="center" vertical="center" wrapText="1"/>
    </xf>
    <xf numFmtId="0" fontId="11" fillId="0" borderId="0" xfId="0" applyFont="1" applyAlignment="1">
      <alignment vertical="center" wrapText="1"/>
    </xf>
    <xf numFmtId="44" fontId="11" fillId="0" borderId="0" xfId="1" applyFont="1" applyFill="1" applyBorder="1" applyAlignment="1" applyProtection="1">
      <alignment horizontal="right" vertical="center"/>
    </xf>
    <xf numFmtId="44" fontId="11" fillId="0" borderId="2" xfId="1" applyFont="1" applyFill="1" applyBorder="1" applyAlignment="1" applyProtection="1">
      <alignment horizontal="right" vertical="center"/>
    </xf>
    <xf numFmtId="44" fontId="11" fillId="2" borderId="0" xfId="1" applyFont="1" applyFill="1" applyBorder="1" applyAlignment="1" applyProtection="1">
      <alignment horizontal="right" vertical="center"/>
    </xf>
    <xf numFmtId="44" fontId="11" fillId="3" borderId="3" xfId="1" applyFont="1" applyFill="1" applyBorder="1" applyAlignment="1" applyProtection="1">
      <alignment horizontal="right" vertical="center"/>
    </xf>
    <xf numFmtId="44" fontId="11" fillId="3" borderId="0" xfId="1" applyFont="1" applyFill="1" applyBorder="1" applyAlignment="1" applyProtection="1">
      <alignment horizontal="right" vertical="center"/>
    </xf>
    <xf numFmtId="44" fontId="11" fillId="2" borderId="3" xfId="1" applyFont="1" applyFill="1" applyBorder="1" applyAlignment="1" applyProtection="1">
      <alignment horizontal="right" vertical="center"/>
    </xf>
    <xf numFmtId="44" fontId="10" fillId="0" borderId="0" xfId="1" applyFont="1"/>
    <xf numFmtId="44" fontId="3" fillId="0" borderId="0" xfId="1" applyFont="1" applyBorder="1" applyAlignment="1">
      <alignment vertical="center"/>
    </xf>
    <xf numFmtId="44" fontId="10" fillId="2" borderId="0" xfId="1" applyFont="1" applyFill="1"/>
    <xf numFmtId="44" fontId="3" fillId="0" borderId="0" xfId="1" applyFont="1"/>
    <xf numFmtId="0" fontId="12" fillId="0" borderId="0" xfId="0" quotePrefix="1" applyFont="1" applyAlignment="1">
      <alignment horizontal="center"/>
    </xf>
    <xf numFmtId="0" fontId="12" fillId="0" borderId="0" xfId="0" applyFont="1" applyAlignment="1">
      <alignment horizontal="center" vertical="center" wrapText="1"/>
    </xf>
    <xf numFmtId="0" fontId="12" fillId="0" borderId="0" xfId="0" applyFont="1" applyAlignment="1">
      <alignment vertical="center" wrapText="1"/>
    </xf>
    <xf numFmtId="44" fontId="12" fillId="0" borderId="0" xfId="1" applyFont="1" applyFill="1" applyBorder="1" applyAlignment="1" applyProtection="1">
      <alignment horizontal="right" vertical="center"/>
    </xf>
    <xf numFmtId="44" fontId="12" fillId="0" borderId="2" xfId="1" applyFont="1" applyFill="1" applyBorder="1" applyAlignment="1" applyProtection="1">
      <alignment horizontal="right" vertical="center"/>
    </xf>
    <xf numFmtId="0" fontId="13" fillId="0" borderId="0" xfId="0" applyFont="1"/>
    <xf numFmtId="44" fontId="11" fillId="3" borderId="4" xfId="1" applyFont="1" applyFill="1" applyBorder="1" applyAlignment="1" applyProtection="1">
      <alignment horizontal="right" vertical="center"/>
    </xf>
    <xf numFmtId="44" fontId="11" fillId="4" borderId="0" xfId="1" applyFont="1" applyFill="1" applyBorder="1" applyAlignment="1" applyProtection="1">
      <alignment horizontal="right" vertical="center"/>
    </xf>
    <xf numFmtId="44" fontId="11" fillId="4" borderId="2" xfId="1" applyFont="1" applyFill="1" applyBorder="1" applyAlignment="1" applyProtection="1">
      <alignment horizontal="right" vertical="center"/>
    </xf>
    <xf numFmtId="44" fontId="11" fillId="4" borderId="3" xfId="1" applyFont="1" applyFill="1" applyBorder="1" applyAlignment="1" applyProtection="1">
      <alignment horizontal="right" vertical="center"/>
    </xf>
    <xf numFmtId="44" fontId="11" fillId="5" borderId="3" xfId="1" applyFont="1" applyFill="1" applyBorder="1" applyAlignment="1" applyProtection="1">
      <alignment horizontal="right" vertical="center"/>
    </xf>
    <xf numFmtId="44" fontId="11" fillId="5" borderId="0" xfId="1" applyFont="1" applyFill="1" applyBorder="1" applyAlignment="1" applyProtection="1">
      <alignment horizontal="right" vertical="center"/>
    </xf>
    <xf numFmtId="44" fontId="3" fillId="0" borderId="2" xfId="1" applyFont="1" applyBorder="1" applyAlignment="1">
      <alignment vertical="center"/>
    </xf>
    <xf numFmtId="0" fontId="15" fillId="0" borderId="0" xfId="0" applyFont="1" applyAlignment="1">
      <alignment horizontal="center"/>
    </xf>
    <xf numFmtId="0" fontId="15" fillId="0" borderId="0" xfId="0" applyFont="1"/>
    <xf numFmtId="0" fontId="6" fillId="0" borderId="0" xfId="0" applyFont="1" applyAlignment="1">
      <alignment horizontal="center" wrapText="1"/>
    </xf>
    <xf numFmtId="44" fontId="16" fillId="0" borderId="0" xfId="1" applyFont="1" applyFill="1" applyBorder="1" applyAlignment="1" applyProtection="1">
      <alignment horizontal="right" vertical="center"/>
    </xf>
    <xf numFmtId="0" fontId="17" fillId="0" borderId="0" xfId="0" applyFont="1" applyAlignment="1">
      <alignment vertical="center"/>
    </xf>
    <xf numFmtId="0" fontId="6" fillId="0" borderId="0" xfId="0" applyFont="1" applyAlignment="1">
      <alignment horizontal="center" vertical="center"/>
    </xf>
    <xf numFmtId="0" fontId="10" fillId="0" borderId="0" xfId="0" quotePrefix="1" applyFont="1" applyAlignment="1">
      <alignment horizontal="center" vertical="center"/>
    </xf>
    <xf numFmtId="0" fontId="10" fillId="0" borderId="0" xfId="0" applyFont="1"/>
    <xf numFmtId="0" fontId="12" fillId="0" borderId="0" xfId="0" quotePrefix="1" applyFont="1" applyAlignment="1">
      <alignment horizontal="center" vertical="center"/>
    </xf>
    <xf numFmtId="44" fontId="3" fillId="0" borderId="0" xfId="1" applyFont="1" applyFill="1" applyBorder="1"/>
    <xf numFmtId="0" fontId="4" fillId="0" borderId="0" xfId="0" applyFont="1" applyAlignment="1">
      <alignment horizontal="center"/>
    </xf>
    <xf numFmtId="0" fontId="12" fillId="0" borderId="0" xfId="0" applyFont="1" applyAlignment="1">
      <alignment horizontal="left" vertical="center" indent="1"/>
    </xf>
    <xf numFmtId="44" fontId="12" fillId="2" borderId="0" xfId="1" applyFont="1" applyFill="1" applyBorder="1" applyAlignment="1" applyProtection="1">
      <alignment horizontal="right" vertical="center"/>
    </xf>
    <xf numFmtId="44" fontId="12" fillId="3" borderId="3" xfId="1" applyFont="1" applyFill="1" applyBorder="1" applyAlignment="1" applyProtection="1">
      <alignment horizontal="right" vertical="center"/>
    </xf>
    <xf numFmtId="44" fontId="12" fillId="2" borderId="3" xfId="1" applyFont="1" applyFill="1" applyBorder="1" applyAlignment="1" applyProtection="1">
      <alignment horizontal="right" vertical="center"/>
    </xf>
    <xf numFmtId="44" fontId="12" fillId="0" borderId="0" xfId="1" applyFont="1"/>
    <xf numFmtId="44" fontId="12" fillId="2" borderId="0" xfId="1" applyFont="1" applyFill="1"/>
    <xf numFmtId="44" fontId="12" fillId="4" borderId="3" xfId="1" applyFont="1" applyFill="1" applyBorder="1" applyAlignment="1" applyProtection="1">
      <alignment horizontal="right" vertical="center"/>
    </xf>
    <xf numFmtId="44" fontId="12" fillId="0" borderId="0" xfId="1" applyFont="1" applyFill="1"/>
    <xf numFmtId="44" fontId="12" fillId="5" borderId="3" xfId="1" applyFont="1" applyFill="1" applyBorder="1" applyAlignment="1" applyProtection="1">
      <alignment horizontal="right" vertical="center"/>
    </xf>
    <xf numFmtId="0" fontId="3" fillId="0" borderId="0" xfId="0" applyFont="1" applyAlignment="1">
      <alignment horizontal="center"/>
    </xf>
    <xf numFmtId="0" fontId="12" fillId="0" borderId="1" xfId="0" applyFont="1" applyBorder="1" applyAlignment="1">
      <alignment horizontal="center" vertical="center" wrapText="1"/>
    </xf>
    <xf numFmtId="0" fontId="6" fillId="0" borderId="0" xfId="0" applyFont="1" applyAlignment="1">
      <alignment horizontal="center"/>
    </xf>
    <xf numFmtId="44" fontId="4" fillId="0" borderId="0" xfId="1" applyFont="1" applyFill="1"/>
    <xf numFmtId="0" fontId="8" fillId="0" borderId="1" xfId="0" applyFont="1" applyBorder="1" applyAlignment="1">
      <alignment horizontal="center" vertical="center" wrapText="1"/>
    </xf>
    <xf numFmtId="0" fontId="7"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44" fontId="11" fillId="3" borderId="3" xfId="1" applyFont="1" applyFill="1" applyBorder="1" applyAlignment="1" applyProtection="1">
      <alignment horizontal="center" vertical="center"/>
    </xf>
    <xf numFmtId="44" fontId="3" fillId="0" borderId="0" xfId="1" applyFont="1" applyAlignment="1">
      <alignment horizontal="center"/>
    </xf>
    <xf numFmtId="44" fontId="10" fillId="0" borderId="0" xfId="1" applyFont="1" applyFill="1"/>
    <xf numFmtId="44" fontId="11" fillId="4" borderId="3" xfId="1" applyFont="1" applyFill="1" applyBorder="1" applyAlignment="1" applyProtection="1">
      <alignment horizontal="center" vertical="center"/>
    </xf>
    <xf numFmtId="44" fontId="11" fillId="5" borderId="3" xfId="1" applyFont="1" applyFill="1" applyBorder="1" applyAlignment="1" applyProtection="1">
      <alignment horizontal="center" vertical="center"/>
    </xf>
    <xf numFmtId="0" fontId="18" fillId="0" borderId="0" xfId="0" applyFont="1"/>
    <xf numFmtId="0" fontId="7" fillId="0" borderId="1" xfId="0" applyFont="1" applyBorder="1" applyAlignment="1">
      <alignment horizontal="center" vertical="center" wrapText="1"/>
    </xf>
    <xf numFmtId="0" fontId="7" fillId="2" borderId="1" xfId="0" applyFont="1" applyFill="1" applyBorder="1" applyAlignment="1">
      <alignment horizontal="center" vertical="center" wrapText="1"/>
    </xf>
    <xf numFmtId="0" fontId="8" fillId="0" borderId="0" xfId="0" applyFont="1" applyAlignment="1">
      <alignment horizontal="left" vertical="center"/>
    </xf>
    <xf numFmtId="0" fontId="10" fillId="2" borderId="0" xfId="0" applyFont="1" applyFill="1"/>
    <xf numFmtId="0" fontId="9" fillId="0" borderId="0" xfId="0" applyFont="1" applyAlignment="1">
      <alignment horizontal="left" vertical="center"/>
    </xf>
    <xf numFmtId="0" fontId="9" fillId="3" borderId="0" xfId="0" applyFont="1" applyFill="1" applyAlignment="1">
      <alignment horizontal="left" vertical="center"/>
    </xf>
    <xf numFmtId="0" fontId="9" fillId="3" borderId="0" xfId="0" applyFont="1" applyFill="1" applyAlignment="1">
      <alignment horizontal="right" vertical="center"/>
    </xf>
    <xf numFmtId="44" fontId="9" fillId="0" borderId="0" xfId="1" applyFont="1" applyFill="1" applyBorder="1" applyAlignment="1" applyProtection="1">
      <alignment horizontal="left" vertical="center"/>
    </xf>
    <xf numFmtId="44" fontId="10" fillId="0" borderId="0" xfId="1" applyFont="1" applyAlignment="1"/>
    <xf numFmtId="44" fontId="3" fillId="0" borderId="0" xfId="1" applyFont="1" applyFill="1" applyAlignment="1"/>
    <xf numFmtId="0" fontId="14" fillId="0" borderId="0" xfId="0" applyFont="1" applyAlignment="1">
      <alignment horizontal="left" vertical="center"/>
    </xf>
    <xf numFmtId="0" fontId="7" fillId="4" borderId="0" xfId="0" applyFont="1" applyFill="1" applyAlignment="1">
      <alignment horizontal="left" vertical="center"/>
    </xf>
    <xf numFmtId="0" fontId="7" fillId="4" borderId="0" xfId="0" applyFont="1" applyFill="1" applyAlignment="1">
      <alignment horizontal="right" vertical="center"/>
    </xf>
    <xf numFmtId="0" fontId="8" fillId="5" borderId="0" xfId="0" applyFont="1" applyFill="1" applyAlignment="1">
      <alignment horizontal="left" vertical="center"/>
    </xf>
    <xf numFmtId="0" fontId="8" fillId="5" borderId="0" xfId="0" applyFont="1" applyFill="1" applyAlignment="1">
      <alignment horizontal="right" vertical="center"/>
    </xf>
    <xf numFmtId="0" fontId="3" fillId="0" borderId="0" xfId="0" applyFont="1" applyAlignment="1">
      <alignment horizontal="left"/>
    </xf>
    <xf numFmtId="44" fontId="3" fillId="0" borderId="0" xfId="1" applyFont="1" applyAlignment="1"/>
    <xf numFmtId="0" fontId="19" fillId="0" borderId="0" xfId="0" applyFont="1"/>
    <xf numFmtId="0" fontId="6" fillId="0" borderId="0" xfId="0" applyFont="1" applyAlignment="1">
      <alignment horizontal="center" vertical="center" wrapText="1"/>
    </xf>
    <xf numFmtId="44" fontId="3" fillId="0" borderId="0" xfId="0" applyNumberFormat="1" applyFont="1"/>
    <xf numFmtId="44" fontId="10" fillId="0" borderId="0" xfId="1" applyFont="1" applyFill="1" applyAlignment="1"/>
    <xf numFmtId="44" fontId="4" fillId="0" borderId="0" xfId="1" applyFont="1" applyAlignment="1"/>
    <xf numFmtId="44" fontId="12" fillId="0" borderId="0" xfId="1" applyFont="1" applyAlignment="1"/>
    <xf numFmtId="44" fontId="20" fillId="0" borderId="0" xfId="1" applyFont="1" applyAlignment="1"/>
    <xf numFmtId="44" fontId="20" fillId="0" borderId="0" xfId="1" applyFont="1" applyFill="1" applyAlignment="1"/>
    <xf numFmtId="0" fontId="20" fillId="0" borderId="0" xfId="0" applyFont="1"/>
    <xf numFmtId="10" fontId="0" fillId="0" borderId="0" xfId="2" applyNumberFormat="1" applyFont="1"/>
    <xf numFmtId="44" fontId="6" fillId="2" borderId="1" xfId="0" applyNumberFormat="1" applyFont="1" applyFill="1" applyBorder="1" applyAlignment="1">
      <alignment horizontal="center" vertical="center" wrapText="1"/>
    </xf>
    <xf numFmtId="44" fontId="11" fillId="0" borderId="0" xfId="0" applyNumberFormat="1" applyFont="1" applyAlignment="1">
      <alignment vertical="center" wrapText="1"/>
    </xf>
    <xf numFmtId="44" fontId="9" fillId="0" borderId="0" xfId="0" applyNumberFormat="1" applyFont="1" applyAlignment="1">
      <alignment horizontal="left" vertical="center"/>
    </xf>
    <xf numFmtId="44" fontId="3" fillId="2" borderId="0" xfId="1" applyFont="1" applyFill="1"/>
    <xf numFmtId="0" fontId="21" fillId="0" borderId="0" xfId="0" applyFont="1"/>
    <xf numFmtId="0" fontId="6" fillId="0" borderId="1" xfId="0" applyFont="1" applyBorder="1" applyAlignment="1">
      <alignment horizontal="left" wrapText="1"/>
    </xf>
    <xf numFmtId="0" fontId="6" fillId="0" borderId="0" xfId="0" applyFont="1"/>
    <xf numFmtId="44" fontId="11" fillId="3" borderId="3" xfId="0" applyNumberFormat="1" applyFont="1" applyFill="1" applyBorder="1" applyAlignment="1">
      <alignment horizontal="right" vertical="center"/>
    </xf>
    <xf numFmtId="10" fontId="3" fillId="0" borderId="0" xfId="2" applyNumberFormat="1" applyFont="1"/>
    <xf numFmtId="44" fontId="22" fillId="0" borderId="0" xfId="1" applyFont="1" applyAlignment="1">
      <alignment horizontal="right" vertical="center"/>
    </xf>
    <xf numFmtId="44" fontId="22" fillId="0" borderId="0" xfId="1" applyFont="1" applyFill="1" applyAlignment="1">
      <alignment horizontal="right" vertical="center"/>
    </xf>
    <xf numFmtId="44" fontId="23" fillId="0" borderId="0" xfId="1" applyFont="1" applyFill="1" applyAlignment="1">
      <alignment horizontal="right" vertical="center"/>
    </xf>
    <xf numFmtId="0" fontId="2" fillId="0" borderId="0" xfId="0" applyFont="1" applyAlignment="1">
      <alignment vertical="center" wrapText="1"/>
    </xf>
    <xf numFmtId="0" fontId="24" fillId="0" borderId="0" xfId="0" applyFont="1"/>
    <xf numFmtId="44" fontId="11" fillId="0" borderId="0" xfId="1" applyFont="1" applyFill="1" applyBorder="1" applyAlignment="1" applyProtection="1">
      <alignment horizontal="center" vertical="center"/>
    </xf>
    <xf numFmtId="44" fontId="11" fillId="0" borderId="0" xfId="1" applyFont="1" applyAlignment="1">
      <alignment horizontal="right" vertical="center"/>
    </xf>
    <xf numFmtId="44" fontId="11" fillId="2" borderId="0" xfId="1" applyFont="1" applyFill="1" applyBorder="1" applyAlignment="1" applyProtection="1">
      <alignment horizontal="center" vertical="center"/>
    </xf>
    <xf numFmtId="44" fontId="11" fillId="3" borderId="3" xfId="1" applyFont="1" applyFill="1" applyBorder="1" applyAlignment="1">
      <alignment horizontal="right" vertical="center"/>
    </xf>
    <xf numFmtId="44" fontId="11" fillId="2" borderId="3" xfId="1" applyFont="1" applyFill="1" applyBorder="1" applyAlignment="1" applyProtection="1">
      <alignment horizontal="center" vertical="center"/>
    </xf>
    <xf numFmtId="44" fontId="10" fillId="0" borderId="0" xfId="1" applyFont="1" applyAlignment="1">
      <alignment horizontal="center"/>
    </xf>
    <xf numFmtId="44" fontId="10" fillId="2" borderId="0" xfId="1" applyFont="1" applyFill="1" applyAlignment="1">
      <alignment horizontal="center"/>
    </xf>
    <xf numFmtId="44" fontId="11" fillId="4" borderId="3" xfId="1" applyFont="1" applyFill="1" applyBorder="1" applyAlignment="1">
      <alignment horizontal="right" vertical="center"/>
    </xf>
    <xf numFmtId="44" fontId="11" fillId="5" borderId="3" xfId="1" applyFont="1" applyFill="1" applyBorder="1" applyAlignment="1">
      <alignment horizontal="right" vertical="center"/>
    </xf>
    <xf numFmtId="0" fontId="6" fillId="2" borderId="0" xfId="0" applyFont="1" applyFill="1" applyAlignment="1">
      <alignment horizontal="center" vertical="center" wrapText="1"/>
    </xf>
    <xf numFmtId="0" fontId="21" fillId="0" borderId="0" xfId="0" applyFont="1" applyAlignment="1">
      <alignment horizontal="center" vertical="center"/>
    </xf>
    <xf numFmtId="0" fontId="9" fillId="0" borderId="0" xfId="0" applyFont="1" applyAlignment="1">
      <alignment horizontal="right" vertical="center"/>
    </xf>
    <xf numFmtId="0" fontId="24" fillId="0" borderId="0" xfId="0" applyFont="1" applyAlignment="1">
      <alignment horizontal="center"/>
    </xf>
    <xf numFmtId="0" fontId="24" fillId="0" borderId="0" xfId="0" applyFont="1" applyAlignment="1">
      <alignment horizontal="center" vertical="center"/>
    </xf>
    <xf numFmtId="0" fontId="4" fillId="2" borderId="0" xfId="0" applyFont="1" applyFill="1"/>
    <xf numFmtId="44" fontId="4" fillId="0" borderId="0" xfId="0" applyNumberFormat="1" applyFont="1"/>
    <xf numFmtId="44" fontId="4" fillId="0" borderId="0" xfId="1" applyFont="1"/>
    <xf numFmtId="44" fontId="25" fillId="2" borderId="0" xfId="1" applyFont="1" applyFill="1" applyBorder="1" applyAlignment="1" applyProtection="1">
      <alignment horizontal="right" vertical="center"/>
    </xf>
    <xf numFmtId="44" fontId="4" fillId="2" borderId="0" xfId="1" applyFont="1" applyFill="1"/>
    <xf numFmtId="0" fontId="26" fillId="0" borderId="0" xfId="0" applyFont="1"/>
    <xf numFmtId="49" fontId="0" fillId="0" borderId="0" xfId="0" applyNumberFormat="1"/>
    <xf numFmtId="10" fontId="0" fillId="0" borderId="0" xfId="0" applyNumberFormat="1"/>
    <xf numFmtId="0" fontId="27" fillId="0" borderId="0" xfId="0" applyFont="1"/>
    <xf numFmtId="49" fontId="27" fillId="0" borderId="0" xfId="0" applyNumberFormat="1" applyFont="1"/>
    <xf numFmtId="10" fontId="27" fillId="0" borderId="0" xfId="0" applyNumberFormat="1" applyFont="1"/>
    <xf numFmtId="49" fontId="27" fillId="0" borderId="0" xfId="0" applyNumberFormat="1" applyFont="1" applyAlignment="1">
      <alignment horizontal="center" wrapText="1"/>
    </xf>
    <xf numFmtId="0" fontId="0" fillId="0" borderId="0" xfId="0" applyAlignment="1">
      <alignment horizontal="left"/>
    </xf>
    <xf numFmtId="0" fontId="0" fillId="0" borderId="0" xfId="0" pivotButton="1" applyAlignment="1">
      <alignment horizontal="center" wrapText="1"/>
    </xf>
    <xf numFmtId="0" fontId="0" fillId="0" borderId="0" xfId="0" applyAlignment="1">
      <alignment horizontal="center" wrapText="1"/>
    </xf>
    <xf numFmtId="166" fontId="0" fillId="0" borderId="0" xfId="0" applyNumberFormat="1"/>
    <xf numFmtId="166" fontId="0" fillId="0" borderId="0" xfId="0" applyNumberFormat="1" applyAlignment="1">
      <alignment horizontal="center" wrapText="1"/>
    </xf>
    <xf numFmtId="42" fontId="0" fillId="0" borderId="0" xfId="0" applyNumberFormat="1"/>
    <xf numFmtId="42" fontId="0" fillId="0" borderId="0" xfId="0" applyNumberFormat="1" applyAlignment="1">
      <alignment horizontal="center" wrapText="1"/>
    </xf>
    <xf numFmtId="44" fontId="10" fillId="0" borderId="0" xfId="0" applyNumberFormat="1" applyFont="1"/>
    <xf numFmtId="9" fontId="3" fillId="0" borderId="0" xfId="2" applyFont="1"/>
    <xf numFmtId="10" fontId="4" fillId="0" borderId="0" xfId="2" applyNumberFormat="1" applyFont="1"/>
    <xf numFmtId="49" fontId="27" fillId="6" borderId="0" xfId="0" applyNumberFormat="1" applyFont="1" applyFill="1" applyAlignment="1">
      <alignment horizontal="center" wrapText="1"/>
    </xf>
    <xf numFmtId="164" fontId="0" fillId="6" borderId="0" xfId="0" applyNumberFormat="1" applyFill="1"/>
    <xf numFmtId="164" fontId="27" fillId="6" borderId="0" xfId="0" applyNumberFormat="1" applyFont="1" applyFill="1"/>
    <xf numFmtId="10" fontId="27" fillId="0" borderId="0" xfId="0" applyNumberFormat="1" applyFont="1" applyAlignment="1">
      <alignment horizontal="center" wrapText="1"/>
    </xf>
    <xf numFmtId="16" fontId="0" fillId="0" borderId="0" xfId="0" quotePrefix="1" applyNumberFormat="1"/>
    <xf numFmtId="0" fontId="0" fillId="0" borderId="0" xfId="0" quotePrefix="1"/>
    <xf numFmtId="166" fontId="27" fillId="0" borderId="0" xfId="0" applyNumberFormat="1" applyFont="1"/>
    <xf numFmtId="166" fontId="28" fillId="0" borderId="0" xfId="3" applyNumberFormat="1"/>
    <xf numFmtId="0" fontId="0" fillId="0" borderId="0" xfId="0" applyAlignment="1">
      <alignment horizontal="left" indent="1"/>
    </xf>
    <xf numFmtId="0" fontId="0" fillId="0" borderId="0" xfId="0" applyAlignment="1">
      <alignment wrapText="1"/>
    </xf>
    <xf numFmtId="44" fontId="27" fillId="0" borderId="0" xfId="0" applyNumberFormat="1" applyFont="1" applyAlignment="1">
      <alignment horizontal="center" wrapText="1"/>
    </xf>
    <xf numFmtId="164" fontId="27" fillId="0" borderId="0" xfId="0" applyNumberFormat="1" applyFont="1"/>
    <xf numFmtId="1" fontId="0" fillId="0" borderId="0" xfId="0" applyNumberFormat="1"/>
    <xf numFmtId="1" fontId="27" fillId="0" borderId="0" xfId="0" applyNumberFormat="1" applyFont="1"/>
    <xf numFmtId="0" fontId="14" fillId="0" borderId="0" xfId="0" applyFont="1" applyAlignment="1">
      <alignment horizontal="left" vertical="center" indent="3"/>
    </xf>
    <xf numFmtId="0" fontId="2" fillId="0" borderId="0" xfId="0" applyFont="1" applyAlignment="1">
      <alignment horizontal="center" vertical="center" wrapText="1"/>
    </xf>
    <xf numFmtId="0" fontId="7" fillId="0" borderId="0" xfId="0" applyFont="1" applyAlignment="1">
      <alignment horizontal="left" vertical="center"/>
    </xf>
    <xf numFmtId="0" fontId="8" fillId="0" borderId="0" xfId="0" applyFont="1" applyAlignment="1">
      <alignment horizontal="left" vertical="center" indent="1"/>
    </xf>
    <xf numFmtId="0" fontId="7" fillId="0" borderId="0" xfId="0" applyFont="1" applyAlignment="1">
      <alignment horizontal="left" vertical="center" indent="2"/>
    </xf>
    <xf numFmtId="0" fontId="7" fillId="0" borderId="0" xfId="0" applyFont="1" applyAlignment="1">
      <alignment horizontal="left" vertical="center" indent="3"/>
    </xf>
    <xf numFmtId="0" fontId="9" fillId="0" borderId="0" xfId="0" applyFont="1" applyAlignment="1">
      <alignment horizontal="left" vertical="center" indent="3"/>
    </xf>
    <xf numFmtId="0" fontId="9" fillId="3" borderId="0" xfId="0" applyFont="1" applyFill="1" applyAlignment="1">
      <alignment horizontal="left" vertical="center" indent="3"/>
    </xf>
    <xf numFmtId="0" fontId="9" fillId="3" borderId="0" xfId="0" applyFont="1" applyFill="1" applyAlignment="1">
      <alignment horizontal="right" vertical="center" indent="3"/>
    </xf>
    <xf numFmtId="0" fontId="7" fillId="4" borderId="0" xfId="0" applyFont="1" applyFill="1" applyAlignment="1">
      <alignment horizontal="right" vertical="center" indent="3"/>
    </xf>
    <xf numFmtId="0" fontId="8" fillId="5" borderId="0" xfId="0" applyFont="1" applyFill="1" applyAlignment="1">
      <alignment horizontal="right" vertical="center" indent="3"/>
    </xf>
    <xf numFmtId="0" fontId="9" fillId="0" borderId="0" xfId="0" applyFont="1" applyAlignment="1">
      <alignment horizontal="right" vertical="center" indent="3"/>
    </xf>
    <xf numFmtId="0" fontId="12" fillId="0" borderId="0" xfId="0" applyFont="1" applyAlignment="1">
      <alignment horizontal="right" vertical="center" indent="3"/>
    </xf>
    <xf numFmtId="0" fontId="9" fillId="3" borderId="0" xfId="0" applyFont="1" applyFill="1" applyAlignment="1">
      <alignment horizontal="center" vertical="center"/>
    </xf>
    <xf numFmtId="0" fontId="9" fillId="3" borderId="0" xfId="0" applyFont="1" applyFill="1" applyAlignment="1">
      <alignment vertical="center"/>
    </xf>
    <xf numFmtId="0" fontId="12" fillId="0" borderId="0" xfId="0" applyFont="1" applyAlignment="1">
      <alignment horizontal="left" vertical="center" indent="1"/>
    </xf>
    <xf numFmtId="0" fontId="12" fillId="5" borderId="0" xfId="0" applyFont="1" applyFill="1" applyAlignment="1">
      <alignment horizontal="right" vertical="center" indent="3"/>
    </xf>
    <xf numFmtId="0" fontId="0" fillId="0" borderId="0" xfId="0" applyAlignment="1">
      <alignment horizontal="center" vertical="center" wrapText="1"/>
    </xf>
    <xf numFmtId="0" fontId="8" fillId="5" borderId="0" xfId="0" applyFont="1" applyFill="1" applyAlignment="1">
      <alignment horizontal="right" vertical="center"/>
    </xf>
    <xf numFmtId="0" fontId="9" fillId="3" borderId="0" xfId="0" applyFont="1" applyFill="1" applyAlignment="1">
      <alignment horizontal="right" vertical="center"/>
    </xf>
    <xf numFmtId="0" fontId="7" fillId="4" borderId="0" xfId="0" applyFont="1" applyFill="1" applyAlignment="1">
      <alignment horizontal="right" vertical="center"/>
    </xf>
    <xf numFmtId="0" fontId="14" fillId="3" borderId="0" xfId="0" applyFont="1" applyFill="1" applyAlignment="1">
      <alignment horizontal="left" vertical="center" indent="3"/>
    </xf>
    <xf numFmtId="0" fontId="0" fillId="0" borderId="0" xfId="0" applyAlignment="1">
      <alignment horizontal="center" vertical="center"/>
    </xf>
    <xf numFmtId="0" fontId="2" fillId="0" borderId="0" xfId="0" applyFont="1" applyAlignment="1">
      <alignment vertical="center" wrapText="1"/>
    </xf>
    <xf numFmtId="0" fontId="0" fillId="0" borderId="0" xfId="0" applyAlignment="1">
      <alignment vertical="center" wrapText="1"/>
    </xf>
  </cellXfs>
  <cellStyles count="4">
    <cellStyle name="Currency" xfId="1" builtinId="4"/>
    <cellStyle name="Hyperlink" xfId="3" builtinId="8"/>
    <cellStyle name="Normal" xfId="0" builtinId="0"/>
    <cellStyle name="Percent" xfId="2" builtinId="5"/>
  </cellStyles>
  <dxfs count="58">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horizontal="center"/>
    </dxf>
    <dxf>
      <numFmt numFmtId="166" formatCode="0.0%"/>
    </dxf>
    <dxf>
      <numFmt numFmtId="166" formatCode="0.0%"/>
    </dxf>
    <dxf>
      <alignment horizontal="center"/>
    </dxf>
    <dxf>
      <alignment horizontal="center"/>
    </dxf>
    <dxf>
      <alignment wrapText="1"/>
    </dxf>
    <dxf>
      <alignment wrapText="1"/>
    </dxf>
    <dxf>
      <alignment horizontal="center"/>
    </dxf>
    <dxf>
      <alignment wrapText="1"/>
    </dxf>
    <dxf>
      <alignment wrapText="1"/>
    </dxf>
    <dxf>
      <alignment horizontal="center"/>
    </dxf>
    <dxf>
      <alignment horizontal="center"/>
    </dxf>
    <dxf>
      <alignment horizontal="center"/>
    </dxf>
    <dxf>
      <alignment wrapText="1"/>
    </dxf>
    <dxf>
      <alignment wrapText="1"/>
    </dxf>
    <dxf>
      <numFmt numFmtId="166" formatCode="0.0%"/>
    </dxf>
    <dxf>
      <numFmt numFmtId="166" formatCode="0.0%"/>
    </dxf>
    <dxf>
      <alignment horizontal="center"/>
    </dxf>
    <dxf>
      <alignment horizontal="center"/>
    </dxf>
    <dxf>
      <alignment wrapText="1"/>
    </dxf>
    <dxf>
      <alignment wrapText="1"/>
    </dxf>
    <dxf>
      <numFmt numFmtId="166" formatCode="0.0%"/>
    </dxf>
    <dxf>
      <numFmt numFmtId="166" formatCode="0.0%"/>
    </dxf>
    <dxf>
      <numFmt numFmtId="166" formatCode="0.0%"/>
    </dxf>
    <dxf>
      <numFmt numFmtId="166" formatCode="0.0%"/>
    </dxf>
    <dxf>
      <numFmt numFmtId="32" formatCode="_(&quot;$&quot;* #,##0_);_(&quot;$&quot;* \(#,##0\);_(&quot;$&quot;* &quot;-&quot;_);_(@_)"/>
    </dxf>
    <dxf>
      <numFmt numFmtId="32" formatCode="_(&quot;$&quot;* #,##0_);_(&quot;$&quot;* \(#,##0\);_(&quot;$&quot;* &quot;-&quot;_);_(@_)"/>
    </dxf>
    <dxf>
      <numFmt numFmtId="165" formatCode="&quot;$&quot;#,##0"/>
    </dxf>
    <dxf>
      <numFmt numFmtId="9" formatCode="&quot;$&quot;#,##0_);\(&quot;$&quot;#,##0\)"/>
    </dxf>
    <dxf>
      <alignment wrapText="1"/>
    </dxf>
    <dxf>
      <alignment horizontal="center"/>
    </dxf>
    <dxf>
      <alignment wrapText="1"/>
    </dxf>
    <dxf>
      <alignment wrapText="1"/>
    </dxf>
    <dxf>
      <alignment horizontal="center"/>
    </dxf>
    <dxf>
      <alignment horizontal="center"/>
    </dxf>
    <dxf>
      <numFmt numFmtId="166" formatCode="0.0%"/>
    </dxf>
    <dxf>
      <numFmt numFmtId="166" formatCode="0.0%"/>
    </dxf>
    <dxf>
      <alignment horizontal="center"/>
    </dxf>
    <dxf>
      <alignment wrapText="1"/>
    </dxf>
    <dxf>
      <numFmt numFmtId="166" formatCode="0.0%"/>
    </dxf>
    <dxf>
      <numFmt numFmtId="166" formatCode="0.0%"/>
    </dxf>
    <dxf>
      <numFmt numFmtId="166" formatCode="0.0%"/>
    </dxf>
    <dxf>
      <numFmt numFmtId="166" formatCode="0.0%"/>
    </dxf>
    <dxf>
      <numFmt numFmtId="32" formatCode="_(&quot;$&quot;* #,##0_);_(&quot;$&quot;* \(#,##0\);_(&quot;$&quot;* &quot;-&quot;_);_(@_)"/>
    </dxf>
    <dxf>
      <numFmt numFmtId="32" formatCode="_(&quot;$&quot;* #,##0_);_(&quot;$&quot;* \(#,##0\);_(&quot;$&quot;* &quot;-&quot;_);_(@_)"/>
    </dxf>
    <dxf>
      <numFmt numFmtId="165" formatCode="&quot;$&quot;#,##0"/>
    </dxf>
    <dxf>
      <numFmt numFmtId="9" formatCode="&quot;$&quot;#,##0_);\(&quot;$&quot;#,##0\)"/>
    </dxf>
    <dxf>
      <font>
        <strike val="0"/>
      </font>
      <fill>
        <patternFill>
          <bgColor theme="9" tint="0.79998168889431442"/>
        </patternFill>
      </fill>
    </dxf>
    <dxf>
      <fill>
        <patternFill>
          <bgColor rgb="FFFF9999"/>
        </patternFill>
      </fill>
    </dxf>
  </dxfs>
  <tableStyles count="0" defaultTableStyle="TableStyleMedium2" defaultPivotStyle="PivotStyleLight16"/>
  <colors>
    <mruColors>
      <color rgb="FFFF99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_rels/drawing4.xml.rels><?xml version="1.0" encoding="UTF-8" standalone="yes"?>
<Relationships xmlns="http://schemas.openxmlformats.org/package/2006/relationships"><Relationship Id="rId1" Type="http://schemas.openxmlformats.org/officeDocument/2006/relationships/image" Target="../media/image3.jpg"/></Relationships>
</file>

<file path=xl/drawings/_rels/drawing5.xml.rels><?xml version="1.0" encoding="UTF-8" standalone="yes"?>
<Relationships xmlns="http://schemas.openxmlformats.org/package/2006/relationships"><Relationship Id="rId1" Type="http://schemas.openxmlformats.org/officeDocument/2006/relationships/image" Target="../media/image3.jpg"/></Relationships>
</file>

<file path=xl/drawings/_rels/drawing6.xml.rels><?xml version="1.0" encoding="UTF-8" standalone="yes"?>
<Relationships xmlns="http://schemas.openxmlformats.org/package/2006/relationships"><Relationship Id="rId1" Type="http://schemas.openxmlformats.org/officeDocument/2006/relationships/image" Target="../media/image3.jpg"/></Relationships>
</file>

<file path=xl/drawings/_rels/drawing7.xml.rels><?xml version="1.0" encoding="UTF-8" standalone="yes"?>
<Relationships xmlns="http://schemas.openxmlformats.org/package/2006/relationships"><Relationship Id="rId1" Type="http://schemas.openxmlformats.org/officeDocument/2006/relationships/image" Target="../media/image3.jpg"/></Relationships>
</file>

<file path=xl/drawings/_rels/drawing8.xml.rels><?xml version="1.0" encoding="UTF-8" standalone="yes"?>
<Relationships xmlns="http://schemas.openxmlformats.org/package/2006/relationships"><Relationship Id="rId1" Type="http://schemas.openxmlformats.org/officeDocument/2006/relationships/image" Target="../media/image3.jpg"/></Relationships>
</file>

<file path=xl/drawings/_rels/drawing9.xml.rels><?xml version="1.0" encoding="UTF-8" standalone="yes"?>
<Relationships xmlns="http://schemas.openxmlformats.org/package/2006/relationships"><Relationship Id="rId1" Type="http://schemas.openxmlformats.org/officeDocument/2006/relationships/image" Target="../media/image3.jp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g"/></Relationships>
</file>

<file path=xl/drawings/_rels/drawing12.xml.rels><?xml version="1.0" encoding="UTF-8" standalone="yes"?>
<Relationships xmlns="http://schemas.openxmlformats.org/package/2006/relationships"><Relationship Id="rId1" Type="http://schemas.openxmlformats.org/officeDocument/2006/relationships/image" Target="../media/image3.jpg"/></Relationships>
</file>

<file path=xl/drawings/_rels/drawing13.xml.rels><?xml version="1.0" encoding="UTF-8" standalone="yes"?>
<Relationships xmlns="http://schemas.openxmlformats.org/package/2006/relationships"><Relationship Id="rId1" Type="http://schemas.openxmlformats.org/officeDocument/2006/relationships/image" Target="../media/image3.jp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jpg"/></Relationships>
</file>

<file path=xl/drawings/_rels/drawing17.xml.rels><?xml version="1.0" encoding="UTF-8" standalone="yes"?>
<Relationships xmlns="http://schemas.openxmlformats.org/package/2006/relationships"><Relationship Id="rId1" Type="http://schemas.openxmlformats.org/officeDocument/2006/relationships/image" Target="../media/image3.jpg"/></Relationships>
</file>

<file path=xl/drawings/_rels/drawing18.xml.rels><?xml version="1.0" encoding="UTF-8" standalone="yes"?>
<Relationships xmlns="http://schemas.openxmlformats.org/package/2006/relationships"><Relationship Id="rId1" Type="http://schemas.openxmlformats.org/officeDocument/2006/relationships/image" Target="../media/image3.jpg"/></Relationships>
</file>

<file path=xl/drawings/_rels/drawing19.xml.rels><?xml version="1.0" encoding="UTF-8" standalone="yes"?>
<Relationships xmlns="http://schemas.openxmlformats.org/package/2006/relationships"><Relationship Id="rId1" Type="http://schemas.openxmlformats.org/officeDocument/2006/relationships/image" Target="../media/image3.jpg"/></Relationships>
</file>

<file path=xl/drawings/_rels/drawing20.xml.rels><?xml version="1.0" encoding="UTF-8" standalone="yes"?>
<Relationships xmlns="http://schemas.openxmlformats.org/package/2006/relationships"><Relationship Id="rId1" Type="http://schemas.openxmlformats.org/officeDocument/2006/relationships/image" Target="../media/image3.jpg"/></Relationships>
</file>

<file path=xl/drawings/_rels/drawing21.xml.rels><?xml version="1.0" encoding="UTF-8" standalone="yes"?>
<Relationships xmlns="http://schemas.openxmlformats.org/package/2006/relationships"><Relationship Id="rId1" Type="http://schemas.openxmlformats.org/officeDocument/2006/relationships/image" Target="../media/image3.jpg"/></Relationships>
</file>

<file path=xl/drawings/_rels/drawing22.xml.rels><?xml version="1.0" encoding="UTF-8" standalone="yes"?>
<Relationships xmlns="http://schemas.openxmlformats.org/package/2006/relationships"><Relationship Id="rId1" Type="http://schemas.openxmlformats.org/officeDocument/2006/relationships/image" Target="../media/image3.jpg"/></Relationships>
</file>

<file path=xl/drawings/_rels/drawing23.xml.rels><?xml version="1.0" encoding="UTF-8" standalone="yes"?>
<Relationships xmlns="http://schemas.openxmlformats.org/package/2006/relationships"><Relationship Id="rId1" Type="http://schemas.openxmlformats.org/officeDocument/2006/relationships/image" Target="../media/image3.jpg"/></Relationships>
</file>

<file path=xl/drawings/_rels/drawing24.xml.rels><?xml version="1.0" encoding="UTF-8" standalone="yes"?>
<Relationships xmlns="http://schemas.openxmlformats.org/package/2006/relationships"><Relationship Id="rId1" Type="http://schemas.openxmlformats.org/officeDocument/2006/relationships/image" Target="../media/image3.jpg"/></Relationships>
</file>

<file path=xl/drawings/_rels/drawing25.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8</xdr:col>
      <xdr:colOff>533400</xdr:colOff>
      <xdr:row>1</xdr:row>
      <xdr:rowOff>0</xdr:rowOff>
    </xdr:from>
    <xdr:to>
      <xdr:col>19</xdr:col>
      <xdr:colOff>305361</xdr:colOff>
      <xdr:row>38</xdr:row>
      <xdr:rowOff>8207</xdr:rowOff>
    </xdr:to>
    <xdr:pic>
      <xdr:nvPicPr>
        <xdr:cNvPr id="2" name="Picture 1">
          <a:extLst>
            <a:ext uri="{FF2B5EF4-FFF2-40B4-BE49-F238E27FC236}">
              <a16:creationId xmlns:a16="http://schemas.microsoft.com/office/drawing/2014/main" id="{7FC74AB5-29EF-B835-7F08-3BA8F9818C21}"/>
            </a:ext>
          </a:extLst>
        </xdr:cNvPr>
        <xdr:cNvPicPr>
          <a:picLocks noChangeAspect="1"/>
        </xdr:cNvPicPr>
      </xdr:nvPicPr>
      <xdr:blipFill>
        <a:blip xmlns:r="http://schemas.openxmlformats.org/officeDocument/2006/relationships" r:embed="rId1"/>
        <a:stretch>
          <a:fillRect/>
        </a:stretch>
      </xdr:blipFill>
      <xdr:spPr>
        <a:xfrm>
          <a:off x="6233160" y="182880"/>
          <a:ext cx="6477561" cy="6774767"/>
        </a:xfrm>
        <a:prstGeom prst="rect">
          <a:avLst/>
        </a:prstGeom>
      </xdr:spPr>
    </xdr:pic>
    <xdr:clientData/>
  </xdr:twoCellAnchor>
  <xdr:twoCellAnchor editAs="oneCell">
    <xdr:from>
      <xdr:col>8</xdr:col>
      <xdr:colOff>525780</xdr:colOff>
      <xdr:row>38</xdr:row>
      <xdr:rowOff>152400</xdr:rowOff>
    </xdr:from>
    <xdr:to>
      <xdr:col>20</xdr:col>
      <xdr:colOff>122519</xdr:colOff>
      <xdr:row>70</xdr:row>
      <xdr:rowOff>84321</xdr:rowOff>
    </xdr:to>
    <xdr:pic>
      <xdr:nvPicPr>
        <xdr:cNvPr id="3" name="Picture 2">
          <a:extLst>
            <a:ext uri="{FF2B5EF4-FFF2-40B4-BE49-F238E27FC236}">
              <a16:creationId xmlns:a16="http://schemas.microsoft.com/office/drawing/2014/main" id="{DF9D76E3-A36E-38CB-00DC-E6E2358EF1A1}"/>
            </a:ext>
          </a:extLst>
        </xdr:cNvPr>
        <xdr:cNvPicPr>
          <a:picLocks noChangeAspect="1"/>
        </xdr:cNvPicPr>
      </xdr:nvPicPr>
      <xdr:blipFill>
        <a:blip xmlns:r="http://schemas.openxmlformats.org/officeDocument/2006/relationships" r:embed="rId2"/>
        <a:stretch>
          <a:fillRect/>
        </a:stretch>
      </xdr:blipFill>
      <xdr:spPr>
        <a:xfrm>
          <a:off x="6225540" y="7101840"/>
          <a:ext cx="6911939" cy="57840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609600</xdr:colOff>
      <xdr:row>0</xdr:row>
      <xdr:rowOff>0</xdr:rowOff>
    </xdr:from>
    <xdr:to>
      <xdr:col>2</xdr:col>
      <xdr:colOff>57101</xdr:colOff>
      <xdr:row>2</xdr:row>
      <xdr:rowOff>19049</xdr:rowOff>
    </xdr:to>
    <xdr:pic>
      <xdr:nvPicPr>
        <xdr:cNvPr id="2" name="Picture 1">
          <a:extLst>
            <a:ext uri="{FF2B5EF4-FFF2-40B4-BE49-F238E27FC236}">
              <a16:creationId xmlns:a16="http://schemas.microsoft.com/office/drawing/2014/main" id="{24F8DEDC-7E76-4600-8A7A-BE8D79816B47}"/>
            </a:ext>
          </a:extLst>
        </xdr:cNvPr>
        <xdr:cNvPicPr/>
      </xdr:nvPicPr>
      <xdr:blipFill>
        <a:blip xmlns:r="http://schemas.openxmlformats.org/officeDocument/2006/relationships" r:embed="rId1" cstate="print"/>
        <a:stretch>
          <a:fillRect/>
        </a:stretch>
      </xdr:blipFill>
      <xdr:spPr>
        <a:xfrm>
          <a:off x="609600" y="0"/>
          <a:ext cx="1499186" cy="10515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38100</xdr:rowOff>
    </xdr:from>
    <xdr:to>
      <xdr:col>2</xdr:col>
      <xdr:colOff>38051</xdr:colOff>
      <xdr:row>1</xdr:row>
      <xdr:rowOff>19050</xdr:rowOff>
    </xdr:to>
    <xdr:pic>
      <xdr:nvPicPr>
        <xdr:cNvPr id="2" name="Picture 1">
          <a:extLst>
            <a:ext uri="{FF2B5EF4-FFF2-40B4-BE49-F238E27FC236}">
              <a16:creationId xmlns:a16="http://schemas.microsoft.com/office/drawing/2014/main" id="{25F4D209-7A1B-4119-A656-A8FC4581429F}"/>
            </a:ext>
          </a:extLst>
        </xdr:cNvPr>
        <xdr:cNvPicPr/>
      </xdr:nvPicPr>
      <xdr:blipFill>
        <a:blip xmlns:r="http://schemas.openxmlformats.org/officeDocument/2006/relationships" r:embed="rId1" cstate="print"/>
        <a:stretch>
          <a:fillRect/>
        </a:stretch>
      </xdr:blipFill>
      <xdr:spPr>
        <a:xfrm>
          <a:off x="586740" y="38100"/>
          <a:ext cx="1156286" cy="9296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38100</xdr:rowOff>
    </xdr:from>
    <xdr:to>
      <xdr:col>2</xdr:col>
      <xdr:colOff>38051</xdr:colOff>
      <xdr:row>1</xdr:row>
      <xdr:rowOff>19050</xdr:rowOff>
    </xdr:to>
    <xdr:pic>
      <xdr:nvPicPr>
        <xdr:cNvPr id="2" name="Picture 1">
          <a:extLst>
            <a:ext uri="{FF2B5EF4-FFF2-40B4-BE49-F238E27FC236}">
              <a16:creationId xmlns:a16="http://schemas.microsoft.com/office/drawing/2014/main" id="{96AE47FC-2A83-4CB4-BFB1-186865DDD82D}"/>
            </a:ext>
          </a:extLst>
        </xdr:cNvPr>
        <xdr:cNvPicPr/>
      </xdr:nvPicPr>
      <xdr:blipFill>
        <a:blip xmlns:r="http://schemas.openxmlformats.org/officeDocument/2006/relationships" r:embed="rId1" cstate="print"/>
        <a:stretch>
          <a:fillRect/>
        </a:stretch>
      </xdr:blipFill>
      <xdr:spPr>
        <a:xfrm>
          <a:off x="586740" y="38100"/>
          <a:ext cx="1156286" cy="9296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561975</xdr:colOff>
      <xdr:row>0</xdr:row>
      <xdr:rowOff>19050</xdr:rowOff>
    </xdr:from>
    <xdr:to>
      <xdr:col>2</xdr:col>
      <xdr:colOff>9476</xdr:colOff>
      <xdr:row>1</xdr:row>
      <xdr:rowOff>0</xdr:rowOff>
    </xdr:to>
    <xdr:pic>
      <xdr:nvPicPr>
        <xdr:cNvPr id="2" name="Picture 1">
          <a:extLst>
            <a:ext uri="{FF2B5EF4-FFF2-40B4-BE49-F238E27FC236}">
              <a16:creationId xmlns:a16="http://schemas.microsoft.com/office/drawing/2014/main" id="{18185312-1582-46CA-BA86-2E2CEADA65DD}"/>
            </a:ext>
          </a:extLst>
        </xdr:cNvPr>
        <xdr:cNvPicPr/>
      </xdr:nvPicPr>
      <xdr:blipFill>
        <a:blip xmlns:r="http://schemas.openxmlformats.org/officeDocument/2006/relationships" r:embed="rId1" cstate="print"/>
        <a:stretch>
          <a:fillRect/>
        </a:stretch>
      </xdr:blipFill>
      <xdr:spPr>
        <a:xfrm>
          <a:off x="560070" y="15240"/>
          <a:ext cx="1156286" cy="9372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352425</xdr:colOff>
      <xdr:row>0</xdr:row>
      <xdr:rowOff>47625</xdr:rowOff>
    </xdr:from>
    <xdr:to>
      <xdr:col>2</xdr:col>
      <xdr:colOff>438101</xdr:colOff>
      <xdr:row>1</xdr:row>
      <xdr:rowOff>28575</xdr:rowOff>
    </xdr:to>
    <xdr:pic>
      <xdr:nvPicPr>
        <xdr:cNvPr id="2" name="Picture 1">
          <a:extLst>
            <a:ext uri="{FF2B5EF4-FFF2-40B4-BE49-F238E27FC236}">
              <a16:creationId xmlns:a16="http://schemas.microsoft.com/office/drawing/2014/main" id="{D3074AAD-A186-46F4-9236-39DA1D9F4E17}"/>
            </a:ext>
          </a:extLst>
        </xdr:cNvPr>
        <xdr:cNvPicPr/>
      </xdr:nvPicPr>
      <xdr:blipFill>
        <a:blip xmlns:r="http://schemas.openxmlformats.org/officeDocument/2006/relationships" r:embed="rId1" cstate="print"/>
        <a:stretch>
          <a:fillRect/>
        </a:stretch>
      </xdr:blipFill>
      <xdr:spPr>
        <a:xfrm>
          <a:off x="1754505" y="49530"/>
          <a:ext cx="1068656" cy="9296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581025</xdr:colOff>
      <xdr:row>0</xdr:row>
      <xdr:rowOff>28575</xdr:rowOff>
    </xdr:from>
    <xdr:to>
      <xdr:col>2</xdr:col>
      <xdr:colOff>95201</xdr:colOff>
      <xdr:row>1</xdr:row>
      <xdr:rowOff>9525</xdr:rowOff>
    </xdr:to>
    <xdr:pic>
      <xdr:nvPicPr>
        <xdr:cNvPr id="2" name="Picture 1">
          <a:extLst>
            <a:ext uri="{FF2B5EF4-FFF2-40B4-BE49-F238E27FC236}">
              <a16:creationId xmlns:a16="http://schemas.microsoft.com/office/drawing/2014/main" id="{2E97F220-365E-4EAB-92C7-ACEE54F92916}"/>
            </a:ext>
          </a:extLst>
        </xdr:cNvPr>
        <xdr:cNvPicPr/>
      </xdr:nvPicPr>
      <xdr:blipFill>
        <a:blip xmlns:r="http://schemas.openxmlformats.org/officeDocument/2006/relationships" r:embed="rId1" cstate="print"/>
        <a:stretch>
          <a:fillRect/>
        </a:stretch>
      </xdr:blipFill>
      <xdr:spPr>
        <a:xfrm>
          <a:off x="582930" y="26670"/>
          <a:ext cx="1154381" cy="9372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600075</xdr:colOff>
      <xdr:row>0</xdr:row>
      <xdr:rowOff>28575</xdr:rowOff>
    </xdr:from>
    <xdr:to>
      <xdr:col>2</xdr:col>
      <xdr:colOff>47576</xdr:colOff>
      <xdr:row>1</xdr:row>
      <xdr:rowOff>9525</xdr:rowOff>
    </xdr:to>
    <xdr:pic>
      <xdr:nvPicPr>
        <xdr:cNvPr id="2" name="Picture 1">
          <a:extLst>
            <a:ext uri="{FF2B5EF4-FFF2-40B4-BE49-F238E27FC236}">
              <a16:creationId xmlns:a16="http://schemas.microsoft.com/office/drawing/2014/main" id="{E06CD630-35FA-4EB0-93A5-379AE099645A}"/>
            </a:ext>
          </a:extLst>
        </xdr:cNvPr>
        <xdr:cNvPicPr/>
      </xdr:nvPicPr>
      <xdr:blipFill>
        <a:blip xmlns:r="http://schemas.openxmlformats.org/officeDocument/2006/relationships" r:embed="rId1" cstate="print"/>
        <a:stretch>
          <a:fillRect/>
        </a:stretch>
      </xdr:blipFill>
      <xdr:spPr>
        <a:xfrm>
          <a:off x="598170" y="26670"/>
          <a:ext cx="1156286" cy="9372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28575</xdr:rowOff>
    </xdr:from>
    <xdr:to>
      <xdr:col>2</xdr:col>
      <xdr:colOff>127000</xdr:colOff>
      <xdr:row>1</xdr:row>
      <xdr:rowOff>9525</xdr:rowOff>
    </xdr:to>
    <xdr:pic>
      <xdr:nvPicPr>
        <xdr:cNvPr id="2" name="Picture 1">
          <a:extLst>
            <a:ext uri="{FF2B5EF4-FFF2-40B4-BE49-F238E27FC236}">
              <a16:creationId xmlns:a16="http://schemas.microsoft.com/office/drawing/2014/main" id="{9F4ECECE-EF5C-4F4F-9B20-FBC198CDBC12}"/>
            </a:ext>
          </a:extLst>
        </xdr:cNvPr>
        <xdr:cNvPicPr/>
      </xdr:nvPicPr>
      <xdr:blipFill>
        <a:blip xmlns:r="http://schemas.openxmlformats.org/officeDocument/2006/relationships" r:embed="rId1" cstate="print"/>
        <a:stretch>
          <a:fillRect/>
        </a:stretch>
      </xdr:blipFill>
      <xdr:spPr>
        <a:xfrm>
          <a:off x="342900" y="26670"/>
          <a:ext cx="1111885" cy="93726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619125</xdr:colOff>
      <xdr:row>0</xdr:row>
      <xdr:rowOff>0</xdr:rowOff>
    </xdr:from>
    <xdr:to>
      <xdr:col>2</xdr:col>
      <xdr:colOff>66626</xdr:colOff>
      <xdr:row>0</xdr:row>
      <xdr:rowOff>933450</xdr:rowOff>
    </xdr:to>
    <xdr:pic>
      <xdr:nvPicPr>
        <xdr:cNvPr id="2" name="Picture 1">
          <a:extLst>
            <a:ext uri="{FF2B5EF4-FFF2-40B4-BE49-F238E27FC236}">
              <a16:creationId xmlns:a16="http://schemas.microsoft.com/office/drawing/2014/main" id="{A3B4266F-652C-4FDF-8A96-D97CBB650375}"/>
            </a:ext>
          </a:extLst>
        </xdr:cNvPr>
        <xdr:cNvPicPr/>
      </xdr:nvPicPr>
      <xdr:blipFill>
        <a:blip xmlns:r="http://schemas.openxmlformats.org/officeDocument/2006/relationships" r:embed="rId1" cstate="print"/>
        <a:stretch>
          <a:fillRect/>
        </a:stretch>
      </xdr:blipFill>
      <xdr:spPr>
        <a:xfrm>
          <a:off x="621030" y="0"/>
          <a:ext cx="1148666" cy="92964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523875</xdr:colOff>
      <xdr:row>0</xdr:row>
      <xdr:rowOff>38100</xdr:rowOff>
    </xdr:from>
    <xdr:to>
      <xdr:col>2</xdr:col>
      <xdr:colOff>95201</xdr:colOff>
      <xdr:row>1</xdr:row>
      <xdr:rowOff>19050</xdr:rowOff>
    </xdr:to>
    <xdr:pic>
      <xdr:nvPicPr>
        <xdr:cNvPr id="2" name="Picture 1">
          <a:extLst>
            <a:ext uri="{FF2B5EF4-FFF2-40B4-BE49-F238E27FC236}">
              <a16:creationId xmlns:a16="http://schemas.microsoft.com/office/drawing/2014/main" id="{D1BFE849-45E0-4BDD-8332-BDCC517FD808}"/>
            </a:ext>
          </a:extLst>
        </xdr:cNvPr>
        <xdr:cNvPicPr/>
      </xdr:nvPicPr>
      <xdr:blipFill>
        <a:blip xmlns:r="http://schemas.openxmlformats.org/officeDocument/2006/relationships" r:embed="rId1" cstate="print"/>
        <a:stretch>
          <a:fillRect/>
        </a:stretch>
      </xdr:blipFill>
      <xdr:spPr>
        <a:xfrm>
          <a:off x="521970" y="38100"/>
          <a:ext cx="1101041" cy="92964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590550</xdr:colOff>
      <xdr:row>0</xdr:row>
      <xdr:rowOff>0</xdr:rowOff>
    </xdr:from>
    <xdr:to>
      <xdr:col>2</xdr:col>
      <xdr:colOff>38051</xdr:colOff>
      <xdr:row>0</xdr:row>
      <xdr:rowOff>933450</xdr:rowOff>
    </xdr:to>
    <xdr:pic>
      <xdr:nvPicPr>
        <xdr:cNvPr id="2" name="Picture 1">
          <a:extLst>
            <a:ext uri="{FF2B5EF4-FFF2-40B4-BE49-F238E27FC236}">
              <a16:creationId xmlns:a16="http://schemas.microsoft.com/office/drawing/2014/main" id="{83FCDF75-14DE-4D49-A046-5DC94433DB86}"/>
            </a:ext>
          </a:extLst>
        </xdr:cNvPr>
        <xdr:cNvPicPr/>
      </xdr:nvPicPr>
      <xdr:blipFill>
        <a:blip xmlns:r="http://schemas.openxmlformats.org/officeDocument/2006/relationships" r:embed="rId1" cstate="print"/>
        <a:stretch>
          <a:fillRect/>
        </a:stretch>
      </xdr:blipFill>
      <xdr:spPr>
        <a:xfrm>
          <a:off x="586740" y="0"/>
          <a:ext cx="1089611" cy="92964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38100</xdr:rowOff>
    </xdr:from>
    <xdr:to>
      <xdr:col>2</xdr:col>
      <xdr:colOff>114251</xdr:colOff>
      <xdr:row>1</xdr:row>
      <xdr:rowOff>19050</xdr:rowOff>
    </xdr:to>
    <xdr:pic>
      <xdr:nvPicPr>
        <xdr:cNvPr id="2" name="Picture 1">
          <a:extLst>
            <a:ext uri="{FF2B5EF4-FFF2-40B4-BE49-F238E27FC236}">
              <a16:creationId xmlns:a16="http://schemas.microsoft.com/office/drawing/2014/main" id="{85E2F1FD-9C43-4C93-8C3E-1154396E3E02}"/>
            </a:ext>
          </a:extLst>
        </xdr:cNvPr>
        <xdr:cNvPicPr/>
      </xdr:nvPicPr>
      <xdr:blipFill>
        <a:blip xmlns:r="http://schemas.openxmlformats.org/officeDocument/2006/relationships" r:embed="rId1" cstate="print"/>
        <a:stretch>
          <a:fillRect/>
        </a:stretch>
      </xdr:blipFill>
      <xdr:spPr>
        <a:xfrm>
          <a:off x="683895" y="38100"/>
          <a:ext cx="1068656" cy="92964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600075</xdr:colOff>
      <xdr:row>0</xdr:row>
      <xdr:rowOff>47625</xdr:rowOff>
    </xdr:from>
    <xdr:to>
      <xdr:col>2</xdr:col>
      <xdr:colOff>47576</xdr:colOff>
      <xdr:row>1</xdr:row>
      <xdr:rowOff>28575</xdr:rowOff>
    </xdr:to>
    <xdr:pic>
      <xdr:nvPicPr>
        <xdr:cNvPr id="2" name="Picture 1">
          <a:extLst>
            <a:ext uri="{FF2B5EF4-FFF2-40B4-BE49-F238E27FC236}">
              <a16:creationId xmlns:a16="http://schemas.microsoft.com/office/drawing/2014/main" id="{C6F1E503-E81A-4EE9-9716-AB58FB983A09}"/>
            </a:ext>
          </a:extLst>
        </xdr:cNvPr>
        <xdr:cNvPicPr/>
      </xdr:nvPicPr>
      <xdr:blipFill>
        <a:blip xmlns:r="http://schemas.openxmlformats.org/officeDocument/2006/relationships" r:embed="rId1" cstate="print"/>
        <a:stretch>
          <a:fillRect/>
        </a:stretch>
      </xdr:blipFill>
      <xdr:spPr>
        <a:xfrm>
          <a:off x="598170" y="49530"/>
          <a:ext cx="1156286" cy="92964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590550</xdr:colOff>
      <xdr:row>0</xdr:row>
      <xdr:rowOff>0</xdr:rowOff>
    </xdr:from>
    <xdr:to>
      <xdr:col>2</xdr:col>
      <xdr:colOff>38051</xdr:colOff>
      <xdr:row>0</xdr:row>
      <xdr:rowOff>933450</xdr:rowOff>
    </xdr:to>
    <xdr:pic>
      <xdr:nvPicPr>
        <xdr:cNvPr id="2" name="Picture 1">
          <a:extLst>
            <a:ext uri="{FF2B5EF4-FFF2-40B4-BE49-F238E27FC236}">
              <a16:creationId xmlns:a16="http://schemas.microsoft.com/office/drawing/2014/main" id="{314C1024-41F3-40AB-BD21-F714C2D6A733}"/>
            </a:ext>
          </a:extLst>
        </xdr:cNvPr>
        <xdr:cNvPicPr/>
      </xdr:nvPicPr>
      <xdr:blipFill>
        <a:blip xmlns:r="http://schemas.openxmlformats.org/officeDocument/2006/relationships" r:embed="rId1" cstate="print"/>
        <a:stretch>
          <a:fillRect/>
        </a:stretch>
      </xdr:blipFill>
      <xdr:spPr>
        <a:xfrm>
          <a:off x="586740" y="0"/>
          <a:ext cx="1156286" cy="92964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352425</xdr:colOff>
      <xdr:row>0</xdr:row>
      <xdr:rowOff>0</xdr:rowOff>
    </xdr:from>
    <xdr:to>
      <xdr:col>2</xdr:col>
      <xdr:colOff>428625</xdr:colOff>
      <xdr:row>0</xdr:row>
      <xdr:rowOff>933450</xdr:rowOff>
    </xdr:to>
    <xdr:pic>
      <xdr:nvPicPr>
        <xdr:cNvPr id="2" name="Picture 1">
          <a:extLst>
            <a:ext uri="{FF2B5EF4-FFF2-40B4-BE49-F238E27FC236}">
              <a16:creationId xmlns:a16="http://schemas.microsoft.com/office/drawing/2014/main" id="{BC4CA077-E527-461E-A951-3939027805A3}"/>
            </a:ext>
          </a:extLst>
        </xdr:cNvPr>
        <xdr:cNvPicPr/>
      </xdr:nvPicPr>
      <xdr:blipFill>
        <a:blip xmlns:r="http://schemas.openxmlformats.org/officeDocument/2006/relationships" r:embed="rId1" cstate="print"/>
        <a:stretch>
          <a:fillRect/>
        </a:stretch>
      </xdr:blipFill>
      <xdr:spPr>
        <a:xfrm>
          <a:off x="354330" y="0"/>
          <a:ext cx="1028700" cy="92964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485775</xdr:colOff>
      <xdr:row>0</xdr:row>
      <xdr:rowOff>38100</xdr:rowOff>
    </xdr:from>
    <xdr:to>
      <xdr:col>2</xdr:col>
      <xdr:colOff>57101</xdr:colOff>
      <xdr:row>1</xdr:row>
      <xdr:rowOff>19050</xdr:rowOff>
    </xdr:to>
    <xdr:pic>
      <xdr:nvPicPr>
        <xdr:cNvPr id="2" name="Picture 1">
          <a:extLst>
            <a:ext uri="{FF2B5EF4-FFF2-40B4-BE49-F238E27FC236}">
              <a16:creationId xmlns:a16="http://schemas.microsoft.com/office/drawing/2014/main" id="{DBD34C3C-E48B-4476-A4B8-35349AD7E607}"/>
            </a:ext>
          </a:extLst>
        </xdr:cNvPr>
        <xdr:cNvPicPr/>
      </xdr:nvPicPr>
      <xdr:blipFill>
        <a:blip xmlns:r="http://schemas.openxmlformats.org/officeDocument/2006/relationships" r:embed="rId1" cstate="print"/>
        <a:stretch>
          <a:fillRect/>
        </a:stretch>
      </xdr:blipFill>
      <xdr:spPr>
        <a:xfrm>
          <a:off x="483870" y="38100"/>
          <a:ext cx="1158191" cy="92964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238125</xdr:colOff>
      <xdr:row>0</xdr:row>
      <xdr:rowOff>0</xdr:rowOff>
    </xdr:from>
    <xdr:to>
      <xdr:col>1</xdr:col>
      <xdr:colOff>752426</xdr:colOff>
      <xdr:row>0</xdr:row>
      <xdr:rowOff>933450</xdr:rowOff>
    </xdr:to>
    <xdr:pic>
      <xdr:nvPicPr>
        <xdr:cNvPr id="2" name="Picture 1">
          <a:extLst>
            <a:ext uri="{FF2B5EF4-FFF2-40B4-BE49-F238E27FC236}">
              <a16:creationId xmlns:a16="http://schemas.microsoft.com/office/drawing/2014/main" id="{314D657B-D6A9-4EEF-B8F7-0774572F7A26}"/>
            </a:ext>
          </a:extLst>
        </xdr:cNvPr>
        <xdr:cNvPicPr/>
      </xdr:nvPicPr>
      <xdr:blipFill>
        <a:blip xmlns:r="http://schemas.openxmlformats.org/officeDocument/2006/relationships" r:embed="rId1" cstate="print"/>
        <a:stretch>
          <a:fillRect/>
        </a:stretch>
      </xdr:blipFill>
      <xdr:spPr>
        <a:xfrm>
          <a:off x="240030" y="0"/>
          <a:ext cx="1120091" cy="929640"/>
        </a:xfrm>
        <a:prstGeom prst="rect">
          <a:avLst/>
        </a:prstGeom>
      </xdr:spPr>
    </xdr:pic>
    <xdr:clientData/>
  </xdr:twoCellAnchor>
  <xdr:twoCellAnchor>
    <xdr:from>
      <xdr:col>0</xdr:col>
      <xdr:colOff>238125</xdr:colOff>
      <xdr:row>0</xdr:row>
      <xdr:rowOff>0</xdr:rowOff>
    </xdr:from>
    <xdr:to>
      <xdr:col>1</xdr:col>
      <xdr:colOff>752426</xdr:colOff>
      <xdr:row>0</xdr:row>
      <xdr:rowOff>933450</xdr:rowOff>
    </xdr:to>
    <xdr:pic>
      <xdr:nvPicPr>
        <xdr:cNvPr id="3" name="Picture 2">
          <a:extLst>
            <a:ext uri="{FF2B5EF4-FFF2-40B4-BE49-F238E27FC236}">
              <a16:creationId xmlns:a16="http://schemas.microsoft.com/office/drawing/2014/main" id="{5E62147A-8D16-4EF9-B000-51195E602022}"/>
            </a:ext>
          </a:extLst>
        </xdr:cNvPr>
        <xdr:cNvPicPr/>
      </xdr:nvPicPr>
      <xdr:blipFill>
        <a:blip xmlns:r="http://schemas.openxmlformats.org/officeDocument/2006/relationships" r:embed="rId1" cstate="print"/>
        <a:stretch>
          <a:fillRect/>
        </a:stretch>
      </xdr:blipFill>
      <xdr:spPr>
        <a:xfrm>
          <a:off x="240030" y="0"/>
          <a:ext cx="1120091" cy="92964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609600</xdr:colOff>
      <xdr:row>0</xdr:row>
      <xdr:rowOff>28575</xdr:rowOff>
    </xdr:from>
    <xdr:to>
      <xdr:col>2</xdr:col>
      <xdr:colOff>57101</xdr:colOff>
      <xdr:row>2</xdr:row>
      <xdr:rowOff>63500</xdr:rowOff>
    </xdr:to>
    <xdr:pic>
      <xdr:nvPicPr>
        <xdr:cNvPr id="2" name="Picture 1">
          <a:extLst>
            <a:ext uri="{FF2B5EF4-FFF2-40B4-BE49-F238E27FC236}">
              <a16:creationId xmlns:a16="http://schemas.microsoft.com/office/drawing/2014/main" id="{2D62A8A6-1A6C-4671-9429-F23FEE9F6B3E}"/>
            </a:ext>
          </a:extLst>
        </xdr:cNvPr>
        <xdr:cNvPicPr/>
      </xdr:nvPicPr>
      <xdr:blipFill>
        <a:blip xmlns:r="http://schemas.openxmlformats.org/officeDocument/2006/relationships" r:embed="rId1" cstate="print"/>
        <a:stretch>
          <a:fillRect/>
        </a:stretch>
      </xdr:blipFill>
      <xdr:spPr>
        <a:xfrm>
          <a:off x="609600" y="26670"/>
          <a:ext cx="1165811" cy="106172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476250</xdr:colOff>
      <xdr:row>0</xdr:row>
      <xdr:rowOff>28575</xdr:rowOff>
    </xdr:from>
    <xdr:to>
      <xdr:col>2</xdr:col>
      <xdr:colOff>47576</xdr:colOff>
      <xdr:row>1</xdr:row>
      <xdr:rowOff>9525</xdr:rowOff>
    </xdr:to>
    <xdr:pic>
      <xdr:nvPicPr>
        <xdr:cNvPr id="2" name="Picture 1">
          <a:extLst>
            <a:ext uri="{FF2B5EF4-FFF2-40B4-BE49-F238E27FC236}">
              <a16:creationId xmlns:a16="http://schemas.microsoft.com/office/drawing/2014/main" id="{E3CA1BE6-B6DD-4792-9B4C-136D0628DD27}"/>
            </a:ext>
          </a:extLst>
        </xdr:cNvPr>
        <xdr:cNvPicPr/>
      </xdr:nvPicPr>
      <xdr:blipFill>
        <a:blip xmlns:r="http://schemas.openxmlformats.org/officeDocument/2006/relationships" r:embed="rId1" cstate="print"/>
        <a:stretch>
          <a:fillRect/>
        </a:stretch>
      </xdr:blipFill>
      <xdr:spPr>
        <a:xfrm>
          <a:off x="472440" y="26670"/>
          <a:ext cx="1158191" cy="93726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523875</xdr:colOff>
      <xdr:row>0</xdr:row>
      <xdr:rowOff>0</xdr:rowOff>
    </xdr:from>
    <xdr:to>
      <xdr:col>2</xdr:col>
      <xdr:colOff>400050</xdr:colOff>
      <xdr:row>0</xdr:row>
      <xdr:rowOff>933450</xdr:rowOff>
    </xdr:to>
    <xdr:pic>
      <xdr:nvPicPr>
        <xdr:cNvPr id="2" name="Picture 1">
          <a:extLst>
            <a:ext uri="{FF2B5EF4-FFF2-40B4-BE49-F238E27FC236}">
              <a16:creationId xmlns:a16="http://schemas.microsoft.com/office/drawing/2014/main" id="{344B4BF4-740B-4925-98FF-49BC916304C7}"/>
            </a:ext>
          </a:extLst>
        </xdr:cNvPr>
        <xdr:cNvPicPr/>
      </xdr:nvPicPr>
      <xdr:blipFill>
        <a:blip xmlns:r="http://schemas.openxmlformats.org/officeDocument/2006/relationships" r:embed="rId1" cstate="print"/>
        <a:stretch>
          <a:fillRect/>
        </a:stretch>
      </xdr:blipFill>
      <xdr:spPr>
        <a:xfrm>
          <a:off x="521970" y="0"/>
          <a:ext cx="998220" cy="92964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514350</xdr:colOff>
      <xdr:row>0</xdr:row>
      <xdr:rowOff>38100</xdr:rowOff>
    </xdr:from>
    <xdr:to>
      <xdr:col>2</xdr:col>
      <xdr:colOff>85676</xdr:colOff>
      <xdr:row>1</xdr:row>
      <xdr:rowOff>19050</xdr:rowOff>
    </xdr:to>
    <xdr:pic>
      <xdr:nvPicPr>
        <xdr:cNvPr id="2" name="Picture 1">
          <a:extLst>
            <a:ext uri="{FF2B5EF4-FFF2-40B4-BE49-F238E27FC236}">
              <a16:creationId xmlns:a16="http://schemas.microsoft.com/office/drawing/2014/main" id="{E6B894BB-1D0D-4B68-AB92-F46B32353277}"/>
            </a:ext>
          </a:extLst>
        </xdr:cNvPr>
        <xdr:cNvPicPr/>
      </xdr:nvPicPr>
      <xdr:blipFill>
        <a:blip xmlns:r="http://schemas.openxmlformats.org/officeDocument/2006/relationships" r:embed="rId1" cstate="print"/>
        <a:stretch>
          <a:fillRect/>
        </a:stretch>
      </xdr:blipFill>
      <xdr:spPr>
        <a:xfrm>
          <a:off x="510540" y="38100"/>
          <a:ext cx="1158191" cy="929640"/>
        </a:xfrm>
        <a:prstGeom prst="rect">
          <a:avLst/>
        </a:prstGeom>
      </xdr:spPr>
    </xdr:pic>
    <xdr:clientData/>
  </xdr:twoCellAnchor>
  <xdr:twoCellAnchor>
    <xdr:from>
      <xdr:col>0</xdr:col>
      <xdr:colOff>514350</xdr:colOff>
      <xdr:row>0</xdr:row>
      <xdr:rowOff>38100</xdr:rowOff>
    </xdr:from>
    <xdr:to>
      <xdr:col>2</xdr:col>
      <xdr:colOff>85676</xdr:colOff>
      <xdr:row>1</xdr:row>
      <xdr:rowOff>19050</xdr:rowOff>
    </xdr:to>
    <xdr:pic>
      <xdr:nvPicPr>
        <xdr:cNvPr id="3" name="Picture 2">
          <a:extLst>
            <a:ext uri="{FF2B5EF4-FFF2-40B4-BE49-F238E27FC236}">
              <a16:creationId xmlns:a16="http://schemas.microsoft.com/office/drawing/2014/main" id="{4A8D69EB-B914-44F5-B0A4-FB30769FDB31}"/>
            </a:ext>
          </a:extLst>
        </xdr:cNvPr>
        <xdr:cNvPicPr/>
      </xdr:nvPicPr>
      <xdr:blipFill>
        <a:blip xmlns:r="http://schemas.openxmlformats.org/officeDocument/2006/relationships" r:embed="rId1" cstate="print"/>
        <a:stretch>
          <a:fillRect/>
        </a:stretch>
      </xdr:blipFill>
      <xdr:spPr>
        <a:xfrm>
          <a:off x="510540" y="38100"/>
          <a:ext cx="1158191" cy="92964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533400</xdr:colOff>
      <xdr:row>0</xdr:row>
      <xdr:rowOff>0</xdr:rowOff>
    </xdr:from>
    <xdr:to>
      <xdr:col>2</xdr:col>
      <xdr:colOff>95201</xdr:colOff>
      <xdr:row>0</xdr:row>
      <xdr:rowOff>933450</xdr:rowOff>
    </xdr:to>
    <xdr:pic>
      <xdr:nvPicPr>
        <xdr:cNvPr id="2" name="Picture 1">
          <a:extLst>
            <a:ext uri="{FF2B5EF4-FFF2-40B4-BE49-F238E27FC236}">
              <a16:creationId xmlns:a16="http://schemas.microsoft.com/office/drawing/2014/main" id="{1B442C7D-9CFE-4666-9413-1EEA725C2D55}"/>
            </a:ext>
          </a:extLst>
        </xdr:cNvPr>
        <xdr:cNvPicPr/>
      </xdr:nvPicPr>
      <xdr:blipFill>
        <a:blip xmlns:r="http://schemas.openxmlformats.org/officeDocument/2006/relationships" r:embed="rId1" cstate="print"/>
        <a:stretch>
          <a:fillRect/>
        </a:stretch>
      </xdr:blipFill>
      <xdr:spPr>
        <a:xfrm>
          <a:off x="533400" y="0"/>
          <a:ext cx="1156286" cy="92964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571500</xdr:colOff>
      <xdr:row>0</xdr:row>
      <xdr:rowOff>28575</xdr:rowOff>
    </xdr:from>
    <xdr:to>
      <xdr:col>2</xdr:col>
      <xdr:colOff>85676</xdr:colOff>
      <xdr:row>1</xdr:row>
      <xdr:rowOff>9525</xdr:rowOff>
    </xdr:to>
    <xdr:pic>
      <xdr:nvPicPr>
        <xdr:cNvPr id="2" name="Picture 1">
          <a:extLst>
            <a:ext uri="{FF2B5EF4-FFF2-40B4-BE49-F238E27FC236}">
              <a16:creationId xmlns:a16="http://schemas.microsoft.com/office/drawing/2014/main" id="{21006DDB-7DF3-4A59-8DA5-84C97A464D0F}"/>
            </a:ext>
          </a:extLst>
        </xdr:cNvPr>
        <xdr:cNvPicPr/>
      </xdr:nvPicPr>
      <xdr:blipFill>
        <a:blip xmlns:r="http://schemas.openxmlformats.org/officeDocument/2006/relationships" r:embed="rId1" cstate="print"/>
        <a:stretch>
          <a:fillRect/>
        </a:stretch>
      </xdr:blipFill>
      <xdr:spPr>
        <a:xfrm>
          <a:off x="571500" y="26670"/>
          <a:ext cx="1154381" cy="93726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590550</xdr:colOff>
      <xdr:row>0</xdr:row>
      <xdr:rowOff>47625</xdr:rowOff>
    </xdr:from>
    <xdr:to>
      <xdr:col>2</xdr:col>
      <xdr:colOff>38051</xdr:colOff>
      <xdr:row>1</xdr:row>
      <xdr:rowOff>28575</xdr:rowOff>
    </xdr:to>
    <xdr:pic>
      <xdr:nvPicPr>
        <xdr:cNvPr id="2" name="Picture 1">
          <a:extLst>
            <a:ext uri="{FF2B5EF4-FFF2-40B4-BE49-F238E27FC236}">
              <a16:creationId xmlns:a16="http://schemas.microsoft.com/office/drawing/2014/main" id="{22CCC5CA-2FF7-4369-896F-AAA4C636E347}"/>
            </a:ext>
          </a:extLst>
        </xdr:cNvPr>
        <xdr:cNvPicPr/>
      </xdr:nvPicPr>
      <xdr:blipFill>
        <a:blip xmlns:r="http://schemas.openxmlformats.org/officeDocument/2006/relationships" r:embed="rId1" cstate="print"/>
        <a:stretch>
          <a:fillRect/>
        </a:stretch>
      </xdr:blipFill>
      <xdr:spPr>
        <a:xfrm>
          <a:off x="586740" y="49530"/>
          <a:ext cx="1156286" cy="92964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ick El-Azem" refreshedDate="46034.666620833334" createdVersion="8" refreshedVersion="8" minRefreshableVersion="3" recordCount="536" xr:uid="{C7E6D846-D35D-43A6-AF0A-551504BA11B0}">
  <cacheSource type="worksheet">
    <worksheetSource ref="A1:AT537" sheet="Consolidated-Lines"/>
  </cacheSource>
  <cacheFields count="49">
    <cacheField name="Department Name" numFmtId="0">
      <sharedItems count="24">
        <s v="01 - Town Council"/>
        <s v="02 - Town Manager"/>
        <s v="03 - Human Resources"/>
        <s v="04 - Budget Committee"/>
        <s v="05 - Town Clerk/Tax Collector"/>
        <s v="08 - Finance"/>
        <s v="09 - Assessing"/>
        <s v="10 - Information Technology"/>
        <s v="12 - Legal"/>
        <s v="15 - General Government"/>
        <s v="16 - Cemetery"/>
        <s v="17 - Insurance"/>
        <s v="18 - Conservation"/>
        <s v="20 - Police"/>
        <s v="23 - Fire"/>
        <s v="24 - Building"/>
        <s v="26 - Public Works"/>
        <s v="27 - Solid Waste"/>
        <s v="28 - General Assistance"/>
        <s v="29 - Cable"/>
        <s v="30 - Recreation"/>
        <s v="31 - Library"/>
        <s v="32 - Senior Affairs"/>
        <s v="33 - Community Development"/>
      </sharedItems>
    </cacheField>
    <cacheField name="Department ID" numFmtId="0">
      <sharedItems/>
    </cacheField>
    <cacheField name="Division Name" numFmtId="0">
      <sharedItems/>
    </cacheField>
    <cacheField name="Division ID" numFmtId="0">
      <sharedItems/>
    </cacheField>
    <cacheField name="Account Classification" numFmtId="0">
      <sharedItems containsBlank="1"/>
    </cacheField>
    <cacheField name="Account Number" numFmtId="49">
      <sharedItems/>
    </cacheField>
    <cacheField name="Account Description" numFmtId="0">
      <sharedItems/>
    </cacheField>
    <cacheField name="FY23 Budget" numFmtId="164">
      <sharedItems containsString="0" containsBlank="1" containsNumber="1" minValue="0" maxValue="3630865"/>
    </cacheField>
    <cacheField name="FY23 Actuals" numFmtId="164">
      <sharedItems containsString="0" containsBlank="1" containsNumber="1" minValue="0" maxValue="3181281.69"/>
    </cacheField>
    <cacheField name="FY24 Budget" numFmtId="164">
      <sharedItems containsString="0" containsBlank="1" containsNumber="1" minValue="0" maxValue="3913132"/>
    </cacheField>
    <cacheField name="FY24 Actuals" numFmtId="164">
      <sharedItems containsString="0" containsBlank="1" containsNumber="1" minValue="-30" maxValue="3708516.29"/>
    </cacheField>
    <cacheField name="FY25 Budget" numFmtId="164">
      <sharedItems containsString="0" containsBlank="1" containsNumber="1" containsInteger="1" minValue="0" maxValue="5030005"/>
    </cacheField>
    <cacheField name="FY25 Actuals" numFmtId="164">
      <sharedItems containsString="0" containsBlank="1" containsNumber="1" minValue="0" maxValue="4535358.8600000003"/>
    </cacheField>
    <cacheField name="FY26 Budget" numFmtId="164">
      <sharedItems containsString="0" containsBlank="1" containsNumber="1" containsInteger="1" minValue="0" maxValue="5488229"/>
    </cacheField>
    <cacheField name="FY27 Department Budget" numFmtId="164">
      <sharedItems containsString="0" containsBlank="1" containsNumber="1" containsInteger="1" minValue="0" maxValue="5904683"/>
    </cacheField>
    <cacheField name="FY27 Town Manager Budget" numFmtId="164">
      <sharedItems containsString="0" containsBlank="1" containsNumber="1" containsInteger="1" minValue="0" maxValue="5904683"/>
    </cacheField>
    <cacheField name="FY27 Town Council Proposed Budget (TCPB)" numFmtId="164">
      <sharedItems containsString="0" containsBlank="1" containsNumber="1" containsInteger="1" minValue="0" maxValue="5904683"/>
    </cacheField>
    <cacheField name="FY27 Default Budget" numFmtId="164">
      <sharedItems containsString="0" containsBlank="1" containsNumber="1" containsInteger="1" minValue="0" maxValue="5919179"/>
    </cacheField>
    <cacheField name="FY27 TCPB $ o/(u) FY26 Budget" numFmtId="164">
      <sharedItems containsSemiMixedTypes="0" containsString="0" containsNumber="1" containsInteger="1" minValue="-254678" maxValue="416454"/>
    </cacheField>
    <cacheField name="FY27 TCPB $ o/(u) Default" numFmtId="164">
      <sharedItems containsSemiMixedTypes="0" containsString="0" containsNumber="1" containsInteger="1" minValue="-262319" maxValue="241007"/>
    </cacheField>
    <cacheField name="FY27 TCPB % o/-u FY26 Budget" numFmtId="10">
      <sharedItems containsMixedTypes="1" containsNumber="1" minValue="-1" maxValue="999"/>
    </cacheField>
    <cacheField name="FY23 Actuals % o/-u FY23 Budget" numFmtId="10">
      <sharedItems containsMixedTypes="1" containsNumber="1" minValue="-1" maxValue="214.78779999999998"/>
    </cacheField>
    <cacheField name="FY24 Actuals % o/-u FY24 Budget" numFmtId="10">
      <sharedItems containsMixedTypes="1" containsNumber="1" minValue="-1" maxValue="238.25400000000002"/>
    </cacheField>
    <cacheField name="FY25 Actuals % o/-u FY25 Budget" numFmtId="10">
      <sharedItems containsMixedTypes="1" containsNumber="1" minValue="-1" maxValue="940.46"/>
    </cacheField>
    <cacheField name="FY24 Budget % o/-u FY23 Budget" numFmtId="10">
      <sharedItems containsMixedTypes="1" containsNumber="1" minValue="-1" maxValue="26"/>
    </cacheField>
    <cacheField name="FY24 Actuals % o/-u FY23 Actuals" numFmtId="10">
      <sharedItems containsMixedTypes="1" containsNumber="1" minValue="-1" maxValue="150.83537263626252"/>
    </cacheField>
    <cacheField name="FY25 Budget % o/-u FY24 Budget" numFmtId="10">
      <sharedItems containsMixedTypes="1" containsNumber="1" minValue="-1" maxValue="99"/>
    </cacheField>
    <cacheField name="FY25 Actuals % o/-u FY24 Actuals" numFmtId="10">
      <sharedItems containsMixedTypes="1" containsNumber="1" minValue="-1" maxValue="358.8"/>
    </cacheField>
    <cacheField name="FY26 Budget % o/-u FY25 Budget" numFmtId="10">
      <sharedItems containsMixedTypes="1" containsNumber="1" minValue="-1" maxValue="159"/>
    </cacheField>
    <cacheField name="FY26 Budget % o/-u FY23 Budget" numFmtId="10">
      <sharedItems containsMixedTypes="1" containsNumber="1" minValue="-1" maxValue="159"/>
    </cacheField>
    <cacheField name="FY27 Dept Budget % o/-u FY26 Budget" numFmtId="10">
      <sharedItems containsMixedTypes="1" containsNumber="1" minValue="-1" maxValue="999"/>
    </cacheField>
    <cacheField name="FY27 Town Mgr Budget % o/-u FY26 Budget" numFmtId="10">
      <sharedItems containsMixedTypes="1" containsNumber="1" minValue="-1" maxValue="999"/>
    </cacheField>
    <cacheField name="FY27 TCPB % o/-u FY26 Budget2" numFmtId="10">
      <sharedItems containsMixedTypes="1" containsNumber="1" minValue="-1" maxValue="999"/>
    </cacheField>
    <cacheField name="FY27 Default % o/-u FY26 Budget" numFmtId="10">
      <sharedItems containsMixedTypes="1" containsNumber="1" minValue="-1" maxValue="15.575732217573222"/>
    </cacheField>
    <cacheField name="FY27 Dept Budget % o/-u FY23 Budget" numFmtId="10">
      <sharedItems containsMixedTypes="1" containsNumber="1" minValue="-1" maxValue="159"/>
    </cacheField>
    <cacheField name="FY27 Town Mgr Budget % o/-u FY23 Budget" numFmtId="10">
      <sharedItems containsMixedTypes="1" containsNumber="1" minValue="-1" maxValue="159"/>
    </cacheField>
    <cacheField name="FY27 TCPB % o/-u FY23 Budget" numFmtId="10">
      <sharedItems containsMixedTypes="1" containsNumber="1" minValue="-1" maxValue="159"/>
    </cacheField>
    <cacheField name="FY27 Default % o/-u FY23 Budget" numFmtId="10">
      <sharedItems containsMixedTypes="1" containsNumber="1" minValue="-1" maxValue="159"/>
    </cacheField>
    <cacheField name="Account Number and Name" numFmtId="0">
      <sharedItems count="107">
        <s v="4130-000: Elected Salaries"/>
        <s v="4220-000: FICA Benefits"/>
        <s v="4225-000: Medicare Benefits"/>
        <s v="4260-000: Workers' comp Benefits"/>
        <s v="4550-000: Printing Services"/>
        <s v="4570-000: Sem &amp; workshops Services"/>
        <s v="4575-000: Travel &amp; mileage Services"/>
        <s v="4330-000: MGMT services Services"/>
        <s v="4610-000: General expenses Supplies"/>
        <s v="4680-000: Dept. expense Supplies"/>
        <s v="4110-000: Regular Salaries"/>
        <s v="4120-000: Part-time Salaries"/>
        <s v="4140-000: Overtime Salaries"/>
        <s v="4215-000: STD, LTD, &amp; Life Benefits"/>
        <s v="4230-000: Retirement Benefits"/>
        <s v="4560-000: Dues &amp; subs Services"/>
        <s v="4620-000: Office supplies Supplies"/>
        <s v="4625-000: Postage Supplies"/>
        <s v="4670-000: Books &amp; periodicals Supplies"/>
        <s v="4750-000: Furniture &amp; fixures Property"/>
        <s v="4210-000: Health Ins Benefits"/>
        <s v="4240-000: Tuition reimbursement Benefits"/>
        <s v="4330-001: Employee Programs"/>
        <s v="4321-000: Redemptions Services"/>
        <s v="4219-000: Dental Insurance Benefits"/>
        <s v="4440-000: Rental and leases Services"/>
        <s v="4740-000: Mach &amp; equip Property"/>
        <s v="4301-000: Auditing services Services"/>
        <s v="4340-000: Bank services Services"/>
        <s v="4390-000: Other professional Services"/>
        <s v="4241-000: Training Benefits"/>
        <s v="4490-000: Clothing allowance Services"/>
        <s v="4630-000: Maint &amp; repairs Supplies"/>
        <s v="4332-000: Contracted services Services"/>
        <s v="4341-000: Telephone Services"/>
        <s v="4430-000: Repairs &amp; maint Service"/>
        <s v="4320-000: Legal general Services"/>
        <s v="4360-000: Custodial Services"/>
        <s v="4410-000: Electric Services"/>
        <s v="4411-000: Heat &amp; oil Services"/>
        <s v="4412-000: Water Services"/>
        <s v="4491-000: Town common exp Services"/>
        <s v="4635-000: Gasoline Supplies"/>
        <s v="4660-000: Vehicle repairs Supplies"/>
        <s v="4866-000: Environ testing Other"/>
        <s v="4868-000: Regional trans initiative Other"/>
        <s v="4850-000: Old home day Other"/>
        <s v="4851-000: Fireworks/Anniversary Celebrations"/>
        <s v="4860-000: Morrison house Other"/>
        <s v="4861-000: Heritage comm exp Other"/>
        <s v="4864-000: Cultural affairs cmte Other"/>
        <s v="4250-000: Unemployment ins Benefits"/>
        <s v="4520-000: Property ins Services"/>
        <s v="4521-000: Ins deductible Services"/>
        <s v="4690-000: Other misc Supplies"/>
        <s v="4151-000: Contractually Mandated Training Overtime"/>
        <s v="4151-001: Legally Mandated Training - Salaries"/>
        <s v="4290-000: Uniforms &amp; cleaning Benefits"/>
        <s v="4323-000: Legal &amp; Profesional Standards"/>
        <s v="4350-000: Medical services Services"/>
        <s v="4193-000: Holiday Salaries"/>
        <s v="4215-000: Life Ins Benefits"/>
        <s v="4331-000: Special investigations Services"/>
        <s v="4611-000: K-9 supplies Supplies"/>
        <s v="4760-000: Imp Other than Building Other Property"/>
        <s v="4612-000: Crime prevention Supplies"/>
        <s v="4613-000: Safety program Supplies"/>
        <s v="4744-000: Capital leases Property"/>
        <s v="4531-000: Safety program Services"/>
        <s v="4530-000: Public education Services"/>
        <s v="4634-000: Hazardous materials Supplies"/>
        <s v="4890-000: Grant Expenses"/>
        <s v="4152-000: Concurrent Duty Overtime"/>
        <s v="4614-000: Civil defense exp Supplies"/>
        <s v="4615-000: Forest fire exp Supplies"/>
        <s v="4580-000: Mosquito Control"/>
        <s v="4145-000: Snow overtime Salaries"/>
        <s v="4241-001: CDL Training"/>
        <s v="4311-000: Engineering Services"/>
        <s v="4333-000: Work Zone Safety - Services"/>
        <s v="4395-000: Snow removal Services"/>
        <s v="4414-000: Hydrants Services"/>
        <s v="4415-000: Street lighting Service"/>
        <s v="4436-000: Road Maintenance Services"/>
        <s v="4438-000: Storm drain const Services"/>
        <s v="4695-000: Gravel Supplies"/>
        <s v="4696-000: Street signs Supplies"/>
        <s v="4697-000: Salt Supplies"/>
        <s v="4698-000: Sand Supplies"/>
        <s v="4335-000: Waste collection Services"/>
        <s v="4336-000: Recycling Services"/>
        <s v="4830-000: Social service agencies Other"/>
        <s v="4693-000: Welfare rent Supplies"/>
        <s v="4694-000: Welfare medical Supplies"/>
        <s v="4699-000: Welfare Heat &amp; Oil Supplies"/>
        <s v="4355-000: Photo services Services"/>
        <s v="4824-000: Programs Other"/>
        <s v="4741-000: Department Specialized Equipment"/>
        <s v="4821-000: Adult programs Other"/>
        <s v="4823-000: Summer programs Other"/>
        <s v="4560-001: Library Consortiums"/>
        <s v="4670-001: Electronic Books/Databases"/>
        <s v="4822-000: Youth programs Other"/>
        <s v="4825-000: Teen programs Other"/>
        <s v="4870-000: Senior Transportation"/>
        <s v="4820-000: Sr. affairs program Other"/>
        <s v="4640-000: GIS Services &amp; Supplies"/>
      </sharedItems>
    </cacheField>
    <cacheField name="Avg Budget % o/-u YoY FY23-FY24, FY24-FY25, FY25-FY26 (3YAVG)" numFmtId="10">
      <sharedItems containsSemiMixedTypes="0" containsString="0" containsNumber="1" minValue="-1" maxValue="53"/>
    </cacheField>
    <cacheField name="FY27 TCPB % o/-u FY26 Budget --- o/-u --- 3YAVG" numFmtId="10">
      <sharedItems containsSemiMixedTypes="0" containsString="0" containsNumber="1" minValue="-53" maxValue="999.33327272727274"/>
    </cacheField>
    <cacheField name="FY27 TCPB Amt if FY26 Budget Amt adj by 3YAVG" numFmtId="44">
      <sharedItems containsMixedTypes="1" containsNumber="1" minValue="0" maxValue="2226980.7196875839"/>
    </cacheField>
    <cacheField name="FY27 TCPB CHANGE if FY26 Budget Amt adj by 3YAVG" numFmtId="44">
      <sharedItems containsMixedTypes="1" containsNumber="1" minValue="-268943.1387668415" maxValue="0" count="94">
        <s v=""/>
        <n v="-275.64693264693267"/>
        <n v="-5434.4827586206902"/>
        <n v="-925"/>
        <n v="-974"/>
        <n v="-752"/>
        <n v="-2456.6536964980546"/>
        <n v="-3083.5332384280227"/>
        <n v="-8.3333333333333286"/>
        <n v="0"/>
        <n v="-5198.4885620915029"/>
        <n v="-4110"/>
        <n v="-23.295454545454504"/>
        <n v="-3708.8888888888887"/>
        <n v="-1123.9312267657992"/>
        <n v="-400"/>
        <n v="-140"/>
        <n v="-3814.351851851854"/>
        <n v="-563.125"/>
        <n v="-63.157894736842081"/>
        <n v="-150"/>
        <n v="-268943.1387668415"/>
        <n v="-9656.5656565656536"/>
        <n v="-3220.1341098826742"/>
        <n v="-3494.140625"/>
        <n v="-5833.3333333333321"/>
        <n v="-2007.6008771929828"/>
        <n v="-2750"/>
        <n v="-1000"/>
        <n v="-7000"/>
        <n v="-66457.23851396775"/>
        <n v="-1456"/>
        <n v="-1764.702440685378"/>
        <n v="-933.33333333333576"/>
        <n v="-1187.6138433515484"/>
        <n v="-940"/>
        <n v="-2801"/>
        <n v="-4143"/>
        <n v="-28.594771241827402"/>
        <n v="-8342.5359727543655"/>
        <n v="-2263"/>
        <n v="-4950"/>
        <n v="-845.33333333332848"/>
        <n v="-3000"/>
        <n v="-22142.857142857145"/>
        <n v="-4577.777777777781"/>
        <n v="-384.61538461538476"/>
        <n v="-1988.9908256880735"/>
        <n v="-15132"/>
        <n v="-262.85714285714289"/>
        <n v="-293.60294117647072"/>
        <n v="-6941.1252252252234"/>
        <n v="-235.29411764705901"/>
        <n v="-200"/>
        <n v="-1500"/>
        <n v="-3900"/>
        <n v="-2000"/>
        <n v="-125"/>
        <n v="-26782.142857142862"/>
        <n v="-3125"/>
        <n v="-166823.28710740013"/>
        <n v="-16766.280312416144"/>
        <n v="-167990.13324259489"/>
        <n v="-28"/>
        <n v="-40"/>
        <n v="-375"/>
        <n v="-1200"/>
        <n v="-5234"/>
        <n v="-4625"/>
        <n v="-3497.9431985218453"/>
        <n v="-5225.4954666666672"/>
        <n v="-524.09638554216872"/>
        <n v="-486"/>
        <n v="-11000"/>
        <n v="-1054.5762175031377"/>
        <n v="-2550.0553255870254"/>
        <n v="-3424.0793237149919"/>
        <n v="-120.24408129059248"/>
        <n v="-730.42857142857065"/>
        <n v="-1166.6666666666665"/>
        <n v="-500"/>
        <n v="-1677.1390913932064"/>
        <n v="-1230.3156040851472"/>
        <n v="-38875.24366471736"/>
        <n v="-50"/>
        <n v="-636"/>
        <n v="-9812"/>
        <n v="-2500"/>
        <n v="-722.22222222222217"/>
        <n v="-19126.966565349543"/>
        <n v="-385"/>
        <n v="-710"/>
        <n v="-1750"/>
        <n v="-4800"/>
      </sharedItems>
    </cacheField>
    <cacheField name="FY27 TCPB % o/-u FY26 Budget --- o/-u --- CPIAVG" numFmtId="10">
      <sharedItems containsSemiMixedTypes="0" containsString="0" containsNumber="1" minValue="-1.0389999999999999" maxValue="998.96100000000001"/>
    </cacheField>
    <cacheField name="FY27 TCPB Amt if FY26 Budget Amt adj by CPIAVG" numFmtId="44">
      <sharedItems containsMixedTypes="1" containsNumber="1" minValue="207.79999999999998" maxValue="2133046.2199999997"/>
    </cacheField>
    <cacheField name="FY27 TCPB CHANGE if FY26 Budget Amt adj by CPIAVG" numFmtId="44">
      <sharedItems containsMixedTypes="1" containsNumber="1" minValue="-277785.32" maxValue="-16.885000000000048" count="87">
        <s v=""/>
        <n v="-234.25700000000006"/>
        <n v="-142.75"/>
        <n v="-5133.7"/>
        <n v="-863.57500000000005"/>
        <n v="-944.75000000000011"/>
        <n v="-722.82800000000009"/>
        <n v="-2518.1850000000004"/>
        <n v="-2591.0000000000009"/>
        <n v="-4824.5750000000007"/>
        <n v="-4071"/>
        <n v="-3800.5"/>
        <n v="-30973.5"/>
        <n v="-333.70000000000005"/>
        <n v="-1580.5"/>
        <n v="-263.50000000000045"/>
        <n v="-815.54000000000019"/>
        <n v="-136.35000000000002"/>
        <n v="-277785.32"/>
        <n v="-8674"/>
        <n v="-3681.9500000000007"/>
        <n v="-67200.000000000029"/>
        <n v="-2031.2500000000036"/>
        <n v="-1720"/>
        <n v="-2527.9500000000007"/>
        <n v="-4090.5"/>
        <n v="-707.50000000000091"/>
        <n v="-38.775000000000546"/>
        <n v="-6610"/>
        <n v="-69310.738000000012"/>
        <n v="-1339.0000000000005"/>
        <n v="-155.10000000000218"/>
        <n v="-842.5"/>
        <n v="-2783.45"/>
        <n v="-4131.3"/>
        <n v="-1088.8900000000031"/>
        <n v="-24345"/>
        <n v="-289.02000000000407"/>
        <n v="-5153"/>
        <n v="-1795.0000000000018"/>
        <n v="-4856.5"/>
        <n v="-3830.0000000000036"/>
        <n v="-24220"/>
        <n v="-7142"/>
        <n v="-2264.0000000000036"/>
        <n v="-13986.648000000001"/>
        <n v="-263.57500000000005"/>
        <n v="-5963.1100000000006"/>
        <n v="-1441.5000000000002"/>
        <n v="-3857.1000000000004"/>
        <n v="-1922"/>
        <n v="-111.35000000000002"/>
        <n v="-31975.000000000007"/>
        <n v="-5516.0760000000009"/>
        <n v="-110700.78000000026"/>
        <n v="-208781.14500000002"/>
        <n v="-16.885000000000048"/>
        <n v="-47.960000000000036"/>
        <n v="-29.470000000000027"/>
        <n v="-358.42500000000001"/>
        <n v="-1005"/>
        <n v="-5187.2"/>
        <n v="-5363.5"/>
        <n v="-3779.974000000002"/>
        <n v="-564.90000000000009"/>
        <n v="-1029.8000000000002"/>
        <n v="-1415.0000000000018"/>
        <n v="-10805"/>
        <n v="-2865.2410000000018"/>
        <n v="-1727.6870000000017"/>
        <n v="-1220.7710000000006"/>
        <n v="-61.902000000000044"/>
        <n v="-983.5"/>
        <n v="-2005.7820000000065"/>
        <n v="-961"/>
        <n v="-461"/>
        <n v="-37100.000000000015"/>
        <n v="-42.200000000000017"/>
        <n v="-153.80400000000009"/>
        <n v="-8751.6680000000015"/>
        <n v="-2110"/>
        <n v="-344"/>
        <n v="-18971.395"/>
        <n v="-298.61500000000024"/>
        <n v="-610.94000000000005"/>
        <n v="-1720.75"/>
        <n v="-4577.7000000000007"/>
      </sharedItems>
    </cacheField>
    <cacheField name="FY27 TCPB % o/-u FY26 Budget *" numFmtId="0" formula="IF(AND('FY26 Budget'=0,'FY27 Town Council Proposed Budget (TCPB)'= 0), 0, IFERROR('FY27 TCPB $ o/(u) FY26 Budget'/'FY26 Budget', 1))" databaseField="0"/>
    <cacheField name="FY27 TCPB % o/-u Default *" numFmtId="0" formula="IF(AND('FY27 Default Budget'=0,'FY27 Town Council Proposed Budget (TCPB)'= 0), 0, IFERROR('FY27 TCPB $ o/(u) Default'/'FY27 Default Budget', 1))" databaseField="0"/>
    <cacheField name="FY27 TCPB % o/-u FY23 Budget *" numFmtId="0" formula="IF(AND('FY23 Budget'=0,'FY27 Town Council Proposed Budget (TCPB)'= 0), 0, IFERROR(('FY27 Town Council Proposed Budget (TCPB)'-'FY23 Budget') /'FY23 Budget', 1))"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6">
  <r>
    <x v="0"/>
    <s v="01"/>
    <s v="00 - Non-Divisional"/>
    <s v="00"/>
    <s v="PS Salaries - Personnel services - salaries"/>
    <s v="4130-000"/>
    <s v="Elected Salaries"/>
    <n v="10500"/>
    <n v="10500"/>
    <n v="10500"/>
    <n v="10500"/>
    <n v="10500"/>
    <n v="10500"/>
    <n v="10500"/>
    <n v="10500"/>
    <n v="10500"/>
    <n v="10500"/>
    <n v="10500"/>
    <n v="0"/>
    <n v="0"/>
    <n v="0"/>
    <n v="0"/>
    <n v="0"/>
    <n v="0"/>
    <n v="0"/>
    <n v="0"/>
    <n v="0"/>
    <n v="0"/>
    <n v="0"/>
    <n v="0"/>
    <n v="0"/>
    <n v="0"/>
    <n v="0"/>
    <n v="0"/>
    <n v="0"/>
    <n v="0"/>
    <n v="0"/>
    <n v="0"/>
    <x v="0"/>
    <n v="0"/>
    <n v="0"/>
    <s v=""/>
    <x v="0"/>
    <n v="-3.8999999999999993E-2"/>
    <s v=""/>
    <x v="0"/>
  </r>
  <r>
    <x v="0"/>
    <s v="01"/>
    <s v="00 - Non-Divisional"/>
    <s v="00"/>
    <s v="PS Benefits - Personnel services - benefits"/>
    <s v="4220-000"/>
    <s v="FICA Benefits"/>
    <n v="651"/>
    <n v="651"/>
    <n v="651"/>
    <n v="651"/>
    <n v="651"/>
    <n v="651"/>
    <n v="651"/>
    <n v="651"/>
    <n v="651"/>
    <n v="651"/>
    <n v="651"/>
    <n v="0"/>
    <n v="0"/>
    <n v="0"/>
    <n v="0"/>
    <n v="0"/>
    <n v="0"/>
    <n v="0"/>
    <n v="0"/>
    <n v="0"/>
    <n v="0"/>
    <n v="0"/>
    <n v="0"/>
    <n v="0"/>
    <n v="0"/>
    <n v="0"/>
    <n v="0"/>
    <n v="0"/>
    <n v="0"/>
    <n v="0"/>
    <n v="0"/>
    <x v="1"/>
    <n v="0"/>
    <n v="0"/>
    <s v=""/>
    <x v="0"/>
    <n v="-3.8999999999999993E-2"/>
    <s v=""/>
    <x v="0"/>
  </r>
  <r>
    <x v="0"/>
    <s v="01"/>
    <s v="00 - Non-Divisional"/>
    <s v="00"/>
    <s v="PS Benefits - Personnel services - benefits"/>
    <s v="4225-000"/>
    <s v="Medicare Benefits"/>
    <n v="153"/>
    <n v="152.25"/>
    <n v="153"/>
    <n v="152.25"/>
    <n v="153"/>
    <n v="152.25"/>
    <n v="153"/>
    <n v="153"/>
    <n v="153"/>
    <n v="153"/>
    <n v="153"/>
    <n v="0"/>
    <n v="0"/>
    <n v="0"/>
    <n v="-4.9019607843137254E-3"/>
    <n v="-4.9019607843137254E-3"/>
    <n v="-4.9019607843137254E-3"/>
    <n v="0"/>
    <n v="0"/>
    <n v="0"/>
    <n v="0"/>
    <n v="0"/>
    <n v="0"/>
    <n v="0"/>
    <n v="0"/>
    <n v="0"/>
    <n v="0"/>
    <n v="0"/>
    <n v="0"/>
    <n v="0"/>
    <n v="0"/>
    <x v="2"/>
    <n v="0"/>
    <n v="0"/>
    <s v=""/>
    <x v="0"/>
    <n v="-3.8999999999999993E-2"/>
    <s v=""/>
    <x v="0"/>
  </r>
  <r>
    <x v="0"/>
    <s v="01"/>
    <s v="00 - Non-Divisional"/>
    <s v="00"/>
    <s v="PS Benefits - Personnel services - benefits"/>
    <s v="4260-000"/>
    <s v="Workers' comp Benefits"/>
    <n v="21"/>
    <n v="18.77"/>
    <n v="22"/>
    <n v="22.22"/>
    <n v="25"/>
    <n v="24.9"/>
    <n v="29"/>
    <n v="29"/>
    <n v="29"/>
    <n v="29"/>
    <n v="29"/>
    <n v="0"/>
    <n v="0"/>
    <n v="0"/>
    <n v="-0.10619047619047621"/>
    <n v="9.9999999999999482E-3"/>
    <n v="-4.0000000000000565E-3"/>
    <n v="4.7619047619047616E-2"/>
    <n v="0.18380394246137449"/>
    <n v="0.13636363636363635"/>
    <n v="0.1206120612061206"/>
    <n v="0.16"/>
    <n v="0.38095238095238093"/>
    <n v="0"/>
    <n v="0"/>
    <n v="0"/>
    <n v="0"/>
    <n v="0.38095238095238093"/>
    <n v="0.38095238095238093"/>
    <n v="0.38095238095238093"/>
    <n v="0.38095238095238093"/>
    <x v="3"/>
    <n v="0.11466089466089464"/>
    <n v="-0.11466089466089464"/>
    <s v=""/>
    <x v="0"/>
    <n v="-3.8999999999999993E-2"/>
    <s v=""/>
    <x v="0"/>
  </r>
  <r>
    <x v="0"/>
    <s v="01"/>
    <s v="00 - Non-Divisional"/>
    <s v="00"/>
    <s v="PS prof - Purchased services - professional &amp; technical"/>
    <s v="4550-000"/>
    <s v="Printing Services"/>
    <n v="0"/>
    <n v="0"/>
    <n v="0"/>
    <n v="0"/>
    <n v="0"/>
    <n v="0"/>
    <n v="0"/>
    <n v="3840"/>
    <n v="3840"/>
    <n v="3840"/>
    <n v="0"/>
    <n v="3840"/>
    <n v="3840"/>
    <s v=""/>
    <s v=""/>
    <s v=""/>
    <s v=""/>
    <s v=""/>
    <s v=""/>
    <s v=""/>
    <s v=""/>
    <s v=""/>
    <s v=""/>
    <s v=""/>
    <s v=""/>
    <s v=""/>
    <s v=""/>
    <s v=""/>
    <s v=""/>
    <s v=""/>
    <s v=""/>
    <x v="4"/>
    <n v="0"/>
    <n v="0"/>
    <s v=""/>
    <x v="0"/>
    <n v="-3.8999999999999993E-2"/>
    <s v=""/>
    <x v="0"/>
  </r>
  <r>
    <x v="0"/>
    <s v="01"/>
    <s v="00 - Non-Divisional"/>
    <s v="00"/>
    <s v="PS prof - Purchased services - professional &amp; technical"/>
    <s v="4570-000"/>
    <s v="Sem &amp; workshops Services"/>
    <n v="0"/>
    <n v="0"/>
    <n v="0"/>
    <n v="0"/>
    <n v="0"/>
    <n v="0"/>
    <n v="0"/>
    <n v="750"/>
    <n v="750"/>
    <n v="750"/>
    <n v="0"/>
    <n v="750"/>
    <n v="750"/>
    <s v=""/>
    <s v=""/>
    <s v=""/>
    <s v=""/>
    <s v=""/>
    <s v=""/>
    <s v=""/>
    <s v=""/>
    <s v=""/>
    <s v=""/>
    <s v=""/>
    <s v=""/>
    <s v=""/>
    <s v=""/>
    <s v=""/>
    <s v=""/>
    <s v=""/>
    <s v=""/>
    <x v="5"/>
    <n v="0"/>
    <n v="0"/>
    <s v=""/>
    <x v="0"/>
    <n v="-3.8999999999999993E-2"/>
    <s v=""/>
    <x v="0"/>
  </r>
  <r>
    <x v="0"/>
    <s v="01"/>
    <s v="00 - Non-Divisional"/>
    <s v="00"/>
    <s v="PS prof - Purchased services - professional &amp; technical"/>
    <s v="4575-000"/>
    <s v="Travel &amp; mileage Services"/>
    <n v="0"/>
    <n v="0"/>
    <n v="0"/>
    <n v="0"/>
    <n v="0"/>
    <n v="0"/>
    <n v="0"/>
    <n v="500"/>
    <n v="500"/>
    <n v="500"/>
    <n v="0"/>
    <n v="500"/>
    <n v="500"/>
    <s v=""/>
    <s v=""/>
    <s v=""/>
    <s v=""/>
    <s v=""/>
    <s v=""/>
    <s v=""/>
    <s v=""/>
    <s v=""/>
    <s v=""/>
    <s v=""/>
    <s v=""/>
    <s v=""/>
    <s v=""/>
    <s v=""/>
    <s v=""/>
    <s v=""/>
    <s v=""/>
    <x v="6"/>
    <n v="0"/>
    <n v="0"/>
    <s v=""/>
    <x v="0"/>
    <n v="-3.8999999999999993E-2"/>
    <s v=""/>
    <x v="0"/>
  </r>
  <r>
    <x v="0"/>
    <s v="01"/>
    <s v="00 - Non-Divisional"/>
    <s v="00"/>
    <s v="PS prof - Purchased services - professional &amp; technical"/>
    <s v="4330-000"/>
    <s v="MGMT services Services"/>
    <n v="1000"/>
    <n v="3106.92"/>
    <n v="1000"/>
    <n v="863.5"/>
    <n v="1000"/>
    <n v="591.22"/>
    <n v="1000"/>
    <n v="0"/>
    <n v="0"/>
    <n v="0"/>
    <n v="1000"/>
    <n v="-1000"/>
    <n v="-1000"/>
    <n v="-1"/>
    <n v="2.1069200000000001"/>
    <n v="-0.13650000000000001"/>
    <n v="-0.40877999999999998"/>
    <n v="0"/>
    <n v="-0.72207201987820735"/>
    <n v="0"/>
    <n v="-0.31532136653155757"/>
    <n v="0"/>
    <n v="0"/>
    <n v="-1"/>
    <n v="-1"/>
    <n v="-1"/>
    <n v="0"/>
    <n v="-1"/>
    <n v="-1"/>
    <n v="-1"/>
    <n v="0"/>
    <x v="7"/>
    <n v="0"/>
    <n v="-1"/>
    <s v=""/>
    <x v="0"/>
    <n v="-1.0389999999999999"/>
    <s v=""/>
    <x v="0"/>
  </r>
  <r>
    <x v="0"/>
    <s v="01"/>
    <s v="00 - Non-Divisional"/>
    <s v="00"/>
    <s v="Supplies - Supplies"/>
    <s v="4610-000"/>
    <s v="General expenses Supplies"/>
    <n v="777"/>
    <n v="787.79"/>
    <n v="777"/>
    <n v="1022.4"/>
    <n v="777"/>
    <n v="2156.75"/>
    <n v="737"/>
    <n v="1000"/>
    <n v="1000"/>
    <n v="1000"/>
    <n v="737"/>
    <n v="263"/>
    <n v="263"/>
    <n v="0.35685210312075982"/>
    <n v="1.388674388674384E-2"/>
    <n v="0.31583011583011578"/>
    <n v="1.7757400257400258"/>
    <n v="0"/>
    <n v="0.29780779141649427"/>
    <n v="0"/>
    <n v="1.1094972613458529"/>
    <n v="-5.1480051480051477E-2"/>
    <n v="-5.1480051480051477E-2"/>
    <n v="0.35685210312075982"/>
    <n v="0.35685210312075982"/>
    <n v="0.35685210312075982"/>
    <n v="0"/>
    <n v="0.28700128700128702"/>
    <n v="0.28700128700128702"/>
    <n v="0.28700128700128702"/>
    <n v="-5.1480051480051477E-2"/>
    <x v="8"/>
    <n v="-1.7160017160017159E-2"/>
    <n v="0.37401212028077696"/>
    <n v="724.35306735306733"/>
    <x v="1"/>
    <n v="0.31785210312075984"/>
    <n v="765.74299999999994"/>
    <x v="1"/>
  </r>
  <r>
    <x v="0"/>
    <s v="01"/>
    <s v="00 - Non-Divisional"/>
    <s v="00"/>
    <s v="Supplies - Supplies"/>
    <s v="4680-000"/>
    <s v="Dept. expense Supplies"/>
    <n v="0"/>
    <n v="0"/>
    <n v="0"/>
    <n v="0"/>
    <n v="0"/>
    <n v="0"/>
    <n v="0"/>
    <n v="1950"/>
    <n v="1950"/>
    <n v="1950"/>
    <n v="0"/>
    <n v="1950"/>
    <n v="1950"/>
    <s v=""/>
    <s v=""/>
    <s v=""/>
    <s v=""/>
    <s v=""/>
    <s v=""/>
    <s v=""/>
    <s v=""/>
    <s v=""/>
    <s v=""/>
    <s v=""/>
    <s v=""/>
    <s v=""/>
    <s v=""/>
    <s v=""/>
    <s v=""/>
    <s v=""/>
    <s v=""/>
    <x v="9"/>
    <n v="0"/>
    <n v="0"/>
    <s v=""/>
    <x v="0"/>
    <n v="-3.8999999999999993E-2"/>
    <s v=""/>
    <x v="0"/>
  </r>
  <r>
    <x v="1"/>
    <s v="02"/>
    <s v="00 - Non-Divisional"/>
    <s v="00"/>
    <s v="PS Salaries - Personnel services - salaries"/>
    <s v="4110-000"/>
    <s v="Regular Salaries"/>
    <n v="290520"/>
    <n v="369996.1"/>
    <n v="417393"/>
    <n v="484970.23"/>
    <n v="538153"/>
    <n v="518022.65"/>
    <n v="598233"/>
    <n v="538574"/>
    <n v="538574"/>
    <n v="538574"/>
    <n v="538574"/>
    <n v="-59659"/>
    <n v="0"/>
    <n v="-9.9725357845521723E-2"/>
    <n v="0.27356498692000542"/>
    <n v="0.16190312247689823"/>
    <n v="-3.7406369564045867E-2"/>
    <n v="0.43671003717472118"/>
    <n v="0.31074416730338511"/>
    <n v="0.28931965797222281"/>
    <n v="6.815350294800579E-2"/>
    <n v="0.11164111321501506"/>
    <n v="1.0591800908715407"/>
    <n v="-9.9725357845521723E-2"/>
    <n v="-9.9725357845521723E-2"/>
    <n v="-9.9725357845521723E-2"/>
    <n v="-9.9725357845521723E-2"/>
    <n v="0.85382761944100238"/>
    <n v="0.85382761944100238"/>
    <n v="0.85382761944100238"/>
    <n v="0.85382761944100238"/>
    <x v="10"/>
    <n v="0.27922360278731967"/>
    <n v="-0.37894896063284139"/>
    <s v=""/>
    <x v="0"/>
    <n v="-0.1387253578455217"/>
    <s v=""/>
    <x v="0"/>
  </r>
  <r>
    <x v="1"/>
    <s v="02"/>
    <s v="00 - Non-Divisional"/>
    <s v="00"/>
    <s v="PS Salaries - Personnel services - salaries"/>
    <s v="4120-000"/>
    <s v="Part-time Salaries"/>
    <n v="0"/>
    <n v="0"/>
    <n v="0"/>
    <n v="0"/>
    <n v="0"/>
    <n v="0"/>
    <n v="0"/>
    <n v="0"/>
    <n v="0"/>
    <n v="0"/>
    <n v="0"/>
    <n v="0"/>
    <n v="0"/>
    <s v=""/>
    <s v=""/>
    <s v=""/>
    <s v=""/>
    <s v=""/>
    <s v=""/>
    <s v=""/>
    <s v=""/>
    <s v=""/>
    <s v=""/>
    <s v=""/>
    <s v=""/>
    <s v=""/>
    <s v=""/>
    <s v=""/>
    <s v=""/>
    <s v=""/>
    <s v=""/>
    <x v="11"/>
    <n v="0"/>
    <n v="0"/>
    <s v=""/>
    <x v="0"/>
    <n v="-3.8999999999999993E-2"/>
    <s v=""/>
    <x v="0"/>
  </r>
  <r>
    <x v="1"/>
    <s v="02"/>
    <s v="00 - Non-Divisional"/>
    <s v="00"/>
    <s v="PS Salaries - Personnel services - salaries"/>
    <s v="4140-000"/>
    <s v="Overtime Salaries"/>
    <n v="6000"/>
    <n v="4682.84"/>
    <n v="1000"/>
    <n v="3676.76"/>
    <n v="1000"/>
    <n v="1053.3399999999999"/>
    <n v="1000"/>
    <n v="1000"/>
    <n v="1000"/>
    <n v="1000"/>
    <n v="1000"/>
    <n v="0"/>
    <n v="0"/>
    <n v="0"/>
    <n v="-0.21952666666666665"/>
    <n v="2.6767600000000003"/>
    <n v="5.3339999999999915E-2"/>
    <n v="-0.83333333333333337"/>
    <n v="-0.21484398356552858"/>
    <n v="0"/>
    <n v="-0.71351407217223861"/>
    <n v="0"/>
    <n v="-0.83333333333333337"/>
    <n v="0"/>
    <n v="0"/>
    <n v="0"/>
    <n v="0"/>
    <n v="-0.83333333333333337"/>
    <n v="-0.83333333333333337"/>
    <n v="-0.83333333333333337"/>
    <n v="-0.83333333333333337"/>
    <x v="12"/>
    <n v="-0.27777777777777779"/>
    <n v="0.27777777777777779"/>
    <s v=""/>
    <x v="0"/>
    <n v="-3.8999999999999993E-2"/>
    <s v=""/>
    <x v="0"/>
  </r>
  <r>
    <x v="1"/>
    <s v="02"/>
    <s v="00 - Non-Divisional"/>
    <s v="00"/>
    <s v="PS Benefits - Personnel services - benefits"/>
    <s v="4215-000"/>
    <s v="STD, LTD, &amp; Life  Benefits"/>
    <n v="3618"/>
    <n v="890.71"/>
    <n v="4732"/>
    <n v="3808.65"/>
    <n v="5595"/>
    <n v="3241.5"/>
    <n v="3800"/>
    <n v="3800"/>
    <n v="3800"/>
    <n v="3800"/>
    <n v="3800"/>
    <n v="0"/>
    <n v="0"/>
    <n v="0"/>
    <n v="-0.7538114980652294"/>
    <n v="-0.19512890955198645"/>
    <n v="-0.42064343163538875"/>
    <n v="0.30790491984521834"/>
    <n v="3.2759708547114101"/>
    <n v="0.18237531699070161"/>
    <n v="-0.14891103146784296"/>
    <n v="-0.32082216264521896"/>
    <n v="5.0304035378662244E-2"/>
    <n v="0"/>
    <n v="0"/>
    <n v="0"/>
    <n v="0"/>
    <n v="5.0304035378662244E-2"/>
    <n v="5.0304035378662244E-2"/>
    <n v="5.0304035378662244E-2"/>
    <n v="5.0304035378662244E-2"/>
    <x v="13"/>
    <n v="5.6486024730233654E-2"/>
    <n v="-5.6486024730233654E-2"/>
    <s v=""/>
    <x v="0"/>
    <n v="-3.8999999999999993E-2"/>
    <s v=""/>
    <x v="0"/>
  </r>
  <r>
    <x v="1"/>
    <s v="02"/>
    <s v="00 - Non-Divisional"/>
    <s v="00"/>
    <s v="PS Benefits - Personnel services - benefits"/>
    <s v="4220-000"/>
    <s v="FICA Benefits"/>
    <n v="18385"/>
    <n v="22682.15"/>
    <n v="25941"/>
    <n v="29049.95"/>
    <n v="33428"/>
    <n v="30684.86"/>
    <n v="36653"/>
    <n v="33454"/>
    <n v="33454"/>
    <n v="33454"/>
    <n v="33454"/>
    <n v="-3199"/>
    <n v="0"/>
    <n v="-8.7277985430933347E-2"/>
    <n v="0.23373130269241238"/>
    <n v="0.11984696041016155"/>
    <n v="-8.2061146344381941E-2"/>
    <n v="0.41098721784063097"/>
    <n v="0.28074058235220201"/>
    <n v="0.28861647584904204"/>
    <n v="5.6279270704424615E-2"/>
    <n v="9.6476008136891223E-2"/>
    <n v="0.99363611639923854"/>
    <n v="-8.7277985430933347E-2"/>
    <n v="-8.7277985430933347E-2"/>
    <n v="-8.7277985430933347E-2"/>
    <n v="-8.7277985430933347E-2"/>
    <n v="0.81963557247756325"/>
    <n v="0.81963557247756325"/>
    <n v="0.81963557247756325"/>
    <n v="0.81963557247756325"/>
    <x v="1"/>
    <n v="0.26535990060885473"/>
    <n v="-0.35263788603978807"/>
    <s v=""/>
    <x v="0"/>
    <n v="-0.12627798543093333"/>
    <s v=""/>
    <x v="0"/>
  </r>
  <r>
    <x v="1"/>
    <s v="02"/>
    <s v="00 - Non-Divisional"/>
    <s v="00"/>
    <s v="PS Benefits - Personnel services - benefits"/>
    <s v="4225-000"/>
    <s v="Medicare Benefits"/>
    <n v="4300"/>
    <n v="5304.68"/>
    <n v="6067"/>
    <n v="6793.94"/>
    <n v="7818"/>
    <n v="7361.08"/>
    <n v="8690"/>
    <n v="7824"/>
    <n v="7824"/>
    <n v="7824"/>
    <n v="7824"/>
    <n v="-866"/>
    <n v="0"/>
    <n v="-9.9654775604142695E-2"/>
    <n v="0.23364651162790703"/>
    <n v="0.1198186912806988"/>
    <n v="-5.8444614991046313E-2"/>
    <n v="0.41093023255813954"/>
    <n v="0.28074455009538735"/>
    <n v="0.28861051590571946"/>
    <n v="8.3477334212548299E-2"/>
    <n v="0.11153747761575851"/>
    <n v="1.0209302325581395"/>
    <n v="-9.9654775604142695E-2"/>
    <n v="-9.9654775604142695E-2"/>
    <n v="-9.9654775604142695E-2"/>
    <n v="-9.9654775604142695E-2"/>
    <n v="0.8195348837209302"/>
    <n v="0.8195348837209302"/>
    <n v="0.8195348837209302"/>
    <n v="0.8195348837209302"/>
    <x v="2"/>
    <n v="0.27035940869320579"/>
    <n v="-0.3700141842973485"/>
    <s v=""/>
    <x v="0"/>
    <n v="-0.13865477560414269"/>
    <s v=""/>
    <x v="0"/>
  </r>
  <r>
    <x v="1"/>
    <s v="02"/>
    <s v="00 - Non-Divisional"/>
    <s v="00"/>
    <s v="PS Benefits - Personnel services - benefits"/>
    <s v="4230-000"/>
    <s v="Retirement Benefits"/>
    <n v="42816"/>
    <n v="46222.53"/>
    <n v="56020"/>
    <n v="60350.22"/>
    <n v="71927"/>
    <n v="61531.42"/>
    <n v="73726"/>
    <n v="64335"/>
    <n v="64335"/>
    <n v="64335"/>
    <n v="64335"/>
    <n v="-9391"/>
    <n v="0"/>
    <n v="-0.1273770447332013"/>
    <n v="7.9562079596412524E-2"/>
    <n v="7.7297750803284562E-2"/>
    <n v="-0.14452959250351052"/>
    <n v="0.30838938714499253"/>
    <n v="0.30564510423812807"/>
    <n v="0.28395215994287754"/>
    <n v="1.957242243690242E-2"/>
    <n v="2.5011469962600969E-2"/>
    <n v="0.72192638266068765"/>
    <n v="-0.1273770447332013"/>
    <n v="-0.1273770447332013"/>
    <n v="-0.1273770447332013"/>
    <n v="-0.1273770447332013"/>
    <n v="0.50259248878923768"/>
    <n v="0.50259248878923768"/>
    <n v="0.50259248878923768"/>
    <n v="0.50259248878923768"/>
    <x v="14"/>
    <n v="0.20578433901682369"/>
    <n v="-0.33316138375002502"/>
    <s v=""/>
    <x v="0"/>
    <n v="-0.16637704473320131"/>
    <s v=""/>
    <x v="0"/>
  </r>
  <r>
    <x v="1"/>
    <s v="02"/>
    <s v="00 - Non-Divisional"/>
    <s v="00"/>
    <s v="PS Benefits - Personnel services - benefits"/>
    <s v="4260-000"/>
    <s v="Workers' comp Benefits"/>
    <n v="446"/>
    <n v="425.39"/>
    <n v="473"/>
    <n v="503.58"/>
    <n v="564"/>
    <n v="564.33000000000004"/>
    <n v="667"/>
    <n v="525"/>
    <n v="525"/>
    <n v="525"/>
    <n v="525"/>
    <n v="-142"/>
    <n v="0"/>
    <n v="-0.21289355322338829"/>
    <n v="-4.6210762331838594E-2"/>
    <n v="6.4651162790697644E-2"/>
    <n v="5.8510638297879598E-4"/>
    <n v="6.0538116591928252E-2"/>
    <n v="0.18380779990126708"/>
    <n v="0.19238900634249473"/>
    <n v="0.12063624448945562"/>
    <n v="0.18262411347517732"/>
    <n v="0.49551569506726456"/>
    <n v="-0.21289355322338829"/>
    <n v="-0.21289355322338829"/>
    <n v="-0.21289355322338829"/>
    <n v="-0.21289355322338829"/>
    <n v="0.17713004484304934"/>
    <n v="0.17713004484304934"/>
    <n v="0.17713004484304934"/>
    <n v="0.17713004484304934"/>
    <x v="3"/>
    <n v="0.14518374546986676"/>
    <n v="-0.35807729869325505"/>
    <s v=""/>
    <x v="0"/>
    <n v="-0.2518935532233883"/>
    <s v=""/>
    <x v="0"/>
  </r>
  <r>
    <x v="1"/>
    <s v="02"/>
    <s v="00 - Non-Divisional"/>
    <s v="00"/>
    <s v="PS prof - Purchased services - professional &amp; technical"/>
    <s v="4330-000"/>
    <s v="MGMT services Services"/>
    <n v="20390"/>
    <n v="13220.41"/>
    <n v="21390"/>
    <n v="14802.57"/>
    <n v="21390"/>
    <n v="111143.09"/>
    <n v="19390"/>
    <n v="9670"/>
    <n v="9670"/>
    <n v="9670"/>
    <n v="19390"/>
    <n v="-9720"/>
    <n v="-9720"/>
    <n v="-0.50128932439401752"/>
    <n v="-0.35162285434036294"/>
    <n v="-0.30796774193548387"/>
    <n v="4.1960303880317902"/>
    <n v="4.9043648847474253E-2"/>
    <n v="0.11967556225563351"/>
    <n v="0"/>
    <n v="6.5083644259071223"/>
    <n v="-9.3501636278634878E-2"/>
    <n v="-4.9043648847474253E-2"/>
    <n v="-0.50128932439401752"/>
    <n v="-0.50128932439401752"/>
    <n v="-0.50128932439401752"/>
    <n v="0"/>
    <n v="-0.52574791564492396"/>
    <n v="-0.52574791564492396"/>
    <n v="-0.52574791564492396"/>
    <n v="-4.9043648847474253E-2"/>
    <x v="7"/>
    <n v="-1.4819329143720208E-2"/>
    <n v="-0.48646999525029733"/>
    <s v=""/>
    <x v="0"/>
    <n v="-0.54028932439401756"/>
    <s v=""/>
    <x v="0"/>
  </r>
  <r>
    <x v="1"/>
    <s v="02"/>
    <s v="00 - Non-Divisional"/>
    <s v="00"/>
    <s v="PS other - Purchased services - other"/>
    <s v="4550-000"/>
    <s v="Printing Services"/>
    <n v="12000"/>
    <n v="4526.16"/>
    <n v="10000"/>
    <n v="5910.93"/>
    <n v="10000"/>
    <n v="4311"/>
    <n v="6500"/>
    <n v="4600"/>
    <n v="4600"/>
    <n v="4600"/>
    <n v="6500"/>
    <n v="-1900"/>
    <n v="-1900"/>
    <n v="-0.29230769230769232"/>
    <n v="-0.62282000000000004"/>
    <n v="-0.40890699999999996"/>
    <n v="-0.56889999999999996"/>
    <n v="-0.16666666666666666"/>
    <n v="0.30594808844583499"/>
    <n v="0"/>
    <n v="-0.27067314280493937"/>
    <n v="-0.35"/>
    <n v="-0.45833333333333331"/>
    <n v="-0.29230769230769232"/>
    <n v="-0.29230769230769232"/>
    <n v="-0.29230769230769232"/>
    <n v="0"/>
    <n v="-0.6166666666666667"/>
    <n v="-0.6166666666666667"/>
    <n v="-0.6166666666666667"/>
    <n v="-0.45833333333333331"/>
    <x v="4"/>
    <n v="-0.17222222222222219"/>
    <n v="-0.12008547008547013"/>
    <s v=""/>
    <x v="0"/>
    <n v="-0.3313076923076923"/>
    <s v=""/>
    <x v="0"/>
  </r>
  <r>
    <x v="1"/>
    <s v="02"/>
    <s v="00 - Non-Divisional"/>
    <s v="00"/>
    <s v="PS other - Purchased services - other"/>
    <s v="4560-000"/>
    <s v="Dues &amp; subs Services"/>
    <n v="57186"/>
    <n v="46611.8"/>
    <n v="58186"/>
    <n v="50475.42"/>
    <n v="58186"/>
    <n v="49912.4"/>
    <n v="55600"/>
    <n v="34250"/>
    <n v="34250"/>
    <n v="34250"/>
    <n v="36289"/>
    <n v="-21350"/>
    <n v="-2039"/>
    <n v="-0.38399280575539568"/>
    <n v="-0.18490889378519212"/>
    <n v="-0.13251606915752934"/>
    <n v="-0.14219227992988001"/>
    <n v="1.7486797467911725E-2"/>
    <n v="8.2889311290274034E-2"/>
    <n v="0"/>
    <n v="-1.1154340072851238E-2"/>
    <n v="-4.4443680610456122E-2"/>
    <n v="-2.7734060784107999E-2"/>
    <n v="-0.38399280575539568"/>
    <n v="-0.38399280575539568"/>
    <n v="-0.38399280575539568"/>
    <n v="-0.34732014388489207"/>
    <n v="-0.40107718672402337"/>
    <n v="-0.40107718672402337"/>
    <n v="-0.40107718672402337"/>
    <n v="-0.36542160668695134"/>
    <x v="15"/>
    <n v="-8.9856277141814652E-3"/>
    <n v="-0.3750071780412142"/>
    <s v=""/>
    <x v="0"/>
    <n v="-0.42299280575539566"/>
    <s v=""/>
    <x v="0"/>
  </r>
  <r>
    <x v="1"/>
    <s v="02"/>
    <s v="00 - Non-Divisional"/>
    <s v="00"/>
    <s v="PS other - Purchased services - other"/>
    <s v="4570-000"/>
    <s v="Sem &amp; workshops Services"/>
    <n v="1500"/>
    <n v="940"/>
    <n v="1500"/>
    <n v="3276.8"/>
    <n v="2500"/>
    <n v="516.5"/>
    <n v="2750"/>
    <n v="3000"/>
    <n v="3000"/>
    <n v="3000"/>
    <n v="2750"/>
    <n v="250"/>
    <n v="250"/>
    <n v="9.0909090909090912E-2"/>
    <n v="-0.37333333333333335"/>
    <n v="1.1845333333333334"/>
    <n v="-0.79339999999999999"/>
    <n v="0"/>
    <n v="2.4859574468085111"/>
    <n v="0.66666666666666663"/>
    <n v="-0.842376708984375"/>
    <n v="0.1"/>
    <n v="0.83333333333333337"/>
    <n v="9.0909090909090912E-2"/>
    <n v="9.0909090909090912E-2"/>
    <n v="9.0909090909090912E-2"/>
    <n v="0"/>
    <n v="1"/>
    <n v="1"/>
    <n v="1"/>
    <n v="0.83333333333333337"/>
    <x v="5"/>
    <n v="0.25555555555555554"/>
    <n v="-0.16464646464646462"/>
    <s v=""/>
    <x v="0"/>
    <n v="5.1909090909090919E-2"/>
    <n v="2857.25"/>
    <x v="2"/>
  </r>
  <r>
    <x v="1"/>
    <s v="02"/>
    <s v="00 - Non-Divisional"/>
    <s v="00"/>
    <s v="PS other - Purchased services - other"/>
    <s v="4575-000"/>
    <s v="Travel &amp; mileage Services"/>
    <n v="2900"/>
    <n v="167.49"/>
    <n v="2900"/>
    <n v="783.47"/>
    <n v="2900"/>
    <n v="741.76"/>
    <n v="1700"/>
    <n v="6900"/>
    <n v="6900"/>
    <n v="6900"/>
    <n v="1700"/>
    <n v="5200"/>
    <n v="5200"/>
    <n v="3.0588235294117645"/>
    <n v="-0.94224482758620698"/>
    <n v="-0.72983793103448269"/>
    <n v="-0.7442206896551723"/>
    <n v="0"/>
    <n v="3.6777121022150574"/>
    <n v="0"/>
    <n v="-5.3237520262422344E-2"/>
    <n v="-0.41379310344827586"/>
    <n v="-0.41379310344827586"/>
    <n v="3.0588235294117645"/>
    <n v="3.0588235294117645"/>
    <n v="3.0588235294117645"/>
    <n v="0"/>
    <n v="1.3793103448275863"/>
    <n v="1.3793103448275863"/>
    <n v="1.3793103448275863"/>
    <n v="-0.41379310344827586"/>
    <x v="6"/>
    <n v="-0.13793103448275862"/>
    <n v="3.1967545638945229"/>
    <n v="1465.5172413793102"/>
    <x v="2"/>
    <n v="3.0198235294117644"/>
    <n v="1766.3"/>
    <x v="3"/>
  </r>
  <r>
    <x v="1"/>
    <s v="02"/>
    <s v="00 - Non-Divisional"/>
    <s v="00"/>
    <s v="Supplies - Supplies"/>
    <s v="4620-000"/>
    <s v="Office supplies Supplies"/>
    <n v="1575"/>
    <n v="2142.84"/>
    <n v="1575"/>
    <n v="3511.98"/>
    <n v="1575"/>
    <n v="1848.73"/>
    <n v="1575"/>
    <n v="2500"/>
    <n v="2500"/>
    <n v="2500"/>
    <n v="1575"/>
    <n v="925"/>
    <n v="925"/>
    <n v="0.58730158730158732"/>
    <n v="0.36053333333333343"/>
    <n v="1.2298285714285715"/>
    <n v="0.17379682539682542"/>
    <n v="0"/>
    <n v="0.63893711149689192"/>
    <n v="0"/>
    <n v="-0.47359324369728756"/>
    <n v="0"/>
    <n v="0"/>
    <n v="0.58730158730158732"/>
    <n v="0.58730158730158732"/>
    <n v="0.58730158730158732"/>
    <n v="0"/>
    <n v="0.58730158730158732"/>
    <n v="0.58730158730158732"/>
    <n v="0.58730158730158732"/>
    <n v="0"/>
    <x v="16"/>
    <n v="0"/>
    <n v="0.58730158730158732"/>
    <n v="1575"/>
    <x v="3"/>
    <n v="0.54830158730158729"/>
    <n v="1636.425"/>
    <x v="4"/>
  </r>
  <r>
    <x v="1"/>
    <s v="02"/>
    <s v="00 - Non-Divisional"/>
    <s v="00"/>
    <s v="Supplies - Supplies"/>
    <s v="4625-000"/>
    <s v="Postage Supplies"/>
    <n v="750"/>
    <n v="2407.98"/>
    <n v="750"/>
    <n v="745.19"/>
    <n v="750"/>
    <n v="200.57"/>
    <n v="750"/>
    <n v="1724"/>
    <n v="1724"/>
    <n v="1724"/>
    <n v="750"/>
    <n v="974"/>
    <n v="974"/>
    <n v="1.2986666666666666"/>
    <n v="2.2106400000000002"/>
    <n v="-6.4133333333332605E-3"/>
    <n v="-0.73257333333333341"/>
    <n v="0"/>
    <n v="-0.6905331439629897"/>
    <n v="0"/>
    <n v="-0.73084716649445114"/>
    <n v="0"/>
    <n v="0"/>
    <n v="1.2986666666666666"/>
    <n v="1.2986666666666666"/>
    <n v="1.2986666666666666"/>
    <n v="0"/>
    <n v="1.2986666666666666"/>
    <n v="1.2986666666666666"/>
    <n v="1.2986666666666666"/>
    <n v="0"/>
    <x v="17"/>
    <n v="0"/>
    <n v="1.2986666666666666"/>
    <n v="750"/>
    <x v="4"/>
    <n v="1.2596666666666667"/>
    <n v="779.24999999999989"/>
    <x v="5"/>
  </r>
  <r>
    <x v="1"/>
    <s v="02"/>
    <s v="00 - Non-Divisional"/>
    <s v="00"/>
    <s v="Supplies - Supplies"/>
    <s v="4670-000"/>
    <s v="Books &amp; periodicals Supplies"/>
    <n v="250"/>
    <n v="0"/>
    <n v="250"/>
    <n v="425.31"/>
    <n v="250"/>
    <n v="489.61"/>
    <n v="250"/>
    <n v="75"/>
    <n v="75"/>
    <n v="75"/>
    <n v="250"/>
    <n v="-175"/>
    <n v="-175"/>
    <n v="-0.7"/>
    <n v="-1"/>
    <n v="0.70123999999999997"/>
    <n v="0.95844000000000007"/>
    <n v="0"/>
    <s v=""/>
    <n v="0"/>
    <n v="0.15118384237379795"/>
    <n v="0"/>
    <n v="0"/>
    <n v="-0.7"/>
    <n v="-0.7"/>
    <n v="-0.7"/>
    <n v="0"/>
    <n v="-0.7"/>
    <n v="-0.7"/>
    <n v="-0.7"/>
    <n v="0"/>
    <x v="18"/>
    <n v="0"/>
    <n v="-0.7"/>
    <s v=""/>
    <x v="0"/>
    <n v="-0.73899999999999999"/>
    <s v=""/>
    <x v="0"/>
  </r>
  <r>
    <x v="1"/>
    <s v="02"/>
    <s v="00 - Non-Divisional"/>
    <s v="00"/>
    <s v="Property - Property"/>
    <s v="4750-000"/>
    <s v="Furniture &amp; fixures Property"/>
    <n v="0"/>
    <n v="2257.39"/>
    <n v="0"/>
    <n v="0"/>
    <n v="0"/>
    <n v="0"/>
    <n v="0"/>
    <n v="0"/>
    <n v="0"/>
    <n v="0"/>
    <n v="0"/>
    <n v="0"/>
    <n v="0"/>
    <s v=""/>
    <s v=""/>
    <s v=""/>
    <s v=""/>
    <s v=""/>
    <n v="-1"/>
    <s v=""/>
    <s v=""/>
    <s v=""/>
    <s v=""/>
    <s v=""/>
    <s v=""/>
    <s v=""/>
    <s v=""/>
    <s v=""/>
    <s v=""/>
    <s v=""/>
    <s v=""/>
    <x v="19"/>
    <n v="0"/>
    <n v="0"/>
    <s v=""/>
    <x v="0"/>
    <n v="-3.8999999999999993E-2"/>
    <s v=""/>
    <x v="0"/>
  </r>
  <r>
    <x v="2"/>
    <s v="03"/>
    <s v="00 - Non-Divisional"/>
    <s v="00"/>
    <s v="PS Salaries - Personnel services - salaries"/>
    <s v="4110-000"/>
    <s v="Regular Salaries"/>
    <n v="0"/>
    <n v="0"/>
    <n v="0"/>
    <n v="0"/>
    <n v="0"/>
    <n v="0"/>
    <n v="0"/>
    <n v="243403"/>
    <n v="243403"/>
    <n v="243403"/>
    <n v="243403"/>
    <n v="243403"/>
    <n v="0"/>
    <s v=""/>
    <s v=""/>
    <s v=""/>
    <s v=""/>
    <s v=""/>
    <s v=""/>
    <s v=""/>
    <s v=""/>
    <s v=""/>
    <s v=""/>
    <s v=""/>
    <s v=""/>
    <s v=""/>
    <s v=""/>
    <s v=""/>
    <s v=""/>
    <s v=""/>
    <s v=""/>
    <x v="10"/>
    <n v="0"/>
    <n v="0"/>
    <s v=""/>
    <x v="0"/>
    <n v="-3.8999999999999993E-2"/>
    <s v=""/>
    <x v="0"/>
  </r>
  <r>
    <x v="2"/>
    <s v="03"/>
    <s v="00 - Non-Divisional"/>
    <s v="00"/>
    <s v="PS Salaries - Personnel services - salaries"/>
    <s v="4120-000"/>
    <s v="Part-time Salaries"/>
    <n v="0"/>
    <n v="0"/>
    <n v="0"/>
    <n v="0"/>
    <n v="0"/>
    <n v="0"/>
    <n v="0"/>
    <n v="95708"/>
    <n v="95708"/>
    <n v="95708"/>
    <n v="0"/>
    <n v="95708"/>
    <n v="95708"/>
    <s v=""/>
    <s v=""/>
    <s v=""/>
    <s v=""/>
    <s v=""/>
    <s v=""/>
    <s v=""/>
    <s v=""/>
    <s v=""/>
    <s v=""/>
    <s v=""/>
    <s v=""/>
    <s v=""/>
    <s v=""/>
    <s v=""/>
    <s v=""/>
    <s v=""/>
    <s v=""/>
    <x v="11"/>
    <n v="0"/>
    <n v="0"/>
    <s v=""/>
    <x v="0"/>
    <n v="-3.8999999999999993E-2"/>
    <s v=""/>
    <x v="0"/>
  </r>
  <r>
    <x v="2"/>
    <s v="03"/>
    <s v="00 - Non-Divisional"/>
    <s v="00"/>
    <s v="PS Salaries - Personnel services - salaries"/>
    <s v="4140-000"/>
    <s v="Overtime Salaries"/>
    <n v="0"/>
    <n v="0"/>
    <n v="0"/>
    <n v="0"/>
    <n v="0"/>
    <n v="0"/>
    <n v="0"/>
    <n v="0"/>
    <n v="0"/>
    <n v="0"/>
    <n v="0"/>
    <n v="0"/>
    <n v="0"/>
    <s v=""/>
    <s v=""/>
    <s v=""/>
    <s v=""/>
    <s v=""/>
    <s v=""/>
    <s v=""/>
    <s v=""/>
    <s v=""/>
    <s v=""/>
    <s v=""/>
    <s v=""/>
    <s v=""/>
    <s v=""/>
    <s v=""/>
    <s v=""/>
    <s v=""/>
    <s v=""/>
    <x v="12"/>
    <n v="0"/>
    <n v="0"/>
    <s v=""/>
    <x v="0"/>
    <n v="-3.8999999999999993E-2"/>
    <s v=""/>
    <x v="0"/>
  </r>
  <r>
    <x v="2"/>
    <s v="03"/>
    <s v="00 - Non-Divisional"/>
    <s v="00"/>
    <s v="PS Benefits - Personnel services - benefits"/>
    <s v="4215-000"/>
    <s v="STD, LTD, &amp; Life  Benefits"/>
    <n v="0"/>
    <n v="0"/>
    <n v="0"/>
    <n v="0"/>
    <n v="0"/>
    <n v="0"/>
    <n v="0"/>
    <n v="2004"/>
    <n v="2004"/>
    <n v="2004"/>
    <n v="2004"/>
    <n v="2004"/>
    <n v="0"/>
    <s v=""/>
    <s v=""/>
    <s v=""/>
    <s v=""/>
    <s v=""/>
    <s v=""/>
    <s v=""/>
    <s v=""/>
    <s v=""/>
    <s v=""/>
    <s v=""/>
    <s v=""/>
    <s v=""/>
    <s v=""/>
    <s v=""/>
    <s v=""/>
    <s v=""/>
    <s v=""/>
    <x v="13"/>
    <n v="0"/>
    <n v="0"/>
    <s v=""/>
    <x v="0"/>
    <n v="-3.8999999999999993E-2"/>
    <s v=""/>
    <x v="0"/>
  </r>
  <r>
    <x v="2"/>
    <s v="03"/>
    <s v="00 - Non-Divisional"/>
    <s v="00"/>
    <s v="PS Benefits - Personnel services - benefits"/>
    <s v="4220-000"/>
    <s v="FICA Benefits"/>
    <n v="0"/>
    <n v="0"/>
    <n v="0"/>
    <n v="0"/>
    <n v="0"/>
    <n v="0"/>
    <n v="0"/>
    <n v="21025"/>
    <n v="21025"/>
    <n v="21025"/>
    <n v="15091"/>
    <n v="21025"/>
    <n v="5934"/>
    <s v=""/>
    <s v=""/>
    <s v=""/>
    <s v=""/>
    <s v=""/>
    <s v=""/>
    <s v=""/>
    <s v=""/>
    <s v=""/>
    <s v=""/>
    <s v=""/>
    <s v=""/>
    <s v=""/>
    <s v=""/>
    <s v=""/>
    <s v=""/>
    <s v=""/>
    <s v=""/>
    <x v="1"/>
    <n v="0"/>
    <n v="0"/>
    <s v=""/>
    <x v="0"/>
    <n v="-3.8999999999999993E-2"/>
    <s v=""/>
    <x v="0"/>
  </r>
  <r>
    <x v="2"/>
    <s v="03"/>
    <s v="00 - Non-Divisional"/>
    <s v="00"/>
    <s v="PS Benefits - Personnel services - benefits"/>
    <s v="4225-000"/>
    <s v="Medicare Benefits"/>
    <n v="0"/>
    <n v="0"/>
    <n v="0"/>
    <n v="0"/>
    <n v="0"/>
    <n v="0"/>
    <n v="0"/>
    <n v="4918"/>
    <n v="4918"/>
    <n v="4918"/>
    <n v="3530"/>
    <n v="4918"/>
    <n v="1388"/>
    <s v=""/>
    <s v=""/>
    <s v=""/>
    <s v=""/>
    <s v=""/>
    <s v=""/>
    <s v=""/>
    <s v=""/>
    <s v=""/>
    <s v=""/>
    <s v=""/>
    <s v=""/>
    <s v=""/>
    <s v=""/>
    <s v=""/>
    <s v=""/>
    <s v=""/>
    <s v=""/>
    <x v="2"/>
    <n v="0"/>
    <n v="0"/>
    <s v=""/>
    <x v="0"/>
    <n v="-3.8999999999999993E-2"/>
    <s v=""/>
    <x v="0"/>
  </r>
  <r>
    <x v="2"/>
    <s v="03"/>
    <s v="00 - Non-Divisional"/>
    <s v="00"/>
    <s v="PS Benefits - Personnel services - benefits"/>
    <s v="4230-000"/>
    <s v="Retirement Benefits"/>
    <n v="0"/>
    <n v="0"/>
    <n v="0"/>
    <n v="0"/>
    <n v="0"/>
    <n v="0"/>
    <n v="0"/>
    <n v="31034"/>
    <n v="31034"/>
    <n v="31034"/>
    <n v="31034"/>
    <n v="31034"/>
    <n v="0"/>
    <s v=""/>
    <s v=""/>
    <s v=""/>
    <s v=""/>
    <s v=""/>
    <s v=""/>
    <s v=""/>
    <s v=""/>
    <s v=""/>
    <s v=""/>
    <s v=""/>
    <s v=""/>
    <s v=""/>
    <s v=""/>
    <s v=""/>
    <s v=""/>
    <s v=""/>
    <s v=""/>
    <x v="14"/>
    <n v="0"/>
    <n v="0"/>
    <s v=""/>
    <x v="0"/>
    <n v="-3.8999999999999993E-2"/>
    <s v=""/>
    <x v="0"/>
  </r>
  <r>
    <x v="2"/>
    <s v="03"/>
    <s v="00 - Non-Divisional"/>
    <s v="00"/>
    <s v="PS Benefits - Personnel services - benefits"/>
    <s v="4260-000"/>
    <s v="Workers' comp Benefits"/>
    <n v="0"/>
    <n v="0"/>
    <n v="0"/>
    <n v="0"/>
    <n v="0"/>
    <n v="0"/>
    <n v="0"/>
    <n v="298"/>
    <n v="298"/>
    <n v="298"/>
    <n v="298"/>
    <n v="298"/>
    <n v="0"/>
    <s v=""/>
    <s v=""/>
    <s v=""/>
    <s v=""/>
    <s v=""/>
    <s v=""/>
    <s v=""/>
    <s v=""/>
    <s v=""/>
    <s v=""/>
    <s v=""/>
    <s v=""/>
    <s v=""/>
    <s v=""/>
    <s v=""/>
    <s v=""/>
    <s v=""/>
    <s v=""/>
    <x v="3"/>
    <n v="0"/>
    <n v="0"/>
    <s v=""/>
    <x v="0"/>
    <n v="-3.8999999999999993E-2"/>
    <s v=""/>
    <x v="0"/>
  </r>
  <r>
    <x v="2"/>
    <s v="03"/>
    <s v="00 - Non-Divisional"/>
    <s v="00"/>
    <s v="PS prof - Purchased services - professional &amp; technical"/>
    <s v="4330-000"/>
    <s v="MGMT services Services"/>
    <n v="0"/>
    <n v="0"/>
    <n v="0"/>
    <n v="0"/>
    <n v="0"/>
    <n v="0"/>
    <n v="0"/>
    <n v="1100"/>
    <n v="1100"/>
    <n v="1100"/>
    <n v="0"/>
    <n v="1100"/>
    <n v="1100"/>
    <s v=""/>
    <s v=""/>
    <s v=""/>
    <s v=""/>
    <s v=""/>
    <s v=""/>
    <s v=""/>
    <s v=""/>
    <s v=""/>
    <s v=""/>
    <s v=""/>
    <s v=""/>
    <s v=""/>
    <s v=""/>
    <s v=""/>
    <s v=""/>
    <s v=""/>
    <s v=""/>
    <x v="7"/>
    <n v="0"/>
    <n v="0"/>
    <s v=""/>
    <x v="0"/>
    <n v="-3.8999999999999993E-2"/>
    <s v=""/>
    <x v="0"/>
  </r>
  <r>
    <x v="2"/>
    <s v="03"/>
    <s v="00 - Non-Divisional"/>
    <s v="00"/>
    <s v="PS other - Purchased services - other"/>
    <s v="4550-000"/>
    <s v="Printing Services"/>
    <n v="0"/>
    <n v="0"/>
    <n v="0"/>
    <n v="0"/>
    <n v="0"/>
    <n v="0"/>
    <n v="0"/>
    <n v="200"/>
    <n v="200"/>
    <n v="200"/>
    <n v="0"/>
    <n v="200"/>
    <n v="200"/>
    <s v=""/>
    <s v=""/>
    <s v=""/>
    <s v=""/>
    <s v=""/>
    <s v=""/>
    <s v=""/>
    <s v=""/>
    <s v=""/>
    <s v=""/>
    <s v=""/>
    <s v=""/>
    <s v=""/>
    <s v=""/>
    <s v=""/>
    <s v=""/>
    <s v=""/>
    <s v=""/>
    <x v="4"/>
    <n v="0"/>
    <n v="0"/>
    <s v=""/>
    <x v="0"/>
    <n v="-3.8999999999999993E-2"/>
    <s v=""/>
    <x v="0"/>
  </r>
  <r>
    <x v="2"/>
    <s v="03"/>
    <s v="00 - Non-Divisional"/>
    <s v="00"/>
    <s v="PS other - Purchased services - other"/>
    <s v="4560-000"/>
    <s v="Dues &amp; subs Services"/>
    <n v="0"/>
    <n v="0"/>
    <n v="0"/>
    <n v="0"/>
    <n v="0"/>
    <n v="0"/>
    <n v="0"/>
    <n v="650"/>
    <n v="650"/>
    <n v="650"/>
    <n v="264"/>
    <n v="650"/>
    <n v="386"/>
    <s v=""/>
    <s v=""/>
    <s v=""/>
    <s v=""/>
    <s v=""/>
    <s v=""/>
    <s v=""/>
    <s v=""/>
    <s v=""/>
    <s v=""/>
    <s v=""/>
    <s v=""/>
    <s v=""/>
    <s v=""/>
    <s v=""/>
    <s v=""/>
    <s v=""/>
    <s v=""/>
    <x v="15"/>
    <n v="0"/>
    <n v="0"/>
    <s v=""/>
    <x v="0"/>
    <n v="-3.8999999999999993E-2"/>
    <s v=""/>
    <x v="0"/>
  </r>
  <r>
    <x v="2"/>
    <s v="03"/>
    <s v="00 - Non-Divisional"/>
    <s v="00"/>
    <s v="PS other - Purchased services - other"/>
    <s v="4570-000"/>
    <s v="Sem &amp; workshops Services"/>
    <n v="0"/>
    <n v="0"/>
    <n v="0"/>
    <n v="0"/>
    <n v="0"/>
    <n v="0"/>
    <n v="0"/>
    <n v="400"/>
    <n v="400"/>
    <n v="400"/>
    <n v="0"/>
    <n v="400"/>
    <n v="400"/>
    <s v=""/>
    <s v=""/>
    <s v=""/>
    <s v=""/>
    <s v=""/>
    <s v=""/>
    <s v=""/>
    <s v=""/>
    <s v=""/>
    <s v=""/>
    <s v=""/>
    <s v=""/>
    <s v=""/>
    <s v=""/>
    <s v=""/>
    <s v=""/>
    <s v=""/>
    <s v=""/>
    <x v="5"/>
    <n v="0"/>
    <n v="0"/>
    <s v=""/>
    <x v="0"/>
    <n v="-3.8999999999999993E-2"/>
    <s v=""/>
    <x v="0"/>
  </r>
  <r>
    <x v="2"/>
    <s v="03"/>
    <s v="00 - Non-Divisional"/>
    <s v="00"/>
    <s v="PS other - Purchased services - other"/>
    <s v="4575-000"/>
    <s v="Travel &amp; mileage Services"/>
    <n v="0"/>
    <n v="0"/>
    <n v="0"/>
    <n v="0"/>
    <n v="0"/>
    <n v="0"/>
    <n v="0"/>
    <n v="200"/>
    <n v="200"/>
    <n v="200"/>
    <n v="0"/>
    <n v="200"/>
    <n v="200"/>
    <s v=""/>
    <s v=""/>
    <s v=""/>
    <s v=""/>
    <s v=""/>
    <s v=""/>
    <s v=""/>
    <s v=""/>
    <s v=""/>
    <s v=""/>
    <s v=""/>
    <s v=""/>
    <s v=""/>
    <s v=""/>
    <s v=""/>
    <s v=""/>
    <s v=""/>
    <s v=""/>
    <x v="6"/>
    <n v="0"/>
    <n v="0"/>
    <s v=""/>
    <x v="0"/>
    <n v="-3.8999999999999993E-2"/>
    <s v=""/>
    <x v="0"/>
  </r>
  <r>
    <x v="2"/>
    <s v="03"/>
    <s v="00 - Non-Divisional"/>
    <s v="00"/>
    <s v="Supplies - Supplies"/>
    <s v="4620-000"/>
    <s v="Office supplies Supplies"/>
    <n v="0"/>
    <n v="0"/>
    <n v="0"/>
    <n v="0"/>
    <n v="0"/>
    <n v="0"/>
    <n v="0"/>
    <n v="500"/>
    <n v="500"/>
    <n v="500"/>
    <n v="0"/>
    <n v="500"/>
    <n v="500"/>
    <s v=""/>
    <s v=""/>
    <s v=""/>
    <s v=""/>
    <s v=""/>
    <s v=""/>
    <s v=""/>
    <s v=""/>
    <s v=""/>
    <s v=""/>
    <s v=""/>
    <s v=""/>
    <s v=""/>
    <s v=""/>
    <s v=""/>
    <s v=""/>
    <s v=""/>
    <s v=""/>
    <x v="16"/>
    <n v="0"/>
    <n v="0"/>
    <s v=""/>
    <x v="0"/>
    <n v="-3.8999999999999993E-2"/>
    <s v=""/>
    <x v="0"/>
  </r>
  <r>
    <x v="2"/>
    <s v="03"/>
    <s v="00 - Non-Divisional"/>
    <s v="00"/>
    <s v="Supplies - Supplies"/>
    <s v="4625-000"/>
    <s v="Postage Supplies"/>
    <n v="0"/>
    <n v="0"/>
    <n v="0"/>
    <n v="0"/>
    <n v="0"/>
    <n v="0"/>
    <n v="0"/>
    <n v="0"/>
    <n v="0"/>
    <n v="0"/>
    <n v="0"/>
    <n v="0"/>
    <n v="0"/>
    <s v=""/>
    <s v=""/>
    <s v=""/>
    <s v=""/>
    <s v=""/>
    <s v=""/>
    <s v=""/>
    <s v=""/>
    <s v=""/>
    <s v=""/>
    <s v=""/>
    <s v=""/>
    <s v=""/>
    <s v=""/>
    <s v=""/>
    <s v=""/>
    <s v=""/>
    <s v=""/>
    <x v="17"/>
    <n v="0"/>
    <n v="0"/>
    <s v=""/>
    <x v="0"/>
    <n v="-3.8999999999999993E-2"/>
    <s v=""/>
    <x v="0"/>
  </r>
  <r>
    <x v="2"/>
    <s v="03"/>
    <s v="00 - Non-Divisional"/>
    <s v="00"/>
    <s v="Supplies - Supplies"/>
    <s v="4670-000"/>
    <s v="Books &amp; periodicals Supplies"/>
    <n v="0"/>
    <n v="0"/>
    <n v="0"/>
    <n v="0"/>
    <n v="0"/>
    <n v="0"/>
    <n v="0"/>
    <n v="0"/>
    <n v="0"/>
    <n v="0"/>
    <n v="0"/>
    <n v="0"/>
    <n v="0"/>
    <s v=""/>
    <s v=""/>
    <s v=""/>
    <s v=""/>
    <s v=""/>
    <s v=""/>
    <s v=""/>
    <s v=""/>
    <s v=""/>
    <s v=""/>
    <s v=""/>
    <s v=""/>
    <s v=""/>
    <s v=""/>
    <s v=""/>
    <s v=""/>
    <s v=""/>
    <s v=""/>
    <x v="18"/>
    <n v="0"/>
    <n v="0"/>
    <s v=""/>
    <x v="0"/>
    <n v="-3.8999999999999993E-2"/>
    <s v=""/>
    <x v="0"/>
  </r>
  <r>
    <x v="2"/>
    <s v="03"/>
    <s v="00 - Non-Divisional"/>
    <s v="00"/>
    <s v="Property - Property"/>
    <s v="4750-000"/>
    <s v="Furniture &amp; fixures Property"/>
    <n v="0"/>
    <n v="0"/>
    <n v="0"/>
    <n v="0"/>
    <n v="0"/>
    <n v="0"/>
    <n v="0"/>
    <n v="0"/>
    <n v="0"/>
    <n v="0"/>
    <n v="0"/>
    <n v="0"/>
    <n v="0"/>
    <s v=""/>
    <s v=""/>
    <s v=""/>
    <s v=""/>
    <s v=""/>
    <s v=""/>
    <s v=""/>
    <s v=""/>
    <s v=""/>
    <s v=""/>
    <s v=""/>
    <s v=""/>
    <s v=""/>
    <s v=""/>
    <s v=""/>
    <s v=""/>
    <s v=""/>
    <s v=""/>
    <x v="19"/>
    <n v="0"/>
    <n v="0"/>
    <s v=""/>
    <x v="0"/>
    <n v="-3.8999999999999993E-2"/>
    <s v=""/>
    <x v="0"/>
  </r>
  <r>
    <x v="2"/>
    <s v="03"/>
    <s v="44 - Personnel Administration"/>
    <s v="44"/>
    <s v="PS Benefits - Personnel services - benefits"/>
    <s v="4210-000"/>
    <s v="Health Ins Benefits"/>
    <n v="0"/>
    <n v="0"/>
    <n v="0"/>
    <n v="0"/>
    <n v="0"/>
    <n v="0"/>
    <n v="0"/>
    <n v="0"/>
    <n v="0"/>
    <n v="0"/>
    <n v="0"/>
    <n v="0"/>
    <n v="0"/>
    <s v=""/>
    <s v=""/>
    <s v=""/>
    <s v=""/>
    <s v=""/>
    <s v=""/>
    <s v=""/>
    <s v=""/>
    <s v=""/>
    <s v=""/>
    <s v=""/>
    <s v=""/>
    <s v=""/>
    <s v=""/>
    <s v=""/>
    <s v=""/>
    <s v=""/>
    <s v=""/>
    <x v="20"/>
    <n v="0"/>
    <n v="0"/>
    <s v=""/>
    <x v="0"/>
    <n v="-3.8999999999999993E-2"/>
    <s v=""/>
    <x v="0"/>
  </r>
  <r>
    <x v="2"/>
    <s v="03"/>
    <s v="44 - Personnel Administration"/>
    <s v="44"/>
    <s v="PS Benefits - Personnel services - benefits"/>
    <s v="4240-000"/>
    <s v="Tuition reimbursement Benefits"/>
    <n v="0"/>
    <n v="0"/>
    <n v="0"/>
    <n v="0"/>
    <n v="0"/>
    <n v="0"/>
    <n v="0"/>
    <n v="21500"/>
    <n v="21500"/>
    <n v="21500"/>
    <n v="21500"/>
    <n v="21500"/>
    <n v="0"/>
    <s v=""/>
    <s v=""/>
    <s v=""/>
    <s v=""/>
    <s v=""/>
    <s v=""/>
    <s v=""/>
    <s v=""/>
    <s v=""/>
    <s v=""/>
    <s v=""/>
    <s v=""/>
    <s v=""/>
    <s v=""/>
    <s v=""/>
    <s v=""/>
    <s v=""/>
    <s v=""/>
    <x v="21"/>
    <n v="0"/>
    <n v="0"/>
    <s v=""/>
    <x v="0"/>
    <n v="-3.8999999999999993E-2"/>
    <s v=""/>
    <x v="0"/>
  </r>
  <r>
    <x v="2"/>
    <s v="03"/>
    <s v="44 - Personnel Administration"/>
    <s v="44"/>
    <s v="PS prof - Purchased services - professional &amp; technical"/>
    <s v="4330-001"/>
    <s v="Employee Programs"/>
    <n v="0"/>
    <n v="0"/>
    <n v="0"/>
    <n v="0"/>
    <n v="0"/>
    <n v="0"/>
    <n v="0"/>
    <n v="7500"/>
    <n v="7500"/>
    <n v="7500"/>
    <n v="0"/>
    <n v="7500"/>
    <n v="7500"/>
    <s v=""/>
    <s v=""/>
    <s v=""/>
    <s v=""/>
    <s v=""/>
    <s v=""/>
    <s v=""/>
    <s v=""/>
    <s v=""/>
    <s v=""/>
    <s v=""/>
    <s v=""/>
    <s v=""/>
    <s v=""/>
    <s v=""/>
    <s v=""/>
    <s v=""/>
    <s v=""/>
    <x v="22"/>
    <n v="0"/>
    <n v="0"/>
    <s v=""/>
    <x v="0"/>
    <n v="-3.8999999999999993E-2"/>
    <s v=""/>
    <x v="0"/>
  </r>
  <r>
    <x v="3"/>
    <s v="04"/>
    <s v="00 - Non-Divisional"/>
    <s v="00"/>
    <s v="Supplies - Supplies"/>
    <s v="4610-000"/>
    <s v="General expenses Supplies"/>
    <n v="1"/>
    <n v="0"/>
    <n v="1"/>
    <n v="0"/>
    <n v="100"/>
    <n v="0"/>
    <n v="1"/>
    <n v="1"/>
    <n v="1"/>
    <n v="1"/>
    <n v="1"/>
    <n v="0"/>
    <n v="0"/>
    <n v="0"/>
    <n v="-1"/>
    <n v="-1"/>
    <n v="-1"/>
    <n v="0"/>
    <s v=""/>
    <n v="99"/>
    <s v=""/>
    <n v="-0.99"/>
    <n v="0"/>
    <n v="0"/>
    <n v="0"/>
    <n v="0"/>
    <n v="0"/>
    <n v="0"/>
    <n v="0"/>
    <n v="0"/>
    <n v="0"/>
    <x v="8"/>
    <n v="32.67"/>
    <n v="-32.67"/>
    <s v=""/>
    <x v="0"/>
    <n v="-3.8999999999999993E-2"/>
    <s v=""/>
    <x v="0"/>
  </r>
  <r>
    <x v="4"/>
    <s v="05"/>
    <s v="00 - Non-Divisional"/>
    <s v="00"/>
    <s v="PS Salaries - Personnel services - salaries"/>
    <s v="4110-000"/>
    <s v="Regular Salaries"/>
    <n v="213289"/>
    <n v="213415.39"/>
    <n v="228883"/>
    <n v="268865.45"/>
    <n v="287491"/>
    <n v="286475.01"/>
    <n v="303205"/>
    <n v="324085"/>
    <n v="324085"/>
    <n v="324085"/>
    <n v="324085"/>
    <n v="20880"/>
    <n v="0"/>
    <n v="6.8864299731204962E-2"/>
    <n v="5.9257626975612416E-4"/>
    <n v="0.17468510112153376"/>
    <n v="-3.5339888900869617E-3"/>
    <n v="7.31120686017563E-2"/>
    <n v="0.25982221806965278"/>
    <n v="0.25606095690811465"/>
    <n v="6.5495808405282255E-2"/>
    <n v="5.4659102371900338E-2"/>
    <n v="0.42156885727815313"/>
    <n v="6.8864299731204962E-2"/>
    <n v="6.8864299731204962E-2"/>
    <n v="6.8864299731204962E-2"/>
    <n v="6.8864299731204962E-2"/>
    <n v="0.51946420115430236"/>
    <n v="0.51946420115430236"/>
    <n v="0.51946420115430236"/>
    <n v="0.51946420115430236"/>
    <x v="10"/>
    <n v="0.12794404262725709"/>
    <n v="-5.9079742896052126E-2"/>
    <s v=""/>
    <x v="0"/>
    <n v="2.9864299731204969E-2"/>
    <s v=""/>
    <x v="0"/>
  </r>
  <r>
    <x v="4"/>
    <s v="05"/>
    <s v="00 - Non-Divisional"/>
    <s v="00"/>
    <s v="PS Salaries - Personnel services - salaries"/>
    <s v="4120-000"/>
    <s v="Part-time Salaries"/>
    <n v="65660"/>
    <n v="65994.070000000007"/>
    <n v="64976"/>
    <n v="44881.8"/>
    <n v="36579"/>
    <n v="35740.15"/>
    <n v="38109"/>
    <n v="40365"/>
    <n v="40365"/>
    <n v="40365"/>
    <n v="40365"/>
    <n v="2256"/>
    <n v="0"/>
    <n v="5.9198614500511691E-2"/>
    <n v="5.087876941821611E-3"/>
    <n v="-0.30925572519083966"/>
    <n v="-2.2932556931572722E-2"/>
    <n v="-1.0417301248857752E-2"/>
    <n v="-0.31991162236243348"/>
    <n v="-0.43703829106131492"/>
    <n v="-0.2036827845585516"/>
    <n v="4.1827277946362665E-2"/>
    <n v="-0.41960097471824553"/>
    <n v="5.9198614500511691E-2"/>
    <n v="5.9198614500511691E-2"/>
    <n v="5.9198614500511691E-2"/>
    <n v="5.9198614500511691E-2"/>
    <n v="-0.3852421565641182"/>
    <n v="-0.3852421565641182"/>
    <n v="-0.3852421565641182"/>
    <n v="-0.3852421565641182"/>
    <x v="11"/>
    <n v="-0.13520943812127001"/>
    <n v="0.19440805262178171"/>
    <s v=""/>
    <x v="0"/>
    <n v="2.0198614500511698E-2"/>
    <s v=""/>
    <x v="0"/>
  </r>
  <r>
    <x v="4"/>
    <s v="05"/>
    <s v="00 - Non-Divisional"/>
    <s v="00"/>
    <s v="PS Salaries - Personnel services - salaries"/>
    <s v="4130-000"/>
    <s v="Elected Salaries"/>
    <n v="71764"/>
    <n v="71880.08"/>
    <n v="73576"/>
    <n v="71780.800000000003"/>
    <n v="71781"/>
    <n v="72056.88"/>
    <n v="71781"/>
    <n v="0"/>
    <n v="0"/>
    <n v="0"/>
    <n v="0"/>
    <n v="-71781"/>
    <n v="0"/>
    <n v="-1"/>
    <n v="1.6175241067945174E-3"/>
    <n v="-2.4399260628465765E-2"/>
    <n v="3.8433568771681177E-3"/>
    <n v="2.5249428682905077E-2"/>
    <n v="-1.3811893364614903E-3"/>
    <n v="-2.4396542350766555E-2"/>
    <n v="3.8461538461538702E-3"/>
    <n v="0"/>
    <n v="2.3688757594336992E-4"/>
    <n v="-1"/>
    <n v="-1"/>
    <n v="-1"/>
    <n v="-1"/>
    <n v="-1"/>
    <n v="-1"/>
    <n v="-1"/>
    <n v="-1"/>
    <x v="0"/>
    <n v="2.8429544404617407E-4"/>
    <n v="-1.0002842954440461"/>
    <s v=""/>
    <x v="0"/>
    <n v="-1.0389999999999999"/>
    <s v=""/>
    <x v="0"/>
  </r>
  <r>
    <x v="4"/>
    <s v="05"/>
    <s v="00 - Non-Divisional"/>
    <s v="00"/>
    <s v="PS Salaries - Personnel services - salaries"/>
    <s v="4140-000"/>
    <s v="Overtime Salaries"/>
    <n v="1600"/>
    <n v="4383.45"/>
    <n v="1600"/>
    <n v="6038.84"/>
    <n v="4100"/>
    <n v="6292.94"/>
    <n v="6500"/>
    <n v="6500"/>
    <n v="6500"/>
    <n v="6500"/>
    <n v="6500"/>
    <n v="0"/>
    <n v="0"/>
    <n v="0"/>
    <n v="1.7396562499999999"/>
    <n v="2.7742750000000003"/>
    <n v="0.53486341463414622"/>
    <n v="0"/>
    <n v="0.37764546190785808"/>
    <n v="1.5625"/>
    <n v="4.2077617555689409E-2"/>
    <n v="0.58536585365853655"/>
    <n v="3.0625"/>
    <n v="0"/>
    <n v="0"/>
    <n v="0"/>
    <n v="0"/>
    <n v="3.0625"/>
    <n v="3.0625"/>
    <n v="3.0625"/>
    <n v="3.0625"/>
    <x v="12"/>
    <n v="0.71595528455284552"/>
    <n v="-0.71595528455284552"/>
    <s v=""/>
    <x v="0"/>
    <n v="-3.8999999999999993E-2"/>
    <s v=""/>
    <x v="0"/>
  </r>
  <r>
    <x v="4"/>
    <s v="05"/>
    <s v="00 - Non-Divisional"/>
    <s v="00"/>
    <s v="PS Benefits - Personnel services - benefits"/>
    <s v="4215-000"/>
    <s v="STD, LTD, &amp; Life  Benefits"/>
    <n v="2855"/>
    <n v="3314.68"/>
    <n v="3162"/>
    <n v="3640.16"/>
    <n v="4892"/>
    <n v="3155.52"/>
    <n v="2900"/>
    <n v="3093"/>
    <n v="3093"/>
    <n v="3093"/>
    <n v="3093"/>
    <n v="193"/>
    <n v="0"/>
    <n v="6.6551724137931034E-2"/>
    <n v="0.1610087565674255"/>
    <n v="0.15122074636306132"/>
    <n v="-0.35496320523303354"/>
    <n v="0.10753064798598949"/>
    <n v="9.8193490774373407E-2"/>
    <n v="0.54712207463630613"/>
    <n v="-0.1331370049668146"/>
    <n v="-0.40719542109566642"/>
    <n v="1.5761821366024518E-2"/>
    <n v="6.6551724137931034E-2"/>
    <n v="6.6551724137931034E-2"/>
    <n v="6.6551724137931034E-2"/>
    <n v="6.6551724137931034E-2"/>
    <n v="8.3362521891418559E-2"/>
    <n v="8.3362521891418559E-2"/>
    <n v="8.3362521891418559E-2"/>
    <n v="8.3362521891418559E-2"/>
    <x v="13"/>
    <n v="8.2485767175543054E-2"/>
    <n v="-1.593404303761202E-2"/>
    <s v=""/>
    <x v="0"/>
    <n v="2.7551724137931041E-2"/>
    <s v=""/>
    <x v="0"/>
  </r>
  <r>
    <x v="4"/>
    <s v="05"/>
    <s v="00 - Non-Divisional"/>
    <s v="00"/>
    <s v="PS Benefits - Personnel services - benefits"/>
    <s v="4220-000"/>
    <s v="FICA Benefits"/>
    <n v="21828"/>
    <n v="21781.77"/>
    <n v="22569"/>
    <n v="23744.32"/>
    <n v="24909"/>
    <n v="24392.34"/>
    <n v="26052"/>
    <n v="22999"/>
    <n v="22999"/>
    <n v="22999"/>
    <n v="22999"/>
    <n v="-3053"/>
    <n v="0"/>
    <n v="-0.11718869952402887"/>
    <n v="-2.1179219351291721E-3"/>
    <n v="5.207674243431254E-2"/>
    <n v="-2.0741900517885097E-2"/>
    <n v="3.3947223749312812E-2"/>
    <n v="9.0100574930320143E-2"/>
    <n v="0.10368204173866809"/>
    <n v="2.7291579628306913E-2"/>
    <n v="4.5887028784776587E-2"/>
    <n v="0.19351291918636612"/>
    <n v="-0.11718869952402887"/>
    <n v="-0.11718869952402887"/>
    <n v="-0.11718869952402887"/>
    <n v="-0.11718869952402887"/>
    <n v="5.3646692321788529E-2"/>
    <n v="5.3646692321788529E-2"/>
    <n v="5.3646692321788529E-2"/>
    <n v="5.3646692321788529E-2"/>
    <x v="1"/>
    <n v="6.1172098090919169E-2"/>
    <n v="-0.17836079761494805"/>
    <s v=""/>
    <x v="0"/>
    <n v="-0.15618869952402886"/>
    <s v=""/>
    <x v="0"/>
  </r>
  <r>
    <x v="4"/>
    <s v="05"/>
    <s v="00 - Non-Divisional"/>
    <s v="00"/>
    <s v="PS Benefits - Personnel services - benefits"/>
    <s v="4225-000"/>
    <s v="Medicare Benefits"/>
    <n v="5105"/>
    <n v="5094.17"/>
    <n v="5279"/>
    <n v="5553.08"/>
    <n v="5827"/>
    <n v="5704.64"/>
    <n v="6086"/>
    <n v="5379"/>
    <n v="5379"/>
    <n v="5379"/>
    <n v="5379"/>
    <n v="-707"/>
    <n v="0"/>
    <n v="-0.11616825501150181"/>
    <n v="-2.1214495592556176E-3"/>
    <n v="5.191892403864367E-2"/>
    <n v="-2.0998798695726732E-2"/>
    <n v="3.4084231145935361E-2"/>
    <n v="9.0085332841267532E-2"/>
    <n v="0.10380753930668687"/>
    <n v="2.7292961743753088E-2"/>
    <n v="4.4448258108803845E-2"/>
    <n v="0.1921645445641528"/>
    <n v="-0.11616825501150181"/>
    <n v="-0.11616825501150181"/>
    <n v="-0.11616825501150181"/>
    <n v="-0.11616825501150181"/>
    <n v="5.367286973555338E-2"/>
    <n v="5.367286973555338E-2"/>
    <n v="5.367286973555338E-2"/>
    <n v="5.367286973555338E-2"/>
    <x v="2"/>
    <n v="6.078000952047536E-2"/>
    <n v="-0.17694826453197718"/>
    <s v=""/>
    <x v="0"/>
    <n v="-0.1551682550115018"/>
    <s v=""/>
    <x v="0"/>
  </r>
  <r>
    <x v="4"/>
    <s v="05"/>
    <s v="00 - Non-Divisional"/>
    <s v="00"/>
    <s v="PS Benefits - Personnel services - benefits"/>
    <s v="4230-000"/>
    <s v="Retirement Benefits"/>
    <n v="30213"/>
    <n v="30552.12"/>
    <n v="30504"/>
    <n v="36374.129999999997"/>
    <n v="39453"/>
    <n v="39850.339999999997"/>
    <n v="39539"/>
    <n v="42201"/>
    <n v="42201"/>
    <n v="42201"/>
    <n v="42201"/>
    <n v="2662"/>
    <n v="0"/>
    <n v="6.7325931358911448E-2"/>
    <n v="1.1224307417336874E-2"/>
    <n v="0.19243804091266711"/>
    <n v="1.007122398803631E-2"/>
    <n v="9.6316155297388548E-3"/>
    <n v="0.1905599349570504"/>
    <n v="0.29337136113296619"/>
    <n v="9.5568196407721628E-2"/>
    <n v="2.1798088865232048E-3"/>
    <n v="0.30867507364379571"/>
    <n v="6.7325931358911448E-2"/>
    <n v="6.7325931358911448E-2"/>
    <n v="6.7325931358911448E-2"/>
    <n v="6.7325931358911448E-2"/>
    <n v="0.39678284182305629"/>
    <n v="0.39678284182305629"/>
    <n v="0.39678284182305629"/>
    <n v="0.39678284182305629"/>
    <x v="14"/>
    <n v="0.10172759518307607"/>
    <n v="-3.4401663824164624E-2"/>
    <s v=""/>
    <x v="0"/>
    <n v="2.8325931358911455E-2"/>
    <s v=""/>
    <x v="0"/>
  </r>
  <r>
    <x v="4"/>
    <s v="05"/>
    <s v="00 - Non-Divisional"/>
    <s v="00"/>
    <s v="PS Benefits - Personnel services - benefits"/>
    <s v="4260-000"/>
    <s v="Workers' comp Benefits"/>
    <n v="556"/>
    <n v="528.61"/>
    <n v="586"/>
    <n v="625.78"/>
    <n v="701"/>
    <n v="701.27"/>
    <n v="829"/>
    <n v="699"/>
    <n v="699"/>
    <n v="699"/>
    <n v="699"/>
    <n v="-130"/>
    <n v="0"/>
    <n v="-0.15681544028950542"/>
    <n v="-4.9262589928057529E-2"/>
    <n v="6.7883959044368558E-2"/>
    <n v="3.8516405135518092E-4"/>
    <n v="5.3956834532374098E-2"/>
    <n v="0.18382172111764808"/>
    <n v="0.19624573378839591"/>
    <n v="0.12063344945508007"/>
    <n v="0.18259629101283881"/>
    <n v="0.49100719424460432"/>
    <n v="-0.15681544028950542"/>
    <n v="-0.15681544028950542"/>
    <n v="-0.15681544028950542"/>
    <n v="-0.15681544028950542"/>
    <n v="0.25719424460431656"/>
    <n v="0.25719424460431656"/>
    <n v="0.25719424460431656"/>
    <n v="0.25719424460431656"/>
    <x v="3"/>
    <n v="0.14426628644453629"/>
    <n v="-0.30108172673404171"/>
    <s v=""/>
    <x v="0"/>
    <n v="-0.19581544028950543"/>
    <s v=""/>
    <x v="0"/>
  </r>
  <r>
    <x v="4"/>
    <s v="05"/>
    <s v="00 - Non-Divisional"/>
    <s v="00"/>
    <s v="PS prof - Purchased services - professional &amp; technical"/>
    <s v="4321-000"/>
    <s v="Redemptions Services"/>
    <n v="748"/>
    <n v="2.6"/>
    <n v="748"/>
    <n v="0"/>
    <n v="748"/>
    <n v="1570.51"/>
    <n v="748"/>
    <n v="1500"/>
    <n v="1500"/>
    <n v="1500"/>
    <n v="748"/>
    <n v="752"/>
    <n v="752"/>
    <n v="1.0053475935828877"/>
    <n v="-0.99652406417112294"/>
    <n v="-1"/>
    <n v="1.0996122994652406"/>
    <n v="0"/>
    <n v="-1"/>
    <n v="0"/>
    <s v=""/>
    <n v="0"/>
    <n v="0"/>
    <n v="1.0053475935828877"/>
    <n v="1.0053475935828877"/>
    <n v="1.0053475935828877"/>
    <n v="0"/>
    <n v="1.0053475935828877"/>
    <n v="1.0053475935828877"/>
    <n v="1.0053475935828877"/>
    <n v="0"/>
    <x v="23"/>
    <n v="0"/>
    <n v="1.0053475935828877"/>
    <n v="748"/>
    <x v="5"/>
    <n v="0.96634759358288769"/>
    <n v="777.17199999999991"/>
    <x v="6"/>
  </r>
  <r>
    <x v="4"/>
    <s v="05"/>
    <s v="00 - Non-Divisional"/>
    <s v="00"/>
    <s v="PS prof - Purchased services - professional &amp; technical"/>
    <s v="4330-000"/>
    <s v="MGMT services Services"/>
    <n v="19671"/>
    <n v="24394.79"/>
    <n v="19671"/>
    <n v="23609.3"/>
    <n v="19671"/>
    <n v="23567.79"/>
    <n v="6695"/>
    <n v="4000"/>
    <n v="4000"/>
    <n v="4000"/>
    <n v="6695"/>
    <n v="-2695"/>
    <n v="-2695"/>
    <n v="-0.40253920836445106"/>
    <n v="0.24013979970514976"/>
    <n v="0.20020842865131408"/>
    <n v="0.19809821564739977"/>
    <n v="0"/>
    <n v="-3.2199088411910971E-2"/>
    <n v="0"/>
    <n v="-1.7582054529358515E-3"/>
    <n v="-0.65965126328097201"/>
    <n v="-0.65965126328097201"/>
    <n v="-0.40253920836445106"/>
    <n v="-0.40253920836445106"/>
    <n v="-0.40253920836445106"/>
    <n v="0"/>
    <n v="-0.7966549743276905"/>
    <n v="-0.7966549743276905"/>
    <n v="-0.7966549743276905"/>
    <n v="-0.65965126328097201"/>
    <x v="7"/>
    <n v="-0.21988375442699068"/>
    <n v="-0.18265545393746038"/>
    <s v=""/>
    <x v="0"/>
    <n v="-0.44153920836445104"/>
    <s v=""/>
    <x v="0"/>
  </r>
  <r>
    <x v="4"/>
    <s v="05"/>
    <s v="00 - Non-Divisional"/>
    <s v="00"/>
    <s v="PS other - Purchased services - other"/>
    <s v="4550-000"/>
    <s v="Printing Services"/>
    <n v="0"/>
    <n v="0"/>
    <n v="0"/>
    <n v="0"/>
    <n v="0"/>
    <n v="0"/>
    <n v="0"/>
    <n v="18416"/>
    <n v="18416"/>
    <n v="18416"/>
    <n v="0"/>
    <n v="18416"/>
    <n v="18416"/>
    <s v=""/>
    <s v=""/>
    <s v=""/>
    <s v=""/>
    <s v=""/>
    <s v=""/>
    <s v=""/>
    <s v=""/>
    <s v=""/>
    <s v=""/>
    <s v=""/>
    <s v=""/>
    <s v=""/>
    <s v=""/>
    <s v=""/>
    <s v=""/>
    <s v=""/>
    <s v=""/>
    <x v="4"/>
    <n v="0"/>
    <n v="0"/>
    <s v=""/>
    <x v="0"/>
    <n v="-3.8999999999999993E-2"/>
    <s v=""/>
    <x v="0"/>
  </r>
  <r>
    <x v="4"/>
    <s v="05"/>
    <s v="00 - Non-Divisional"/>
    <s v="00"/>
    <s v="PS other - Purchased services - other"/>
    <s v="4560-000"/>
    <s v="Dues &amp; subs Services"/>
    <n v="595"/>
    <n v="20"/>
    <n v="595"/>
    <n v="0"/>
    <n v="595"/>
    <n v="140"/>
    <n v="350"/>
    <n v="250"/>
    <n v="250"/>
    <n v="250"/>
    <n v="350"/>
    <n v="-100"/>
    <n v="-100"/>
    <n v="-0.2857142857142857"/>
    <n v="-0.96638655462184875"/>
    <n v="-1"/>
    <n v="-0.76470588235294112"/>
    <n v="0"/>
    <n v="-1"/>
    <n v="0"/>
    <s v=""/>
    <n v="-0.41176470588235292"/>
    <n v="-0.41176470588235292"/>
    <n v="-0.2857142857142857"/>
    <n v="-0.2857142857142857"/>
    <n v="-0.2857142857142857"/>
    <n v="0"/>
    <n v="-0.57983193277310929"/>
    <n v="-0.57983193277310929"/>
    <n v="-0.57983193277310929"/>
    <n v="-0.41176470588235292"/>
    <x v="15"/>
    <n v="-0.1372549019607843"/>
    <n v="-0.1484593837535014"/>
    <s v=""/>
    <x v="0"/>
    <n v="-0.32471428571428568"/>
    <s v=""/>
    <x v="0"/>
  </r>
  <r>
    <x v="4"/>
    <s v="05"/>
    <s v="00 - Non-Divisional"/>
    <s v="00"/>
    <s v="PS other - Purchased services - other"/>
    <s v="4570-000"/>
    <s v="Sem &amp; workshops Services"/>
    <n v="1285"/>
    <n v="1147.1099999999999"/>
    <n v="1285"/>
    <n v="1896"/>
    <n v="1285"/>
    <n v="1533"/>
    <n v="1585"/>
    <n v="4165"/>
    <n v="4165"/>
    <n v="4165"/>
    <n v="1585"/>
    <n v="2580"/>
    <n v="2580"/>
    <n v="1.6277602523659307"/>
    <n v="-0.10730739299610903"/>
    <n v="0.47548638132295717"/>
    <n v="0.19299610894941635"/>
    <n v="0"/>
    <n v="0.65284933441431092"/>
    <n v="0"/>
    <n v="-0.19145569620253164"/>
    <n v="0.23346303501945526"/>
    <n v="0.23346303501945526"/>
    <n v="1.6277602523659307"/>
    <n v="1.6277602523659307"/>
    <n v="1.6277602523659307"/>
    <n v="0"/>
    <n v="2.2412451361867705"/>
    <n v="2.2412451361867705"/>
    <n v="2.2412451361867705"/>
    <n v="0.23346303501945526"/>
    <x v="5"/>
    <n v="7.7821011673151752E-2"/>
    <n v="1.549939240692779"/>
    <n v="1708.3463035019454"/>
    <x v="6"/>
    <n v="1.5887602523659308"/>
    <n v="1646.8149999999998"/>
    <x v="7"/>
  </r>
  <r>
    <x v="4"/>
    <s v="05"/>
    <s v="00 - Non-Divisional"/>
    <s v="00"/>
    <s v="PS other - Purchased services - other"/>
    <s v="4575-000"/>
    <s v="Travel &amp; mileage Services"/>
    <n v="3066"/>
    <n v="884.74"/>
    <n v="3066"/>
    <n v="1759.52"/>
    <n v="3066"/>
    <n v="1033.0999999999999"/>
    <n v="2316"/>
    <n v="1725"/>
    <n v="1725"/>
    <n v="1725"/>
    <n v="2316"/>
    <n v="-591"/>
    <n v="-591"/>
    <n v="-0.25518134715025909"/>
    <n v="-0.71143509458577958"/>
    <n v="-0.42611872146118723"/>
    <n v="-0.66304631441617745"/>
    <n v="0"/>
    <n v="0.98874245541062911"/>
    <n v="0"/>
    <n v="-0.41285123215422392"/>
    <n v="-0.2446183953033268"/>
    <n v="-0.2446183953033268"/>
    <n v="-0.25518134715025909"/>
    <n v="-0.25518134715025909"/>
    <n v="-0.25518134715025909"/>
    <n v="0"/>
    <n v="-0.43737769080234834"/>
    <n v="-0.43737769080234834"/>
    <n v="-0.43737769080234834"/>
    <n v="-0.2446183953033268"/>
    <x v="6"/>
    <n v="-8.1539465101108932E-2"/>
    <n v="-0.17364188204915015"/>
    <s v=""/>
    <x v="0"/>
    <n v="-0.29418134715025906"/>
    <s v=""/>
    <x v="0"/>
  </r>
  <r>
    <x v="4"/>
    <s v="05"/>
    <s v="00 - Non-Divisional"/>
    <s v="00"/>
    <s v="Supplies - Supplies"/>
    <s v="4620-000"/>
    <s v="Office supplies Supplies"/>
    <n v="7727"/>
    <n v="5766.14"/>
    <n v="7000"/>
    <n v="5850.16"/>
    <n v="7000"/>
    <n v="5313.11"/>
    <n v="7000"/>
    <n v="9864"/>
    <n v="9864"/>
    <n v="9864"/>
    <n v="7000"/>
    <n v="2864"/>
    <n v="2864"/>
    <n v="0.40914285714285714"/>
    <n v="-0.25376730943445058"/>
    <n v="-0.16426285714285715"/>
    <n v="-0.24098428571428576"/>
    <n v="-9.408567361200984E-2"/>
    <n v="1.4571272983312844E-2"/>
    <n v="0"/>
    <n v="-9.1800908009353629E-2"/>
    <n v="0"/>
    <n v="-9.408567361200984E-2"/>
    <n v="0.40914285714285714"/>
    <n v="0.40914285714285714"/>
    <n v="0.40914285714285714"/>
    <n v="0"/>
    <n v="0.27656270221301926"/>
    <n v="0.27656270221301926"/>
    <n v="0.27656270221301926"/>
    <n v="-9.408567361200984E-2"/>
    <x v="16"/>
    <n v="-3.1361891204003282E-2"/>
    <n v="0.44050474834686043"/>
    <n v="6780.4667615719773"/>
    <x v="7"/>
    <n v="0.37014285714285716"/>
    <n v="7272.9999999999991"/>
    <x v="8"/>
  </r>
  <r>
    <x v="4"/>
    <s v="05"/>
    <s v="00 - Non-Divisional"/>
    <s v="00"/>
    <s v="Supplies - Supplies"/>
    <s v="4625-000"/>
    <s v="Postage Supplies"/>
    <n v="31460"/>
    <n v="29811.65"/>
    <n v="31460"/>
    <n v="30731.94"/>
    <n v="31460"/>
    <n v="32340.36"/>
    <n v="50028"/>
    <n v="40144"/>
    <n v="40144"/>
    <n v="40144"/>
    <n v="50028"/>
    <n v="-9884"/>
    <n v="-9884"/>
    <n v="-0.19756936115775167"/>
    <n v="-5.2395104895104849E-2"/>
    <n v="-2.3142403051494002E-2"/>
    <n v="2.7983471074380185E-2"/>
    <n v="0"/>
    <n v="3.0870146402496915E-2"/>
    <n v="0"/>
    <n v="5.2337079924013971E-2"/>
    <n v="0.59020979020979025"/>
    <n v="0.59020979020979025"/>
    <n v="-0.19756936115775167"/>
    <n v="-0.19756936115775167"/>
    <n v="-0.19756936115775167"/>
    <n v="0"/>
    <n v="0.27603305785123966"/>
    <n v="0.27603305785123966"/>
    <n v="0.27603305785123966"/>
    <n v="0.59020979020979025"/>
    <x v="17"/>
    <n v="0.19673659673659674"/>
    <n v="-0.39430595789434841"/>
    <s v=""/>
    <x v="0"/>
    <n v="-0.23656936115775168"/>
    <s v=""/>
    <x v="0"/>
  </r>
  <r>
    <x v="4"/>
    <s v="05"/>
    <s v="00 - Non-Divisional"/>
    <s v="00"/>
    <s v="Supplies - Supplies"/>
    <s v="4670-000"/>
    <s v="Books &amp; periodicals Supplies"/>
    <n v="100"/>
    <n v="0"/>
    <n v="100"/>
    <n v="0"/>
    <n v="100"/>
    <n v="0"/>
    <n v="50"/>
    <n v="50"/>
    <n v="50"/>
    <n v="50"/>
    <n v="50"/>
    <n v="0"/>
    <n v="0"/>
    <n v="0"/>
    <n v="-1"/>
    <n v="-1"/>
    <n v="-1"/>
    <n v="0"/>
    <s v=""/>
    <n v="0"/>
    <s v=""/>
    <n v="-0.5"/>
    <n v="-0.5"/>
    <n v="0"/>
    <n v="0"/>
    <n v="0"/>
    <n v="0"/>
    <n v="-0.5"/>
    <n v="-0.5"/>
    <n v="-0.5"/>
    <n v="-0.5"/>
    <x v="18"/>
    <n v="-0.16666666666666666"/>
    <n v="0.16666666666666666"/>
    <n v="41.666666666666671"/>
    <x v="8"/>
    <n v="-3.8999999999999993E-2"/>
    <s v=""/>
    <x v="0"/>
  </r>
  <r>
    <x v="4"/>
    <s v="05"/>
    <s v="00 - Non-Divisional"/>
    <s v="00"/>
    <s v="Property - Property"/>
    <s v="4750-000"/>
    <s v="Furniture &amp; fixures Property"/>
    <n v="1600"/>
    <n v="0"/>
    <n v="0"/>
    <n v="0"/>
    <n v="0"/>
    <n v="0"/>
    <n v="0"/>
    <n v="9200"/>
    <n v="0"/>
    <n v="0"/>
    <n v="0"/>
    <n v="0"/>
    <n v="0"/>
    <s v=""/>
    <n v="-1"/>
    <s v=""/>
    <s v=""/>
    <n v="-1"/>
    <s v=""/>
    <s v=""/>
    <s v=""/>
    <s v=""/>
    <n v="-1"/>
    <s v=""/>
    <s v=""/>
    <s v=""/>
    <s v=""/>
    <n v="4.75"/>
    <n v="-1"/>
    <n v="-1"/>
    <n v="-1"/>
    <x v="19"/>
    <n v="-1"/>
    <n v="1"/>
    <n v="0"/>
    <x v="9"/>
    <n v="-3.8999999999999993E-2"/>
    <s v=""/>
    <x v="0"/>
  </r>
  <r>
    <x v="4"/>
    <s v="05"/>
    <s v="42 - Town Clerk"/>
    <s v="42"/>
    <s v="PS Salaries - Personnel services - salaries"/>
    <s v="4130-000"/>
    <s v="Elected Salaries"/>
    <m/>
    <m/>
    <m/>
    <m/>
    <m/>
    <m/>
    <m/>
    <n v="82807"/>
    <n v="82807"/>
    <n v="82807"/>
    <n v="71781"/>
    <n v="82807"/>
    <n v="11026"/>
    <s v=""/>
    <s v=""/>
    <s v=""/>
    <s v=""/>
    <s v=""/>
    <s v=""/>
    <s v=""/>
    <s v=""/>
    <s v=""/>
    <s v=""/>
    <s v=""/>
    <s v=""/>
    <s v=""/>
    <s v=""/>
    <s v=""/>
    <s v=""/>
    <s v=""/>
    <s v=""/>
    <x v="0"/>
    <n v="0"/>
    <n v="0"/>
    <s v=""/>
    <x v="0"/>
    <n v="-3.8999999999999993E-2"/>
    <s v=""/>
    <x v="0"/>
  </r>
  <r>
    <x v="4"/>
    <s v="05"/>
    <s v="42 - Town Clerk"/>
    <s v="42"/>
    <s v="PS Benefits - Personnel services - benefits"/>
    <s v="4210-000"/>
    <s v="Health Ins Benefits"/>
    <n v="0"/>
    <n v="0"/>
    <n v="0"/>
    <n v="0"/>
    <n v="0"/>
    <n v="0"/>
    <n v="0"/>
    <n v="36707"/>
    <n v="36707"/>
    <n v="36707"/>
    <n v="0"/>
    <n v="36707"/>
    <n v="36707"/>
    <s v=""/>
    <s v=""/>
    <s v=""/>
    <s v=""/>
    <s v=""/>
    <s v=""/>
    <s v=""/>
    <s v=""/>
    <s v=""/>
    <s v=""/>
    <s v=""/>
    <s v=""/>
    <s v=""/>
    <s v=""/>
    <s v=""/>
    <s v=""/>
    <s v=""/>
    <s v=""/>
    <x v="20"/>
    <n v="0"/>
    <n v="0"/>
    <s v=""/>
    <x v="0"/>
    <n v="-3.8999999999999993E-2"/>
    <s v=""/>
    <x v="0"/>
  </r>
  <r>
    <x v="4"/>
    <s v="05"/>
    <s v="42 - Town Clerk"/>
    <s v="42"/>
    <s v="PS Benefits - Personnel services - benefits"/>
    <s v="4215-000"/>
    <s v="STD, LTD, &amp; Life  Benefits"/>
    <n v="0"/>
    <n v="0"/>
    <n v="0"/>
    <n v="0"/>
    <n v="0"/>
    <n v="0"/>
    <n v="0"/>
    <n v="812"/>
    <n v="812"/>
    <n v="812"/>
    <n v="0"/>
    <n v="812"/>
    <n v="812"/>
    <s v=""/>
    <s v=""/>
    <s v=""/>
    <s v=""/>
    <s v=""/>
    <s v=""/>
    <s v=""/>
    <s v=""/>
    <s v=""/>
    <s v=""/>
    <s v=""/>
    <s v=""/>
    <s v=""/>
    <s v=""/>
    <s v=""/>
    <s v=""/>
    <s v=""/>
    <s v=""/>
    <x v="13"/>
    <n v="0"/>
    <n v="0"/>
    <s v=""/>
    <x v="0"/>
    <n v="-3.8999999999999993E-2"/>
    <s v=""/>
    <x v="0"/>
  </r>
  <r>
    <x v="4"/>
    <s v="05"/>
    <s v="42 - Town Clerk"/>
    <s v="42"/>
    <s v="PS Benefits - Personnel services - benefits"/>
    <s v="4219-000"/>
    <s v="Dental Insurance Benefits "/>
    <n v="0"/>
    <n v="0"/>
    <n v="0"/>
    <n v="0"/>
    <n v="0"/>
    <n v="0"/>
    <n v="0"/>
    <n v="1308"/>
    <n v="1308"/>
    <n v="1308"/>
    <n v="0"/>
    <n v="1308"/>
    <n v="1308"/>
    <s v=""/>
    <s v=""/>
    <s v=""/>
    <s v=""/>
    <s v=""/>
    <s v=""/>
    <s v=""/>
    <s v=""/>
    <s v=""/>
    <s v=""/>
    <s v=""/>
    <s v=""/>
    <s v=""/>
    <s v=""/>
    <s v=""/>
    <s v=""/>
    <s v=""/>
    <s v=""/>
    <x v="24"/>
    <n v="0"/>
    <n v="0"/>
    <s v=""/>
    <x v="0"/>
    <n v="-3.8999999999999993E-2"/>
    <s v=""/>
    <x v="0"/>
  </r>
  <r>
    <x v="4"/>
    <s v="05"/>
    <s v="42 - Town Clerk"/>
    <s v="42"/>
    <s v="PS Benefits - Personnel services - benefits"/>
    <s v="4220-000"/>
    <s v="FICA Benefits"/>
    <n v="0"/>
    <n v="0"/>
    <n v="0"/>
    <n v="0"/>
    <n v="0"/>
    <n v="0"/>
    <n v="0"/>
    <n v="5134"/>
    <n v="5134"/>
    <n v="5134"/>
    <n v="4451"/>
    <n v="5134"/>
    <n v="683"/>
    <s v=""/>
    <s v=""/>
    <s v=""/>
    <s v=""/>
    <s v=""/>
    <s v=""/>
    <s v=""/>
    <s v=""/>
    <s v=""/>
    <s v=""/>
    <s v=""/>
    <s v=""/>
    <s v=""/>
    <s v=""/>
    <s v=""/>
    <s v=""/>
    <s v=""/>
    <s v=""/>
    <x v="1"/>
    <n v="0"/>
    <n v="0"/>
    <s v=""/>
    <x v="0"/>
    <n v="-3.8999999999999993E-2"/>
    <s v=""/>
    <x v="0"/>
  </r>
  <r>
    <x v="4"/>
    <s v="05"/>
    <s v="42 - Town Clerk"/>
    <s v="42"/>
    <s v="PS Benefits - Personnel services - benefits"/>
    <s v="4225-000"/>
    <s v="Medicare Benefits"/>
    <n v="0"/>
    <n v="0"/>
    <n v="0"/>
    <n v="0"/>
    <n v="0"/>
    <n v="0"/>
    <n v="0"/>
    <n v="1201"/>
    <n v="1201"/>
    <n v="1201"/>
    <n v="1041"/>
    <n v="1201"/>
    <n v="160"/>
    <s v=""/>
    <s v=""/>
    <s v=""/>
    <s v=""/>
    <s v=""/>
    <s v=""/>
    <s v=""/>
    <s v=""/>
    <s v=""/>
    <s v=""/>
    <s v=""/>
    <s v=""/>
    <s v=""/>
    <s v=""/>
    <s v=""/>
    <s v=""/>
    <s v=""/>
    <s v=""/>
    <x v="2"/>
    <n v="0"/>
    <n v="0"/>
    <s v=""/>
    <x v="0"/>
    <n v="-3.8999999999999993E-2"/>
    <s v=""/>
    <x v="0"/>
  </r>
  <r>
    <x v="4"/>
    <s v="05"/>
    <s v="42 - Town Clerk"/>
    <s v="42"/>
    <s v="PS Benefits - Personnel services - benefits"/>
    <s v="4230-000"/>
    <s v="Retirement Benefits"/>
    <n v="0"/>
    <n v="0"/>
    <n v="0"/>
    <n v="0"/>
    <n v="0"/>
    <n v="0"/>
    <n v="0"/>
    <n v="10558"/>
    <n v="10558"/>
    <n v="10558"/>
    <n v="0"/>
    <n v="10558"/>
    <n v="10558"/>
    <s v=""/>
    <s v=""/>
    <s v=""/>
    <s v=""/>
    <s v=""/>
    <s v=""/>
    <s v=""/>
    <s v=""/>
    <s v=""/>
    <s v=""/>
    <s v=""/>
    <s v=""/>
    <s v=""/>
    <s v=""/>
    <s v=""/>
    <s v=""/>
    <s v=""/>
    <s v=""/>
    <x v="14"/>
    <n v="0"/>
    <n v="0"/>
    <s v=""/>
    <x v="0"/>
    <n v="-3.8999999999999993E-2"/>
    <s v=""/>
    <x v="0"/>
  </r>
  <r>
    <x v="4"/>
    <s v="05"/>
    <s v="42 - Town Clerk"/>
    <s v="42"/>
    <s v="PS Benefits - Personnel services - benefits"/>
    <s v="4260-000"/>
    <s v="Workers' comp Benefits"/>
    <n v="0"/>
    <n v="0"/>
    <n v="0"/>
    <n v="0"/>
    <n v="0"/>
    <n v="0"/>
    <n v="0"/>
    <n v="117"/>
    <n v="117"/>
    <n v="117"/>
    <n v="0"/>
    <n v="117"/>
    <n v="117"/>
    <s v=""/>
    <s v=""/>
    <s v=""/>
    <s v=""/>
    <s v=""/>
    <s v=""/>
    <s v=""/>
    <s v=""/>
    <s v=""/>
    <s v=""/>
    <s v=""/>
    <s v=""/>
    <s v=""/>
    <s v=""/>
    <s v=""/>
    <s v=""/>
    <s v=""/>
    <s v=""/>
    <x v="3"/>
    <n v="0"/>
    <n v="0"/>
    <s v=""/>
    <x v="0"/>
    <n v="-3.8999999999999993E-2"/>
    <s v=""/>
    <x v="0"/>
  </r>
  <r>
    <x v="4"/>
    <s v="05"/>
    <s v="43 - Voter Registration"/>
    <s v="43"/>
    <s v="PS Salaries - Personnel services - salaries"/>
    <s v="4120-000"/>
    <s v="Part-time Salaries"/>
    <n v="6748"/>
    <n v="13629.19"/>
    <n v="11765"/>
    <n v="10077.280000000001"/>
    <n v="16780"/>
    <n v="22191.360000000001"/>
    <n v="7515"/>
    <n v="20200"/>
    <n v="20200"/>
    <n v="20200"/>
    <n v="20200"/>
    <n v="12685"/>
    <n v="0"/>
    <n v="1.6879574184963406"/>
    <n v="1.0197377000592769"/>
    <n v="-0.14345261368465784"/>
    <n v="0.32248867699642436"/>
    <n v="0.74347954949614703"/>
    <n v="-0.26061049849624224"/>
    <n v="0.42626434339141522"/>
    <n v="1.2021180318498641"/>
    <n v="-0.55214541120381411"/>
    <n v="0.11366330764671013"/>
    <n v="1.6879574184963406"/>
    <n v="1.6879574184963406"/>
    <n v="1.6879574184963406"/>
    <n v="1.6879574184963406"/>
    <n v="1.993479549496147"/>
    <n v="1.993479549496147"/>
    <n v="1.993479549496147"/>
    <n v="1.993479549496147"/>
    <x v="11"/>
    <n v="0.2058661605612494"/>
    <n v="1.4820912579350911"/>
    <s v=""/>
    <x v="0"/>
    <n v="1.6489574184963407"/>
    <s v=""/>
    <x v="0"/>
  </r>
  <r>
    <x v="4"/>
    <s v="05"/>
    <s v="43 - Voter Registration"/>
    <s v="43"/>
    <s v="PS Salaries - Personnel services - salaries"/>
    <s v="4130-000"/>
    <s v="Elected Salaries"/>
    <n v="16252"/>
    <n v="14193.47"/>
    <n v="16752"/>
    <n v="8127.66"/>
    <n v="17252"/>
    <n v="12234.44"/>
    <n v="16252"/>
    <n v="19204"/>
    <n v="19204"/>
    <n v="19204"/>
    <n v="19204"/>
    <n v="2952"/>
    <n v="0"/>
    <n v="0.18163918286980063"/>
    <n v="-0.12666317991631804"/>
    <n v="-0.51482449856733525"/>
    <n v="-0.29083932297704612"/>
    <n v="3.0765444253015015E-2"/>
    <n v="-0.42736624659086186"/>
    <n v="2.9847182425978988E-2"/>
    <n v="0.50528442380709837"/>
    <n v="-5.7964293994899142E-2"/>
    <n v="0"/>
    <n v="0.18163918286980063"/>
    <n v="0.18163918286980063"/>
    <n v="0.18163918286980063"/>
    <n v="0.18163918286980063"/>
    <n v="0.18163918286980063"/>
    <n v="0.18163918286980063"/>
    <n v="0.18163918286980063"/>
    <n v="0.18163918286980063"/>
    <x v="0"/>
    <n v="8.827775613649535E-4"/>
    <n v="0.18075640530843567"/>
    <s v=""/>
    <x v="0"/>
    <n v="0.14263918286980065"/>
    <s v=""/>
    <x v="0"/>
  </r>
  <r>
    <x v="4"/>
    <s v="05"/>
    <s v="43 - Voter Registration"/>
    <s v="43"/>
    <s v="PS Salaries - Personnel services - salaries"/>
    <s v="4140-000"/>
    <s v="Overtime Salaries"/>
    <n v="600"/>
    <n v="0"/>
    <n v="0"/>
    <n v="0"/>
    <n v="0"/>
    <n v="0"/>
    <n v="0"/>
    <n v="0"/>
    <n v="0"/>
    <n v="0"/>
    <n v="0"/>
    <n v="0"/>
    <n v="0"/>
    <s v=""/>
    <n v="-1"/>
    <s v=""/>
    <s v=""/>
    <n v="-1"/>
    <s v=""/>
    <s v=""/>
    <s v=""/>
    <s v=""/>
    <n v="-1"/>
    <s v=""/>
    <s v=""/>
    <s v=""/>
    <s v=""/>
    <n v="-1"/>
    <n v="-1"/>
    <n v="-1"/>
    <n v="-1"/>
    <x v="12"/>
    <n v="-1"/>
    <n v="1"/>
    <s v=""/>
    <x v="0"/>
    <n v="-3.8999999999999993E-2"/>
    <s v=""/>
    <x v="0"/>
  </r>
  <r>
    <x v="4"/>
    <s v="05"/>
    <s v="43 - Voter Registration"/>
    <s v="43"/>
    <s v="PS Benefits - Personnel services - benefits"/>
    <s v="4220-000"/>
    <s v="FICA Benefits"/>
    <n v="1045"/>
    <n v="979.98"/>
    <n v="1056"/>
    <n v="556.25"/>
    <n v="2110"/>
    <n v="1041.97"/>
    <n v="1474"/>
    <n v="2444"/>
    <n v="2444"/>
    <n v="2444"/>
    <n v="2444"/>
    <n v="970"/>
    <n v="0"/>
    <n v="0.65807327001356852"/>
    <n v="-6.2220095693779884E-2"/>
    <n v="-0.47324810606060608"/>
    <n v="-0.50617535545023695"/>
    <n v="1.0526315789473684E-2"/>
    <n v="-0.43238637523214762"/>
    <n v="0.99810606060606055"/>
    <n v="0.87320449438202252"/>
    <n v="-0.3014218009478673"/>
    <n v="0.41052631578947368"/>
    <n v="0.65807327001356852"/>
    <n v="0.65807327001356852"/>
    <n v="0.65807327001356852"/>
    <n v="0.65807327001356852"/>
    <n v="1.3387559808612439"/>
    <n v="1.3387559808612439"/>
    <n v="1.3387559808612439"/>
    <n v="1.3387559808612439"/>
    <x v="1"/>
    <n v="0.23573685848255566"/>
    <n v="0.42233641153101287"/>
    <s v=""/>
    <x v="0"/>
    <n v="0.61907327001356849"/>
    <s v=""/>
    <x v="0"/>
  </r>
  <r>
    <x v="4"/>
    <s v="05"/>
    <s v="43 - Voter Registration"/>
    <s v="43"/>
    <s v="PS Benefits - Personnel services - benefits"/>
    <s v="4225-000"/>
    <s v="Medicare Benefits"/>
    <n v="245"/>
    <n v="229.15"/>
    <n v="247"/>
    <n v="130.07"/>
    <n v="494"/>
    <n v="243.7"/>
    <n v="345"/>
    <n v="572"/>
    <n v="572"/>
    <n v="572"/>
    <n v="572"/>
    <n v="227"/>
    <n v="0"/>
    <n v="0.65797101449275364"/>
    <n v="-6.4693877551020379E-2"/>
    <n v="-0.4734008097165992"/>
    <n v="-0.50668016194331988"/>
    <n v="8.1632653061224497E-3"/>
    <n v="-0.43238053676631033"/>
    <n v="1"/>
    <n v="0.87360651956638735"/>
    <n v="-0.30161943319838058"/>
    <n v="0.40816326530612246"/>
    <n v="0.65797101449275364"/>
    <n v="0.65797101449275364"/>
    <n v="0.65797101449275364"/>
    <n v="0.65797101449275364"/>
    <n v="1.3346938775510204"/>
    <n v="1.3346938775510204"/>
    <n v="1.3346938775510204"/>
    <n v="1.3346938775510204"/>
    <x v="2"/>
    <n v="0.23551461070258065"/>
    <n v="0.42245640379017302"/>
    <s v=""/>
    <x v="0"/>
    <n v="0.6189710144927536"/>
    <s v=""/>
    <x v="0"/>
  </r>
  <r>
    <x v="4"/>
    <s v="05"/>
    <s v="43 - Voter Registration"/>
    <s v="43"/>
    <s v="PS prof - Purchased services - professional &amp; technical"/>
    <s v="4330-000"/>
    <s v="MGMT services Services"/>
    <n v="10200"/>
    <n v="3804.94"/>
    <n v="1700"/>
    <n v="2433.13"/>
    <n v="1700"/>
    <n v="5442.38"/>
    <n v="2575"/>
    <n v="7500"/>
    <n v="7500"/>
    <n v="7500"/>
    <n v="2575"/>
    <n v="4925"/>
    <n v="4925"/>
    <n v="1.912621359223301"/>
    <n v="-0.62696666666666667"/>
    <n v="0.43125294117647067"/>
    <n v="2.2014"/>
    <n v="-0.83333333333333337"/>
    <n v="-0.36053393746024903"/>
    <n v="0"/>
    <n v="1.2367814296811104"/>
    <n v="0.51470588235294112"/>
    <n v="-0.74754901960784315"/>
    <n v="1.912621359223301"/>
    <n v="1.912621359223301"/>
    <n v="1.912621359223301"/>
    <n v="0"/>
    <n v="-0.26470588235294118"/>
    <n v="-0.26470588235294118"/>
    <n v="-0.26470588235294118"/>
    <n v="-0.74754901960784315"/>
    <x v="7"/>
    <n v="-0.10620915032679741"/>
    <n v="2.0188305095500985"/>
    <n v="2301.5114379084966"/>
    <x v="10"/>
    <n v="1.8736213592233011"/>
    <n v="2675.4249999999997"/>
    <x v="9"/>
  </r>
  <r>
    <x v="4"/>
    <s v="05"/>
    <s v="43 - Voter Registration"/>
    <s v="43"/>
    <s v="PS prof - Purchased services - professional &amp; technical"/>
    <s v="4440-000"/>
    <s v="Rental and leases Services"/>
    <n v="500"/>
    <n v="2079"/>
    <n v="500"/>
    <n v="1300"/>
    <n v="500"/>
    <n v="5325"/>
    <n v="2500"/>
    <n v="2200"/>
    <n v="2200"/>
    <n v="2200"/>
    <n v="2500"/>
    <n v="-300"/>
    <n v="-300"/>
    <n v="-0.12"/>
    <n v="3.1579999999999999"/>
    <n v="1.6"/>
    <n v="9.65"/>
    <n v="0"/>
    <n v="-0.3746993746993747"/>
    <n v="0"/>
    <n v="3.0961538461538463"/>
    <n v="4"/>
    <n v="4"/>
    <n v="-0.12"/>
    <n v="-0.12"/>
    <n v="-0.12"/>
    <n v="0"/>
    <n v="3.4"/>
    <n v="3.4"/>
    <n v="3.4"/>
    <n v="4"/>
    <x v="25"/>
    <n v="1.3333333333333333"/>
    <n v="-1.4533333333333331"/>
    <s v=""/>
    <x v="0"/>
    <n v="-0.15899999999999997"/>
    <s v=""/>
    <x v="0"/>
  </r>
  <r>
    <x v="4"/>
    <s v="05"/>
    <s v="43 - Voter Registration"/>
    <s v="43"/>
    <s v="Supplies - Supplies"/>
    <s v="4610-000"/>
    <s v="General expenses Supplies"/>
    <n v="0"/>
    <n v="0"/>
    <n v="0"/>
    <n v="0"/>
    <n v="0"/>
    <n v="0"/>
    <n v="1000"/>
    <n v="5110"/>
    <n v="5110"/>
    <n v="5110"/>
    <n v="1000"/>
    <n v="4110"/>
    <n v="4110"/>
    <n v="4.1100000000000003"/>
    <s v=""/>
    <s v=""/>
    <s v=""/>
    <s v=""/>
    <s v=""/>
    <s v=""/>
    <s v=""/>
    <s v=""/>
    <s v=""/>
    <n v="4.1100000000000003"/>
    <n v="4.1100000000000003"/>
    <n v="4.1100000000000003"/>
    <n v="0"/>
    <s v=""/>
    <s v=""/>
    <s v=""/>
    <s v=""/>
    <x v="8"/>
    <n v="0"/>
    <n v="4.1100000000000003"/>
    <n v="1000"/>
    <x v="11"/>
    <n v="4.0710000000000006"/>
    <n v="1039"/>
    <x v="10"/>
  </r>
  <r>
    <x v="4"/>
    <s v="05"/>
    <s v="43 - Voter Registration"/>
    <s v="43"/>
    <s v="Supplies - Supplies"/>
    <s v="4620-000"/>
    <s v="Office supplies Supplies"/>
    <n v="1100"/>
    <n v="1052.3699999999999"/>
    <n v="1100"/>
    <n v="78.099999999999994"/>
    <n v="1100"/>
    <n v="10219"/>
    <n v="1025"/>
    <n v="1025"/>
    <n v="1025"/>
    <n v="1025"/>
    <n v="1025"/>
    <n v="0"/>
    <n v="0"/>
    <n v="0"/>
    <n v="-4.3300000000000102E-2"/>
    <n v="-0.92899999999999994"/>
    <n v="8.2899999999999991"/>
    <n v="0"/>
    <n v="-0.92578655795965292"/>
    <n v="0"/>
    <n v="129.84507042253523"/>
    <n v="-6.8181818181818177E-2"/>
    <n v="-6.8181818181818177E-2"/>
    <n v="0"/>
    <n v="0"/>
    <n v="0"/>
    <n v="0"/>
    <n v="-6.8181818181818177E-2"/>
    <n v="-6.8181818181818177E-2"/>
    <n v="-6.8181818181818177E-2"/>
    <n v="-6.8181818181818177E-2"/>
    <x v="16"/>
    <n v="-2.2727272727272724E-2"/>
    <n v="2.2727272727272724E-2"/>
    <n v="1001.7045454545455"/>
    <x v="12"/>
    <n v="-3.8999999999999993E-2"/>
    <s v=""/>
    <x v="0"/>
  </r>
  <r>
    <x v="4"/>
    <s v="05"/>
    <s v="43 - Voter Registration"/>
    <s v="43"/>
    <s v="Supplies - Supplies"/>
    <s v="4625-000"/>
    <s v="Postage Supplies"/>
    <n v="300"/>
    <n v="352.98"/>
    <n v="300"/>
    <n v="486.49"/>
    <n v="300"/>
    <n v="926.91"/>
    <n v="500"/>
    <n v="4320"/>
    <n v="4320"/>
    <n v="4320"/>
    <n v="500"/>
    <n v="3820"/>
    <n v="3820"/>
    <n v="7.64"/>
    <n v="0.17660000000000006"/>
    <n v="0.62163333333333337"/>
    <n v="2.0897000000000001"/>
    <n v="0"/>
    <n v="0.37823672729333102"/>
    <n v="0"/>
    <n v="0.90530123949104802"/>
    <n v="0.66666666666666663"/>
    <n v="0.66666666666666663"/>
    <n v="7.64"/>
    <n v="7.64"/>
    <n v="7.64"/>
    <n v="0"/>
    <n v="13.4"/>
    <n v="13.4"/>
    <n v="13.4"/>
    <n v="0.66666666666666663"/>
    <x v="17"/>
    <n v="0.22222222222222221"/>
    <n v="7.4177777777777774"/>
    <n v="611.1111111111112"/>
    <x v="13"/>
    <n v="7.601"/>
    <n v="519.5"/>
    <x v="11"/>
  </r>
  <r>
    <x v="4"/>
    <s v="05"/>
    <s v="43 - Voter Registration"/>
    <s v="43"/>
    <s v="Property - Property"/>
    <s v="4740-000"/>
    <s v="Mach &amp; equip Property"/>
    <n v="1000"/>
    <n v="12069.4"/>
    <n v="27000"/>
    <n v="12420.59"/>
    <n v="27000"/>
    <n v="27000"/>
    <n v="13500"/>
    <n v="49000"/>
    <n v="45000"/>
    <n v="45000"/>
    <n v="13500"/>
    <n v="31500"/>
    <n v="31500"/>
    <n v="2.3333333333333335"/>
    <n v="11.0694"/>
    <n v="-0.53997814814814815"/>
    <n v="0"/>
    <n v="26"/>
    <n v="2.9097552488110471E-2"/>
    <n v="0"/>
    <n v="1.1738097787625226"/>
    <n v="-0.5"/>
    <n v="12.5"/>
    <n v="2.6296296296296298"/>
    <n v="2.3333333333333335"/>
    <n v="2.3333333333333335"/>
    <n v="0"/>
    <n v="48"/>
    <n v="44"/>
    <n v="44"/>
    <n v="12.5"/>
    <x v="26"/>
    <n v="8.5"/>
    <n v="-6.1666666666666661"/>
    <s v=""/>
    <x v="0"/>
    <n v="2.2943333333333333"/>
    <n v="14026.499999999998"/>
    <x v="12"/>
  </r>
  <r>
    <x v="5"/>
    <s v="08"/>
    <s v="00 - Non-Divisional"/>
    <s v="00"/>
    <s v="PS Salaries - Personnel services - salaries"/>
    <s v="4110-000"/>
    <s v="Regular Salaries"/>
    <n v="381898"/>
    <n v="365530.59"/>
    <n v="380197"/>
    <n v="384882.09"/>
    <n v="442334"/>
    <n v="435245.29"/>
    <n v="473544"/>
    <n v="441044"/>
    <n v="441044"/>
    <n v="441044"/>
    <n v="441044"/>
    <n v="-32500"/>
    <n v="0"/>
    <n v="-6.8631426013211025E-2"/>
    <n v="-4.2858066813651743E-2"/>
    <n v="1.2322795813749255E-2"/>
    <n v="-1.6025695515153756E-2"/>
    <n v="-4.4540688875039933E-3"/>
    <n v="5.2940849629028307E-2"/>
    <n v="0.16343369358516768"/>
    <n v="0.13085358167744296"/>
    <n v="7.0557542490516212E-2"/>
    <n v="0.23997507187783126"/>
    <n v="-6.8631426013211025E-2"/>
    <n v="-6.8631426013211025E-2"/>
    <n v="-6.8631426013211025E-2"/>
    <n v="-6.8631426013211025E-2"/>
    <n v="0.15487381447402185"/>
    <n v="0.15487381447402185"/>
    <n v="0.15487381447402185"/>
    <n v="0.15487381447402185"/>
    <x v="10"/>
    <n v="7.651238906272663E-2"/>
    <n v="-0.14514381507593765"/>
    <s v=""/>
    <x v="0"/>
    <n v="-0.10763142601321102"/>
    <s v=""/>
    <x v="0"/>
  </r>
  <r>
    <x v="5"/>
    <s v="08"/>
    <s v="00 - Non-Divisional"/>
    <s v="00"/>
    <s v="PS Salaries - Personnel services - salaries"/>
    <s v="4120-000"/>
    <s v="Part-time Salaries"/>
    <n v="0"/>
    <n v="0"/>
    <n v="0"/>
    <n v="2400"/>
    <n v="0"/>
    <n v="0"/>
    <n v="0"/>
    <n v="0"/>
    <n v="0"/>
    <n v="0"/>
    <n v="0"/>
    <n v="0"/>
    <n v="0"/>
    <s v=""/>
    <s v=""/>
    <s v=""/>
    <s v=""/>
    <s v=""/>
    <s v=""/>
    <s v=""/>
    <n v="-1"/>
    <s v=""/>
    <s v=""/>
    <s v=""/>
    <s v=""/>
    <s v=""/>
    <s v=""/>
    <s v=""/>
    <s v=""/>
    <s v=""/>
    <s v=""/>
    <x v="11"/>
    <n v="0"/>
    <n v="0"/>
    <s v=""/>
    <x v="0"/>
    <n v="-3.8999999999999993E-2"/>
    <s v=""/>
    <x v="0"/>
  </r>
  <r>
    <x v="5"/>
    <s v="08"/>
    <s v="00 - Non-Divisional"/>
    <s v="00"/>
    <s v="PS Salaries - Personnel services - salaries"/>
    <s v="4130-000"/>
    <s v="Elected Salaries"/>
    <n v="2500"/>
    <n v="2500"/>
    <n v="2500"/>
    <n v="2500"/>
    <n v="2500"/>
    <n v="2500"/>
    <n v="2500"/>
    <n v="2500"/>
    <n v="2500"/>
    <n v="2500"/>
    <n v="2500"/>
    <n v="0"/>
    <n v="0"/>
    <n v="0"/>
    <n v="0"/>
    <n v="0"/>
    <n v="0"/>
    <n v="0"/>
    <n v="0"/>
    <n v="0"/>
    <n v="0"/>
    <n v="0"/>
    <n v="0"/>
    <n v="0"/>
    <n v="0"/>
    <n v="0"/>
    <n v="0"/>
    <n v="0"/>
    <n v="0"/>
    <n v="0"/>
    <n v="0"/>
    <x v="0"/>
    <n v="0"/>
    <n v="0"/>
    <s v=""/>
    <x v="0"/>
    <n v="-3.8999999999999993E-2"/>
    <s v=""/>
    <x v="0"/>
  </r>
  <r>
    <x v="5"/>
    <s v="08"/>
    <s v="00 - Non-Divisional"/>
    <s v="00"/>
    <s v="PS Salaries - Personnel services - salaries"/>
    <s v="4140-000"/>
    <s v="Overtime Salaries"/>
    <n v="1000"/>
    <n v="4869.01"/>
    <n v="1000"/>
    <n v="2643.93"/>
    <n v="1000"/>
    <n v="1980.98"/>
    <n v="1750"/>
    <n v="1750"/>
    <n v="1750"/>
    <n v="1750"/>
    <n v="1750"/>
    <n v="0"/>
    <n v="0"/>
    <n v="0"/>
    <n v="3.8690100000000003"/>
    <n v="1.6439299999999999"/>
    <n v="0.98097999999999996"/>
    <n v="0"/>
    <n v="-0.45698817624116611"/>
    <n v="0"/>
    <n v="-0.25074415737179118"/>
    <n v="0.75"/>
    <n v="0.75"/>
    <n v="0"/>
    <n v="0"/>
    <n v="0"/>
    <n v="0"/>
    <n v="0.75"/>
    <n v="0.75"/>
    <n v="0.75"/>
    <n v="0.75"/>
    <x v="12"/>
    <n v="0.25"/>
    <n v="-0.25"/>
    <s v=""/>
    <x v="0"/>
    <n v="-3.8999999999999993E-2"/>
    <s v=""/>
    <x v="0"/>
  </r>
  <r>
    <x v="5"/>
    <s v="08"/>
    <s v="00 - Non-Divisional"/>
    <s v="00"/>
    <s v="PS Benefits - Personnel services - benefits"/>
    <s v="4215-000"/>
    <s v="STD, LTD, &amp; Life  Benefits"/>
    <n v="4268"/>
    <n v="3158.2"/>
    <n v="4291"/>
    <n v="5112.7299999999996"/>
    <n v="5043"/>
    <n v="4319.6899999999996"/>
    <n v="3300"/>
    <n v="3365"/>
    <n v="3365"/>
    <n v="3365"/>
    <n v="3365"/>
    <n v="65"/>
    <n v="0"/>
    <n v="1.9696969696969695E-2"/>
    <n v="-0.26002811621368327"/>
    <n v="0.19150081566068505"/>
    <n v="-0.14342851477295268"/>
    <n v="5.3889409559512652E-3"/>
    <n v="0.61887467544803998"/>
    <n v="0.1752505243532976"/>
    <n v="-0.15511087031781456"/>
    <n v="-0.34562760261748959"/>
    <n v="-0.22680412371134021"/>
    <n v="1.9696969696969695E-2"/>
    <n v="1.9696969696969695E-2"/>
    <n v="1.9696969696969695E-2"/>
    <n v="1.9696969696969695E-2"/>
    <n v="-0.21157450796626054"/>
    <n v="-0.21157450796626054"/>
    <n v="-0.21157450796626054"/>
    <n v="-0.21157450796626054"/>
    <x v="13"/>
    <n v="-5.4996045769413575E-2"/>
    <n v="7.4693015466383267E-2"/>
    <s v=""/>
    <x v="0"/>
    <n v="-1.9303030303030298E-2"/>
    <s v=""/>
    <x v="0"/>
  </r>
  <r>
    <x v="5"/>
    <s v="08"/>
    <s v="00 - Non-Divisional"/>
    <s v="00"/>
    <s v="PS Benefits - Personnel services - benefits"/>
    <s v="4220-000"/>
    <s v="FICA Benefits"/>
    <n v="23895"/>
    <n v="20476.48"/>
    <n v="23790"/>
    <n v="24738.13"/>
    <n v="27642"/>
    <n v="26706.9"/>
    <n v="29627"/>
    <n v="27609"/>
    <n v="27609"/>
    <n v="27609"/>
    <n v="27609"/>
    <n v="-2018"/>
    <n v="0"/>
    <n v="-6.8113545077125595E-2"/>
    <n v="-0.14306423938062357"/>
    <n v="3.9854140395124048E-2"/>
    <n v="-3.3828955936618138E-2"/>
    <n v="-4.3942247332077839E-3"/>
    <n v="0.20812415024457337"/>
    <n v="0.16191677175283734"/>
    <n v="7.9584430997815939E-2"/>
    <n v="7.1811012227769339E-2"/>
    <n v="0.23988282067378114"/>
    <n v="-6.8113545077125595E-2"/>
    <n v="-6.8113545077125595E-2"/>
    <n v="-6.8113545077125595E-2"/>
    <n v="-6.8113545077125595E-2"/>
    <n v="0.15543000627746389"/>
    <n v="0.15543000627746389"/>
    <n v="0.15543000627746389"/>
    <n v="0.15543000627746389"/>
    <x v="1"/>
    <n v="7.6444519749132966E-2"/>
    <n v="-0.14455806482625855"/>
    <s v=""/>
    <x v="0"/>
    <n v="-0.10711354507712559"/>
    <s v=""/>
    <x v="0"/>
  </r>
  <r>
    <x v="5"/>
    <s v="08"/>
    <s v="00 - Non-Divisional"/>
    <s v="00"/>
    <s v="PS Benefits - Personnel services - benefits"/>
    <s v="4225-000"/>
    <s v="Medicare Benefits"/>
    <n v="5589"/>
    <n v="4788.87"/>
    <n v="5695"/>
    <n v="5785.51"/>
    <n v="6465"/>
    <n v="6245.97"/>
    <n v="6929"/>
    <n v="6457"/>
    <n v="6457"/>
    <n v="6457"/>
    <n v="6457"/>
    <n v="-472"/>
    <n v="0"/>
    <n v="-6.8119497763024964E-2"/>
    <n v="-0.14316156736446595"/>
    <n v="1.5892888498683092E-2"/>
    <n v="-3.3879350348027804E-2"/>
    <n v="1.8965825729110753E-2"/>
    <n v="0.20811590208128439"/>
    <n v="0.13520632133450394"/>
    <n v="7.958848917381528E-2"/>
    <n v="7.1771075019334885E-2"/>
    <n v="0.23975666487743783"/>
    <n v="-6.8119497763024964E-2"/>
    <n v="-6.8119497763024964E-2"/>
    <n v="-6.8119497763024964E-2"/>
    <n v="-6.8119497763024964E-2"/>
    <n v="0.15530506351762391"/>
    <n v="0.15530506351762391"/>
    <n v="0.15530506351762391"/>
    <n v="0.15530506351762391"/>
    <x v="2"/>
    <n v="7.5314407360983202E-2"/>
    <n v="-0.14343390512400817"/>
    <s v=""/>
    <x v="0"/>
    <n v="-0.10711949776302496"/>
    <s v=""/>
    <x v="0"/>
  </r>
  <r>
    <x v="5"/>
    <s v="08"/>
    <s v="00 - Non-Divisional"/>
    <s v="00"/>
    <s v="PS Benefits - Personnel services - benefits"/>
    <s v="4230-000"/>
    <s v="Retirement Benefits"/>
    <n v="53836"/>
    <n v="47395.4"/>
    <n v="45117"/>
    <n v="48116.959999999999"/>
    <n v="59984"/>
    <n v="58426.34"/>
    <n v="60601"/>
    <n v="56457"/>
    <n v="56457"/>
    <n v="56457"/>
    <n v="56457"/>
    <n v="-4144"/>
    <n v="0"/>
    <n v="-6.8381709872774379E-2"/>
    <n v="-0.11963370235530126"/>
    <n v="6.6492896247534169E-2"/>
    <n v="-2.5967924779941375E-2"/>
    <n v="-0.16195482576714465"/>
    <n v="1.522426227017807E-2"/>
    <n v="0.32952102311767184"/>
    <n v="0.2142566778948628"/>
    <n v="1.0286076287009869E-2"/>
    <n v="0.12565941006018277"/>
    <n v="-6.8381709872774379E-2"/>
    <n v="-6.8381709872774379E-2"/>
    <n v="-6.8381709872774379E-2"/>
    <n v="-6.8381709872774379E-2"/>
    <n v="4.8684894865888999E-2"/>
    <n v="4.8684894865888999E-2"/>
    <n v="4.8684894865888999E-2"/>
    <n v="4.8684894865888999E-2"/>
    <x v="14"/>
    <n v="5.9284091212512352E-2"/>
    <n v="-0.12766580108528675"/>
    <s v=""/>
    <x v="0"/>
    <n v="-0.10738170987277437"/>
    <s v=""/>
    <x v="0"/>
  </r>
  <r>
    <x v="5"/>
    <s v="08"/>
    <s v="00 - Non-Divisional"/>
    <s v="00"/>
    <s v="PS Benefits - Personnel services - benefits"/>
    <s v="4260-000"/>
    <s v="Workers' comp Benefits"/>
    <n v="563"/>
    <n v="537.99"/>
    <n v="597"/>
    <n v="636.89"/>
    <n v="714"/>
    <n v="713.71"/>
    <n v="843"/>
    <n v="665"/>
    <n v="665"/>
    <n v="665"/>
    <n v="665"/>
    <n v="-178"/>
    <n v="0"/>
    <n v="-0.21115065243179121"/>
    <n v="-4.4422735346358773E-2"/>
    <n v="6.6817420435510866E-2"/>
    <n v="-4.0616246498594347E-4"/>
    <n v="6.0390763765541741E-2"/>
    <n v="0.18383241324188176"/>
    <n v="0.19597989949748743"/>
    <n v="0.12061737505691729"/>
    <n v="0.18067226890756302"/>
    <n v="0.49733570159857904"/>
    <n v="-0.21115065243179121"/>
    <n v="-0.21115065243179121"/>
    <n v="-0.21115065243179121"/>
    <n v="-0.21115065243179121"/>
    <n v="0.18117229129662521"/>
    <n v="0.18117229129662521"/>
    <n v="0.18117229129662521"/>
    <n v="0.18117229129662521"/>
    <x v="3"/>
    <n v="0.14568097739019739"/>
    <n v="-0.35683162982198857"/>
    <s v=""/>
    <x v="0"/>
    <n v="-0.25015065243179119"/>
    <s v=""/>
    <x v="0"/>
  </r>
  <r>
    <x v="5"/>
    <s v="08"/>
    <s v="00 - Non-Divisional"/>
    <s v="00"/>
    <s v="PS prof - Purchased services - professional &amp; technical"/>
    <s v="4301-000"/>
    <s v="Auditing services Services"/>
    <n v="45500"/>
    <n v="45500"/>
    <n v="50000"/>
    <n v="46900"/>
    <n v="55000"/>
    <n v="53000"/>
    <n v="55000"/>
    <n v="55000"/>
    <n v="55000"/>
    <n v="55000"/>
    <n v="55000"/>
    <n v="0"/>
    <n v="0"/>
    <n v="0"/>
    <n v="0"/>
    <n v="-6.2E-2"/>
    <n v="-3.6363636363636362E-2"/>
    <n v="9.8901098901098897E-2"/>
    <n v="3.0769230769230771E-2"/>
    <n v="0.1"/>
    <n v="0.13006396588486141"/>
    <n v="0"/>
    <n v="0.2087912087912088"/>
    <n v="0"/>
    <n v="0"/>
    <n v="0"/>
    <n v="0"/>
    <n v="0.2087912087912088"/>
    <n v="0.2087912087912088"/>
    <n v="0.2087912087912088"/>
    <n v="0.2087912087912088"/>
    <x v="27"/>
    <n v="6.6300366300366301E-2"/>
    <n v="-6.6300366300366301E-2"/>
    <s v=""/>
    <x v="0"/>
    <n v="-3.8999999999999993E-2"/>
    <s v=""/>
    <x v="0"/>
  </r>
  <r>
    <x v="5"/>
    <s v="08"/>
    <s v="00 - Non-Divisional"/>
    <s v="00"/>
    <s v="PS prof - Purchased services - professional &amp; technical"/>
    <s v="4330-000"/>
    <s v="MGMT services Services"/>
    <n v="9000"/>
    <n v="3803.05"/>
    <n v="8000"/>
    <n v="8000.25"/>
    <n v="6700"/>
    <n v="8726.3700000000008"/>
    <n v="6545"/>
    <n v="750"/>
    <n v="750"/>
    <n v="750"/>
    <n v="6545"/>
    <n v="-5795"/>
    <n v="-5795"/>
    <n v="-0.88540870893812074"/>
    <n v="-0.57743888888888883"/>
    <n v="3.1250000000000001E-5"/>
    <n v="0.30244328358208966"/>
    <n v="-0.1111111111111111"/>
    <n v="1.1036404990731123"/>
    <n v="-0.16250000000000001"/>
    <n v="9.076216368238503E-2"/>
    <n v="-2.3134328358208955E-2"/>
    <n v="-0.27277777777777779"/>
    <n v="-0.88540870893812074"/>
    <n v="-0.88540870893812074"/>
    <n v="-0.88540870893812074"/>
    <n v="0"/>
    <n v="-0.91666666666666663"/>
    <n v="-0.91666666666666663"/>
    <n v="-0.91666666666666663"/>
    <n v="-0.27277777777777779"/>
    <x v="7"/>
    <n v="-9.8915146489773356E-2"/>
    <n v="-0.78649356244834734"/>
    <s v=""/>
    <x v="0"/>
    <n v="-0.92440870893812077"/>
    <s v=""/>
    <x v="0"/>
  </r>
  <r>
    <x v="5"/>
    <s v="08"/>
    <s v="00 - Non-Divisional"/>
    <s v="00"/>
    <s v="PS prof - Purchased services - professional &amp; technical"/>
    <s v="4340-000"/>
    <s v="Bank services Services"/>
    <n v="28000"/>
    <n v="26696.53"/>
    <n v="29000"/>
    <n v="24777.07"/>
    <n v="29000"/>
    <n v="26321.64"/>
    <n v="10000"/>
    <n v="7500"/>
    <n v="7500"/>
    <n v="7500"/>
    <n v="10000"/>
    <n v="-2500"/>
    <n v="-2500"/>
    <n v="-0.25"/>
    <n v="-4.6552500000000038E-2"/>
    <n v="-0.14561827586206896"/>
    <n v="-9.2357241379310367E-2"/>
    <n v="3.5714285714285712E-2"/>
    <n v="-7.1899231847734488E-2"/>
    <n v="0"/>
    <n v="6.2338686535575019E-2"/>
    <n v="-0.65517241379310343"/>
    <n v="-0.6428571428571429"/>
    <n v="-0.25"/>
    <n v="-0.25"/>
    <n v="-0.25"/>
    <n v="0"/>
    <n v="-0.7321428571428571"/>
    <n v="-0.7321428571428571"/>
    <n v="-0.7321428571428571"/>
    <n v="-0.6428571428571429"/>
    <x v="28"/>
    <n v="-0.20648604269293924"/>
    <n v="-4.3513957307060758E-2"/>
    <s v=""/>
    <x v="0"/>
    <n v="-0.28899999999999998"/>
    <s v=""/>
    <x v="0"/>
  </r>
  <r>
    <x v="5"/>
    <s v="08"/>
    <s v="00 - Non-Divisional"/>
    <s v="00"/>
    <s v="PS prof - Purchased services - professional &amp; technical"/>
    <s v="4390-000"/>
    <s v="Other professional Services"/>
    <n v="30000"/>
    <n v="43262.5"/>
    <n v="30000"/>
    <n v="33925.800000000003"/>
    <n v="30000"/>
    <n v="36650"/>
    <n v="30000"/>
    <n v="30000"/>
    <n v="30000"/>
    <n v="30000"/>
    <n v="30000"/>
    <n v="0"/>
    <n v="0"/>
    <n v="0"/>
    <n v="0.44208333333333333"/>
    <n v="0.13086000000000009"/>
    <n v="0.22166666666666668"/>
    <n v="0"/>
    <n v="-0.21581508234614266"/>
    <n v="0"/>
    <n v="8.0298769667922251E-2"/>
    <n v="0"/>
    <n v="0"/>
    <n v="0"/>
    <n v="0"/>
    <n v="0"/>
    <n v="0"/>
    <n v="0"/>
    <n v="0"/>
    <n v="0"/>
    <n v="0"/>
    <x v="29"/>
    <n v="0"/>
    <n v="0"/>
    <s v=""/>
    <x v="0"/>
    <n v="-3.8999999999999993E-2"/>
    <s v=""/>
    <x v="0"/>
  </r>
  <r>
    <x v="5"/>
    <s v="08"/>
    <s v="00 - Non-Divisional"/>
    <s v="00"/>
    <s v="PS other - Purchased services - other"/>
    <s v="4560-000"/>
    <s v="Dues &amp; subs Services"/>
    <n v="325"/>
    <n v="500"/>
    <n v="360"/>
    <n v="500"/>
    <n v="1800"/>
    <n v="1287"/>
    <n v="1700"/>
    <n v="2100"/>
    <n v="2100"/>
    <n v="2100"/>
    <n v="1700"/>
    <n v="400"/>
    <n v="400"/>
    <n v="0.23529411764705882"/>
    <n v="0.53846153846153844"/>
    <n v="0.3888888888888889"/>
    <n v="-0.28499999999999998"/>
    <n v="0.1076923076923077"/>
    <n v="0"/>
    <n v="4"/>
    <n v="1.5740000000000001"/>
    <n v="-5.5555555555555552E-2"/>
    <n v="4.2307692307692308"/>
    <n v="0.23529411764705882"/>
    <n v="0.23529411764705882"/>
    <n v="0.23529411764705882"/>
    <n v="0"/>
    <n v="5.4615384615384617"/>
    <n v="5.4615384615384617"/>
    <n v="5.4615384615384617"/>
    <n v="4.2307692307692308"/>
    <x v="15"/>
    <n v="1.3507122507122507"/>
    <n v="-1.1154181330651918"/>
    <s v=""/>
    <x v="0"/>
    <n v="0.19629411764705884"/>
    <n v="1766.3"/>
    <x v="13"/>
  </r>
  <r>
    <x v="5"/>
    <s v="08"/>
    <s v="00 - Non-Divisional"/>
    <s v="00"/>
    <s v="PS other - Purchased services - other"/>
    <s v="4570-000"/>
    <s v="Sem &amp; workshops Services"/>
    <n v="1091.8699999999999"/>
    <n v="2800"/>
    <n v="1140.8800000000001"/>
    <n v="2800"/>
    <n v="2800"/>
    <n v="1534.3"/>
    <n v="2800"/>
    <n v="2000"/>
    <n v="2000"/>
    <n v="2000"/>
    <n v="2800"/>
    <n v="-800"/>
    <n v="-800"/>
    <n v="-0.2857142857142857"/>
    <n v="1.5644078507514634"/>
    <n v="1.4542458453123901"/>
    <n v="-0.45203571428571432"/>
    <n v="4.4886295987617779E-2"/>
    <n v="0"/>
    <n v="1.4542458453123901"/>
    <n v="-0.45203571428571432"/>
    <n v="0"/>
    <n v="1.5644078507514634"/>
    <n v="-0.2857142857142857"/>
    <n v="-0.2857142857142857"/>
    <n v="-0.2857142857142857"/>
    <n v="0"/>
    <n v="0.8317198933939024"/>
    <n v="0.8317198933939024"/>
    <n v="0.8317198933939024"/>
    <n v="1.5644078507514634"/>
    <x v="5"/>
    <n v="0.49971071376666926"/>
    <n v="-0.78542499948095501"/>
    <s v=""/>
    <x v="0"/>
    <n v="-0.32471428571428568"/>
    <s v=""/>
    <x v="0"/>
  </r>
  <r>
    <x v="5"/>
    <s v="08"/>
    <s v="00 - Non-Divisional"/>
    <s v="00"/>
    <s v="PS other - Purchased services - other"/>
    <s v="4575-000"/>
    <s v="Travel &amp; mileage Services"/>
    <n v="0"/>
    <n v="500"/>
    <n v="172.16"/>
    <n v="500"/>
    <n v="500"/>
    <n v="336.88"/>
    <n v="500"/>
    <n v="2100"/>
    <n v="2100"/>
    <n v="2100"/>
    <n v="500"/>
    <n v="1600"/>
    <n v="1600"/>
    <n v="3.2"/>
    <s v=""/>
    <n v="1.9042750929368033"/>
    <n v="-0.32624000000000003"/>
    <s v=""/>
    <n v="0"/>
    <n v="1.9042750929368033"/>
    <n v="-0.32624000000000003"/>
    <n v="0"/>
    <s v=""/>
    <n v="3.2"/>
    <n v="3.2"/>
    <n v="3.2"/>
    <n v="0"/>
    <s v=""/>
    <s v=""/>
    <s v=""/>
    <s v=""/>
    <x v="6"/>
    <n v="0.95213754646840165"/>
    <n v="2.2478624535315985"/>
    <n v="976.06877323420088"/>
    <x v="14"/>
    <n v="3.161"/>
    <n v="519.5"/>
    <x v="14"/>
  </r>
  <r>
    <x v="5"/>
    <s v="08"/>
    <s v="00 - Non-Divisional"/>
    <s v="00"/>
    <s v="Supplies - Supplies"/>
    <s v="4610-000"/>
    <s v="General expenses Supplies"/>
    <n v="0"/>
    <n v="0"/>
    <n v="0"/>
    <n v="0"/>
    <n v="0"/>
    <n v="0"/>
    <n v="0"/>
    <n v="3000"/>
    <n v="3000"/>
    <n v="3000"/>
    <n v="0"/>
    <n v="3000"/>
    <n v="3000"/>
    <s v=""/>
    <s v=""/>
    <s v=""/>
    <s v=""/>
    <s v=""/>
    <s v=""/>
    <s v=""/>
    <s v=""/>
    <s v=""/>
    <s v=""/>
    <s v=""/>
    <s v=""/>
    <s v=""/>
    <s v=""/>
    <s v=""/>
    <s v=""/>
    <s v=""/>
    <s v=""/>
    <x v="8"/>
    <n v="0"/>
    <n v="0"/>
    <s v=""/>
    <x v="0"/>
    <n v="-3.8999999999999993E-2"/>
    <s v=""/>
    <x v="0"/>
  </r>
  <r>
    <x v="5"/>
    <s v="08"/>
    <s v="00 - Non-Divisional"/>
    <s v="00"/>
    <s v="Supplies - Supplies"/>
    <s v="4620-000"/>
    <s v="Office supplies Supplies"/>
    <n v="3500"/>
    <n v="2308.0500000000002"/>
    <n v="3500"/>
    <n v="3264.63"/>
    <n v="3500"/>
    <n v="4293.9799999999996"/>
    <n v="3500"/>
    <n v="3900"/>
    <n v="3900"/>
    <n v="3900"/>
    <n v="3500"/>
    <n v="400"/>
    <n v="400"/>
    <n v="0.11428571428571428"/>
    <n v="-0.34055714285714278"/>
    <n v="-6.7248571428571394E-2"/>
    <n v="0.22685142857142845"/>
    <n v="0"/>
    <n v="0.41445375966725151"/>
    <n v="0"/>
    <n v="0.3153037250775737"/>
    <n v="0"/>
    <n v="0"/>
    <n v="0.11428571428571428"/>
    <n v="0.11428571428571428"/>
    <n v="0.11428571428571428"/>
    <n v="0"/>
    <n v="0.11428571428571428"/>
    <n v="0.11428571428571428"/>
    <n v="0.11428571428571428"/>
    <n v="0"/>
    <x v="16"/>
    <n v="0"/>
    <n v="0.11428571428571428"/>
    <n v="3500"/>
    <x v="15"/>
    <n v="7.5285714285714289E-2"/>
    <n v="3636.4999999999995"/>
    <x v="15"/>
  </r>
  <r>
    <x v="5"/>
    <s v="08"/>
    <s v="00 - Non-Divisional"/>
    <s v="00"/>
    <s v="Supplies - Supplies"/>
    <s v="4625-000"/>
    <s v="Postage Supplies"/>
    <n v="2000"/>
    <n v="935.36"/>
    <n v="2000"/>
    <n v="1315.06"/>
    <n v="2000"/>
    <n v="1842.29"/>
    <n v="1400"/>
    <n v="1400"/>
    <n v="1400"/>
    <n v="1400"/>
    <n v="1400"/>
    <n v="0"/>
    <n v="0"/>
    <n v="0"/>
    <n v="-0.5323199999999999"/>
    <n v="-0.34247000000000005"/>
    <n v="-7.8855000000000022E-2"/>
    <n v="0"/>
    <n v="0.40593995894628798"/>
    <n v="0"/>
    <n v="0.40091706842273361"/>
    <n v="-0.3"/>
    <n v="-0.3"/>
    <n v="0"/>
    <n v="0"/>
    <n v="0"/>
    <n v="0"/>
    <n v="-0.3"/>
    <n v="-0.3"/>
    <n v="-0.3"/>
    <n v="-0.3"/>
    <x v="17"/>
    <n v="-9.9999999999999992E-2"/>
    <n v="9.9999999999999992E-2"/>
    <n v="1260"/>
    <x v="16"/>
    <n v="-3.8999999999999993E-2"/>
    <s v=""/>
    <x v="0"/>
  </r>
  <r>
    <x v="5"/>
    <s v="08"/>
    <s v="00 - Non-Divisional"/>
    <s v="00"/>
    <s v="Supplies - Supplies"/>
    <s v="4670-000"/>
    <s v="Books &amp; periodicals Supplies"/>
    <n v="100"/>
    <n v="0"/>
    <n v="100"/>
    <n v="0"/>
    <n v="100"/>
    <n v="0"/>
    <n v="75"/>
    <n v="50"/>
    <n v="50"/>
    <n v="50"/>
    <n v="75"/>
    <n v="-25"/>
    <n v="-25"/>
    <n v="-0.33333333333333331"/>
    <n v="-1"/>
    <n v="-1"/>
    <n v="-1"/>
    <n v="0"/>
    <s v=""/>
    <n v="0"/>
    <s v=""/>
    <n v="-0.25"/>
    <n v="-0.25"/>
    <n v="-0.33333333333333331"/>
    <n v="-0.33333333333333331"/>
    <n v="-0.33333333333333331"/>
    <n v="0"/>
    <n v="-0.5"/>
    <n v="-0.5"/>
    <n v="-0.5"/>
    <n v="-0.25"/>
    <x v="18"/>
    <n v="-8.3333333333333329E-2"/>
    <n v="-0.25"/>
    <s v=""/>
    <x v="0"/>
    <n v="-0.37233333333333329"/>
    <s v=""/>
    <x v="0"/>
  </r>
  <r>
    <x v="5"/>
    <s v="08"/>
    <s v="00 - Non-Divisional"/>
    <s v="00"/>
    <s v="Property - Property"/>
    <s v="4750-000"/>
    <s v="Furniture &amp; fixures Property"/>
    <n v="1000"/>
    <n v="562.69000000000005"/>
    <n v="0"/>
    <n v="0"/>
    <n v="0"/>
    <n v="0"/>
    <n v="0"/>
    <n v="0"/>
    <n v="0"/>
    <n v="0"/>
    <n v="0"/>
    <n v="0"/>
    <n v="0"/>
    <s v=""/>
    <n v="-0.43730999999999992"/>
    <s v=""/>
    <s v=""/>
    <n v="-1"/>
    <n v="-1"/>
    <s v=""/>
    <s v=""/>
    <s v=""/>
    <n v="-1"/>
    <s v=""/>
    <s v=""/>
    <s v=""/>
    <s v=""/>
    <n v="-1"/>
    <n v="-1"/>
    <n v="-1"/>
    <n v="-1"/>
    <x v="19"/>
    <n v="-1"/>
    <n v="1"/>
    <n v="0"/>
    <x v="9"/>
    <n v="-3.8999999999999993E-2"/>
    <s v=""/>
    <x v="0"/>
  </r>
  <r>
    <x v="5"/>
    <s v="08"/>
    <s v="44 - Personnel Administration"/>
    <s v="44"/>
    <s v="PS Benefits - Personnel services - benefits"/>
    <s v="4210-000"/>
    <s v="Health Ins Benefits"/>
    <n v="0"/>
    <n v="0"/>
    <n v="0"/>
    <n v="0"/>
    <n v="0"/>
    <n v="0"/>
    <n v="0"/>
    <n v="0"/>
    <n v="0"/>
    <n v="0"/>
    <n v="0"/>
    <n v="0"/>
    <n v="0"/>
    <s v=""/>
    <s v=""/>
    <s v=""/>
    <s v=""/>
    <s v=""/>
    <s v=""/>
    <s v=""/>
    <s v=""/>
    <s v=""/>
    <s v=""/>
    <s v=""/>
    <s v=""/>
    <s v=""/>
    <s v=""/>
    <s v=""/>
    <s v=""/>
    <s v=""/>
    <s v=""/>
    <x v="20"/>
    <n v="0"/>
    <n v="0"/>
    <s v=""/>
    <x v="0"/>
    <n v="-3.8999999999999993E-2"/>
    <s v=""/>
    <x v="0"/>
  </r>
  <r>
    <x v="5"/>
    <s v="08"/>
    <s v="44 - Personnel Administration"/>
    <s v="44"/>
    <s v="PS Benefits - Personnel services - benefits"/>
    <s v="4240-000"/>
    <s v="Tuition reimbursement Benefits"/>
    <n v="0"/>
    <n v="0"/>
    <n v="0"/>
    <n v="0"/>
    <n v="0"/>
    <n v="0"/>
    <n v="21500"/>
    <n v="0"/>
    <n v="0"/>
    <n v="0"/>
    <n v="0"/>
    <n v="-21500"/>
    <n v="0"/>
    <n v="-1"/>
    <s v=""/>
    <s v=""/>
    <s v=""/>
    <s v=""/>
    <s v=""/>
    <s v=""/>
    <s v=""/>
    <s v=""/>
    <s v=""/>
    <n v="-1"/>
    <n v="-1"/>
    <n v="-1"/>
    <n v="-1"/>
    <s v=""/>
    <s v=""/>
    <s v=""/>
    <s v=""/>
    <x v="21"/>
    <n v="0"/>
    <n v="-1"/>
    <s v=""/>
    <x v="0"/>
    <n v="-1.0389999999999999"/>
    <s v=""/>
    <x v="0"/>
  </r>
  <r>
    <x v="6"/>
    <s v="09"/>
    <s v="00 - Non-Divisional"/>
    <s v="00"/>
    <s v="PS Salaries - Personnel services - salaries"/>
    <s v="4110-000"/>
    <s v="Regular Salaries"/>
    <n v="213375"/>
    <n v="263129.36"/>
    <n v="278863"/>
    <n v="276359.14"/>
    <n v="280617"/>
    <n v="234227.54"/>
    <n v="290617"/>
    <n v="303442"/>
    <n v="303442"/>
    <n v="303442"/>
    <n v="303442"/>
    <n v="12825"/>
    <n v="0"/>
    <n v="4.4130247026154701E-2"/>
    <n v="0.2331780199179847"/>
    <n v="-8.9788175555738335E-3"/>
    <n v="-0.16531236525228332"/>
    <n v="0.30691505565319271"/>
    <n v="5.027861581086971E-2"/>
    <n v="6.2898269042504741E-3"/>
    <n v="-0.15245234878064826"/>
    <n v="3.5635759772216224E-2"/>
    <n v="0.36200117164616286"/>
    <n v="4.4130247026154701E-2"/>
    <n v="4.4130247026154701E-2"/>
    <n v="4.4130247026154701E-2"/>
    <n v="4.4130247026154701E-2"/>
    <n v="0.42210661980082015"/>
    <n v="0.42210661980082015"/>
    <n v="0.42210661980082015"/>
    <n v="0.42210661980082015"/>
    <x v="10"/>
    <n v="0.11628021410988647"/>
    <n v="-7.2149967083731767E-2"/>
    <s v=""/>
    <x v="0"/>
    <n v="5.1302470261547078E-3"/>
    <s v=""/>
    <x v="0"/>
  </r>
  <r>
    <x v="6"/>
    <s v="09"/>
    <s v="00 - Non-Divisional"/>
    <s v="00"/>
    <s v="PS Salaries - Personnel services - salaries"/>
    <s v="4120-000"/>
    <s v="Part-time Salaries"/>
    <n v="36897"/>
    <n v="0"/>
    <n v="0"/>
    <n v="0"/>
    <n v="0"/>
    <n v="0"/>
    <n v="0"/>
    <n v="0"/>
    <n v="0"/>
    <n v="0"/>
    <n v="0"/>
    <n v="0"/>
    <n v="0"/>
    <s v=""/>
    <n v="-1"/>
    <s v=""/>
    <s v=""/>
    <n v="-1"/>
    <s v=""/>
    <s v=""/>
    <s v=""/>
    <s v=""/>
    <n v="-1"/>
    <s v=""/>
    <s v=""/>
    <s v=""/>
    <s v=""/>
    <n v="-1"/>
    <n v="-1"/>
    <n v="-1"/>
    <n v="-1"/>
    <x v="11"/>
    <n v="-1"/>
    <n v="1"/>
    <s v=""/>
    <x v="0"/>
    <n v="-3.8999999999999993E-2"/>
    <s v=""/>
    <x v="0"/>
  </r>
  <r>
    <x v="6"/>
    <s v="09"/>
    <s v="00 - Non-Divisional"/>
    <s v="00"/>
    <s v="PS Salaries - Personnel services - salaries"/>
    <s v="4140-000"/>
    <s v="Overtime Salaries"/>
    <n v="1000"/>
    <n v="233.69"/>
    <n v="500"/>
    <n v="0"/>
    <n v="500"/>
    <n v="1804.06"/>
    <n v="500"/>
    <n v="1000"/>
    <n v="1000"/>
    <n v="1000"/>
    <n v="500"/>
    <n v="500"/>
    <n v="500"/>
    <n v="1"/>
    <n v="-0.76630999999999994"/>
    <n v="-1"/>
    <n v="2.60812"/>
    <n v="-0.5"/>
    <n v="-1"/>
    <n v="0"/>
    <s v=""/>
    <n v="0"/>
    <n v="-0.5"/>
    <n v="1"/>
    <n v="1"/>
    <n v="1"/>
    <n v="0"/>
    <n v="0"/>
    <n v="0"/>
    <n v="0"/>
    <n v="-0.5"/>
    <x v="12"/>
    <n v="-0.16666666666666666"/>
    <n v="1.1666666666666667"/>
    <s v=""/>
    <x v="0"/>
    <n v="0.96099999999999997"/>
    <s v=""/>
    <x v="0"/>
  </r>
  <r>
    <x v="6"/>
    <s v="09"/>
    <s v="00 - Non-Divisional"/>
    <s v="00"/>
    <s v="PS Benefits - Personnel services - benefits"/>
    <s v="4215-000"/>
    <s v="STD, LTD, &amp; Life  Benefits"/>
    <n v="2821"/>
    <n v="2044.32"/>
    <n v="2569"/>
    <n v="2444.33"/>
    <n v="3619"/>
    <n v="1605.55"/>
    <n v="2200"/>
    <n v="2634"/>
    <n v="2634"/>
    <n v="2634"/>
    <n v="2634"/>
    <n v="434"/>
    <n v="0"/>
    <n v="0.19727272727272727"/>
    <n v="-0.27532080822403404"/>
    <n v="-4.8528610354223463E-2"/>
    <n v="-0.55635534678087872"/>
    <n v="-8.9330024813895778E-2"/>
    <n v="0.1956689755028567"/>
    <n v="0.40871934604904631"/>
    <n v="-0.34315333854266811"/>
    <n v="-0.39209726443769"/>
    <n v="-0.22013470400567176"/>
    <n v="0.19727272727272727"/>
    <n v="0.19727272727272727"/>
    <n v="0.19727272727272727"/>
    <n v="0.19727272727272727"/>
    <n v="-6.6288550159517901E-2"/>
    <n v="-6.6288550159517901E-2"/>
    <n v="-6.6288550159517901E-2"/>
    <n v="-6.6288550159517901E-2"/>
    <x v="13"/>
    <n v="-2.4235981067513162E-2"/>
    <n v="0.22150870834024042"/>
    <s v=""/>
    <x v="0"/>
    <n v="0.15827272727272729"/>
    <s v=""/>
    <x v="0"/>
  </r>
  <r>
    <x v="6"/>
    <s v="09"/>
    <s v="00 - Non-Divisional"/>
    <s v="00"/>
    <s v="PS Benefits - Personnel services - benefits"/>
    <s v="4220-000"/>
    <s v="FICA Benefits"/>
    <n v="15579"/>
    <n v="10563.18"/>
    <n v="17321"/>
    <n v="10370.709999999999"/>
    <n v="17430"/>
    <n v="9379.92"/>
    <n v="18051"/>
    <n v="18876"/>
    <n v="18876"/>
    <n v="18876"/>
    <n v="18845"/>
    <n v="825"/>
    <n v="31"/>
    <n v="4.5703839122486288E-2"/>
    <n v="-0.32196033121509721"/>
    <n v="-0.40126378384619832"/>
    <n v="-0.46185197934595523"/>
    <n v="0.11181718980679119"/>
    <n v="-1.8220838800437098E-2"/>
    <n v="6.2929392067432597E-3"/>
    <n v="-9.5537335437978613E-2"/>
    <n v="3.5628227194492254E-2"/>
    <n v="0.15867513961101481"/>
    <n v="4.5703839122486288E-2"/>
    <n v="4.5703839122486288E-2"/>
    <n v="4.5703839122486288E-2"/>
    <n v="4.3986482743338322E-2"/>
    <n v="0.211631041787021"/>
    <n v="0.211631041787021"/>
    <n v="0.211631041787021"/>
    <n v="0.20964118364464984"/>
    <x v="1"/>
    <n v="5.12461187360089E-2"/>
    <n v="-5.5422796135226118E-3"/>
    <s v=""/>
    <x v="0"/>
    <n v="6.703839122486295E-3"/>
    <s v=""/>
    <x v="0"/>
  </r>
  <r>
    <x v="6"/>
    <s v="09"/>
    <s v="00 - Non-Divisional"/>
    <s v="00"/>
    <s v="PS Benefits - Personnel services - benefits"/>
    <s v="4225-000"/>
    <s v="Medicare Benefits"/>
    <n v="3644"/>
    <n v="2470.42"/>
    <n v="4051"/>
    <n v="2425.4"/>
    <n v="4077"/>
    <n v="2193.6999999999998"/>
    <n v="4222"/>
    <n v="4415"/>
    <n v="4415"/>
    <n v="4415"/>
    <n v="4408"/>
    <n v="193"/>
    <n v="7"/>
    <n v="4.5712932259592609E-2"/>
    <n v="-0.32205817782656421"/>
    <n v="-0.40128363367069858"/>
    <n v="-0.46193279372087326"/>
    <n v="0.11169045005488475"/>
    <n v="-1.8223621894252792E-2"/>
    <n v="6.4181683534929651E-3"/>
    <n v="-9.5530634122206762E-2"/>
    <n v="3.5565366691194505E-2"/>
    <n v="0.15861690450054886"/>
    <n v="4.5712932259592609E-2"/>
    <n v="4.5712932259592609E-2"/>
    <n v="4.5712932259592609E-2"/>
    <n v="4.4054950260540029E-2"/>
    <n v="0.21158068057080132"/>
    <n v="0.21158068057080132"/>
    <n v="0.21158068057080132"/>
    <n v="0.20965971459934138"/>
    <x v="2"/>
    <n v="5.1224661699857399E-2"/>
    <n v="-5.5117294402647898E-3"/>
    <s v=""/>
    <x v="0"/>
    <n v="6.7129322595926161E-3"/>
    <s v=""/>
    <x v="0"/>
  </r>
  <r>
    <x v="6"/>
    <s v="09"/>
    <s v="00 - Non-Divisional"/>
    <s v="00"/>
    <s v="PS Benefits - Personnel services - benefits"/>
    <s v="4230-000"/>
    <s v="Retirement Benefits"/>
    <n v="30142"/>
    <n v="29231.69"/>
    <n v="37799"/>
    <n v="23577.72"/>
    <n v="38036"/>
    <n v="21113.93"/>
    <n v="37119"/>
    <n v="38817"/>
    <n v="38817"/>
    <n v="38817"/>
    <n v="38753"/>
    <n v="1698"/>
    <n v="64"/>
    <n v="4.5744766831002988E-2"/>
    <n v="-3.0200716608055247E-2"/>
    <n v="-0.37623429191248442"/>
    <n v="-0.44489615101482805"/>
    <n v="0.25403092031053015"/>
    <n v="-0.19341919676898592"/>
    <n v="6.2700071430461125E-3"/>
    <n v="-0.10449653316775331"/>
    <n v="-2.4108739089283838E-2"/>
    <n v="0.23147103709110212"/>
    <n v="4.5744766831002988E-2"/>
    <n v="4.5744766831002988E-2"/>
    <n v="4.5744766831002988E-2"/>
    <n v="4.4020582451035857E-2"/>
    <n v="0.28780439254196799"/>
    <n v="0.28780439254196799"/>
    <n v="0.28780439254196799"/>
    <n v="0.28568110941543362"/>
    <x v="14"/>
    <n v="7.8730729454764128E-2"/>
    <n v="-3.2985962623761141E-2"/>
    <s v=""/>
    <x v="0"/>
    <n v="6.7447668310029948E-3"/>
    <s v=""/>
    <x v="0"/>
  </r>
  <r>
    <x v="6"/>
    <s v="09"/>
    <s v="00 - Non-Divisional"/>
    <s v="00"/>
    <s v="PS Benefits - Personnel services - benefits"/>
    <s v="4260-000"/>
    <s v="Workers' comp Benefits"/>
    <n v="6052"/>
    <n v="5767.8"/>
    <n v="6406"/>
    <n v="6824.3"/>
    <n v="7648"/>
    <n v="7647.53"/>
    <n v="9036"/>
    <n v="8901"/>
    <n v="8901"/>
    <n v="8901"/>
    <n v="8901"/>
    <n v="-135"/>
    <n v="0"/>
    <n v="-1.4940239043824702E-2"/>
    <n v="-4.6959682749504267E-2"/>
    <n v="6.5298157976896684E-2"/>
    <n v="-6.1453974895430791E-5"/>
    <n v="5.8493060145406478E-2"/>
    <n v="0.18317209334581641"/>
    <n v="0.19388073680924134"/>
    <n v="0.12063215274826715"/>
    <n v="0.18148535564853557"/>
    <n v="0.49306014540647719"/>
    <n v="-1.4940239043824702E-2"/>
    <n v="-1.4940239043824702E-2"/>
    <n v="-1.4940239043824702E-2"/>
    <n v="-1.4940239043824702E-2"/>
    <n v="0.47075346992729677"/>
    <n v="0.47075346992729677"/>
    <n v="0.47075346992729677"/>
    <n v="0.47075346992729677"/>
    <x v="3"/>
    <n v="0.14461971753439445"/>
    <n v="-0.15955995657821914"/>
    <s v=""/>
    <x v="0"/>
    <n v="-5.3940239043824695E-2"/>
    <s v=""/>
    <x v="0"/>
  </r>
  <r>
    <x v="6"/>
    <s v="09"/>
    <s v="00 - Non-Divisional"/>
    <s v="00"/>
    <s v="PS prof - Purchased services - professional &amp; technical"/>
    <s v="4241-000"/>
    <s v="Training Benefits"/>
    <n v="2100"/>
    <n v="0"/>
    <n v="2100"/>
    <n v="0"/>
    <n v="2100"/>
    <n v="0"/>
    <n v="1250"/>
    <n v="0"/>
    <n v="0"/>
    <n v="0"/>
    <n v="1250"/>
    <n v="-1250"/>
    <n v="-1250"/>
    <n v="-1"/>
    <n v="-1"/>
    <n v="-1"/>
    <n v="-1"/>
    <n v="0"/>
    <s v=""/>
    <n v="0"/>
    <s v=""/>
    <n v="-0.40476190476190477"/>
    <n v="-0.40476190476190477"/>
    <n v="-1"/>
    <n v="-1"/>
    <n v="-1"/>
    <n v="0"/>
    <n v="-1"/>
    <n v="-1"/>
    <n v="-1"/>
    <n v="-0.40476190476190477"/>
    <x v="30"/>
    <n v="-0.13492063492063491"/>
    <n v="-0.86507936507936511"/>
    <s v=""/>
    <x v="0"/>
    <n v="-1.0389999999999999"/>
    <s v=""/>
    <x v="0"/>
  </r>
  <r>
    <x v="6"/>
    <s v="09"/>
    <s v="00 - Non-Divisional"/>
    <s v="00"/>
    <s v="PS prof - Purchased services - professional &amp; technical"/>
    <s v="4330-000"/>
    <s v="MGMT services Services"/>
    <n v="90000"/>
    <n v="76942"/>
    <n v="80000"/>
    <n v="57551.6"/>
    <n v="80000"/>
    <n v="84793.82"/>
    <n v="77000"/>
    <n v="77000"/>
    <n v="77000"/>
    <n v="77000"/>
    <n v="77000"/>
    <n v="0"/>
    <n v="0"/>
    <n v="0"/>
    <n v="-0.14508888888888888"/>
    <n v="-0.28060499999999999"/>
    <n v="5.9922750000000087E-2"/>
    <n v="-0.1111111111111111"/>
    <n v="-0.25201320475163114"/>
    <n v="0"/>
    <n v="0.47335295630356078"/>
    <n v="-3.7499999999999999E-2"/>
    <n v="-0.14444444444444443"/>
    <n v="0"/>
    <n v="0"/>
    <n v="0"/>
    <n v="0"/>
    <n v="-0.14444444444444443"/>
    <n v="-0.14444444444444443"/>
    <n v="-0.14444444444444443"/>
    <n v="-0.14444444444444443"/>
    <x v="7"/>
    <n v="-4.9537037037037039E-2"/>
    <n v="4.9537037037037039E-2"/>
    <n v="73185.648148148146"/>
    <x v="17"/>
    <n v="-3.8999999999999993E-2"/>
    <s v=""/>
    <x v="0"/>
  </r>
  <r>
    <x v="6"/>
    <s v="09"/>
    <s v="00 - Non-Divisional"/>
    <s v="00"/>
    <s v="PS property - Purchased services - property services"/>
    <s v="4490-000"/>
    <s v="Clothing allowance Services"/>
    <n v="200"/>
    <n v="0"/>
    <n v="0"/>
    <n v="0"/>
    <n v="0"/>
    <n v="0"/>
    <n v="0"/>
    <n v="0"/>
    <n v="0"/>
    <n v="0"/>
    <n v="0"/>
    <n v="0"/>
    <n v="0"/>
    <s v=""/>
    <n v="-1"/>
    <s v=""/>
    <s v=""/>
    <n v="-1"/>
    <s v=""/>
    <s v=""/>
    <s v=""/>
    <s v=""/>
    <n v="-1"/>
    <s v=""/>
    <s v=""/>
    <s v=""/>
    <s v=""/>
    <n v="-1"/>
    <n v="-1"/>
    <n v="-1"/>
    <n v="-1"/>
    <x v="31"/>
    <n v="-1"/>
    <n v="1"/>
    <n v="0"/>
    <x v="9"/>
    <n v="-3.8999999999999993E-2"/>
    <s v=""/>
    <x v="0"/>
  </r>
  <r>
    <x v="6"/>
    <s v="09"/>
    <s v="00 - Non-Divisional"/>
    <s v="00"/>
    <s v="PS other - Purchased services - other"/>
    <s v="4550-000"/>
    <s v="Printing Services"/>
    <n v="250"/>
    <n v="0"/>
    <n v="250"/>
    <n v="4338.28"/>
    <n v="250"/>
    <n v="519.79999999999995"/>
    <n v="1250"/>
    <n v="1250"/>
    <n v="1250"/>
    <n v="1250"/>
    <n v="1250"/>
    <n v="0"/>
    <n v="0"/>
    <n v="0"/>
    <n v="-1"/>
    <n v="16.353120000000001"/>
    <n v="1.0791999999999997"/>
    <n v="0"/>
    <s v=""/>
    <n v="0"/>
    <n v="-0.88018292964031819"/>
    <n v="4"/>
    <n v="4"/>
    <n v="0"/>
    <n v="0"/>
    <n v="0"/>
    <n v="0"/>
    <n v="4"/>
    <n v="4"/>
    <n v="4"/>
    <n v="4"/>
    <x v="4"/>
    <n v="1.3333333333333333"/>
    <n v="-1.3333333333333333"/>
    <s v=""/>
    <x v="0"/>
    <n v="-3.8999999999999993E-2"/>
    <s v=""/>
    <x v="0"/>
  </r>
  <r>
    <x v="6"/>
    <s v="09"/>
    <s v="00 - Non-Divisional"/>
    <s v="00"/>
    <s v="PS other - Purchased services - other"/>
    <s v="4560-000"/>
    <s v="Dues &amp; subs Services"/>
    <n v="640"/>
    <n v="3561.56"/>
    <n v="640"/>
    <n v="911"/>
    <n v="640"/>
    <n v="2036.2"/>
    <n v="1140"/>
    <n v="2000"/>
    <n v="2000"/>
    <n v="2000"/>
    <n v="1140"/>
    <n v="860"/>
    <n v="860"/>
    <n v="0.75438596491228072"/>
    <n v="4.5649375000000001"/>
    <n v="0.42343750000000002"/>
    <n v="2.1815625000000001"/>
    <n v="0"/>
    <n v="-0.74421320994171092"/>
    <n v="0"/>
    <n v="1.235126234906696"/>
    <n v="0.78125"/>
    <n v="0.78125"/>
    <n v="0.75438596491228072"/>
    <n v="0.75438596491228072"/>
    <n v="0.75438596491228072"/>
    <n v="0"/>
    <n v="2.125"/>
    <n v="2.125"/>
    <n v="2.125"/>
    <n v="0.78125"/>
    <x v="15"/>
    <n v="0.26041666666666669"/>
    <n v="0.49396929824561403"/>
    <n v="1436.875"/>
    <x v="18"/>
    <n v="0.71538596491228068"/>
    <n v="1184.4599999999998"/>
    <x v="16"/>
  </r>
  <r>
    <x v="6"/>
    <s v="09"/>
    <s v="00 - Non-Divisional"/>
    <s v="00"/>
    <s v="PS other - Purchased services - other"/>
    <s v="4570-000"/>
    <s v="Sem &amp; workshops Services"/>
    <n v="3800"/>
    <n v="2694.09"/>
    <n v="3800"/>
    <n v="1831.2"/>
    <n v="3800"/>
    <n v="2139.8200000000002"/>
    <n v="3600"/>
    <n v="3600"/>
    <n v="3600"/>
    <n v="3600"/>
    <n v="3600"/>
    <n v="0"/>
    <n v="0"/>
    <n v="0"/>
    <n v="-0.291028947368421"/>
    <n v="-0.51810526315789474"/>
    <n v="-0.43688947368421049"/>
    <n v="0"/>
    <n v="-0.32028996804115678"/>
    <n v="0"/>
    <n v="0.16853429445172571"/>
    <n v="-5.2631578947368418E-2"/>
    <n v="-5.2631578947368418E-2"/>
    <n v="0"/>
    <n v="0"/>
    <n v="0"/>
    <n v="0"/>
    <n v="-5.2631578947368418E-2"/>
    <n v="-5.2631578947368418E-2"/>
    <n v="-5.2631578947368418E-2"/>
    <n v="-5.2631578947368418E-2"/>
    <x v="5"/>
    <n v="-1.7543859649122806E-2"/>
    <n v="1.7543859649122806E-2"/>
    <n v="3536.8421052631579"/>
    <x v="19"/>
    <n v="-3.8999999999999993E-2"/>
    <s v=""/>
    <x v="0"/>
  </r>
  <r>
    <x v="6"/>
    <s v="09"/>
    <s v="00 - Non-Divisional"/>
    <s v="00"/>
    <s v="PS other - Purchased services - other"/>
    <s v="4575-000"/>
    <s v="Travel &amp; mileage Services"/>
    <n v="350"/>
    <n v="129.28"/>
    <n v="350"/>
    <n v="1481.18"/>
    <n v="350"/>
    <n v="542.99"/>
    <n v="350"/>
    <n v="500"/>
    <n v="500"/>
    <n v="500"/>
    <n v="350"/>
    <n v="150"/>
    <n v="150"/>
    <n v="0.42857142857142855"/>
    <n v="-0.63062857142857143"/>
    <n v="3.2319428571428572"/>
    <n v="0.5514"/>
    <n v="0"/>
    <n v="10.457147277227723"/>
    <n v="0"/>
    <n v="-0.63340714835469014"/>
    <n v="0"/>
    <n v="0"/>
    <n v="0.42857142857142855"/>
    <n v="0.42857142857142855"/>
    <n v="0.42857142857142855"/>
    <n v="0"/>
    <n v="0.42857142857142855"/>
    <n v="0.42857142857142855"/>
    <n v="0.42857142857142855"/>
    <n v="0"/>
    <x v="6"/>
    <n v="0"/>
    <n v="0.42857142857142855"/>
    <n v="350"/>
    <x v="20"/>
    <n v="0.38957142857142857"/>
    <n v="363.65"/>
    <x v="17"/>
  </r>
  <r>
    <x v="6"/>
    <s v="09"/>
    <s v="00 - Non-Divisional"/>
    <s v="00"/>
    <s v="Supplies - Supplies"/>
    <s v="4610-000"/>
    <s v="General expenses Supplies"/>
    <n v="0"/>
    <n v="0"/>
    <n v="0"/>
    <n v="0"/>
    <n v="0"/>
    <n v="0"/>
    <n v="0"/>
    <n v="1150"/>
    <n v="1150"/>
    <n v="1150"/>
    <n v="0"/>
    <n v="1150"/>
    <n v="1150"/>
    <s v=""/>
    <s v=""/>
    <s v=""/>
    <s v=""/>
    <s v=""/>
    <s v=""/>
    <s v=""/>
    <s v=""/>
    <s v=""/>
    <s v=""/>
    <s v=""/>
    <s v=""/>
    <s v=""/>
    <s v=""/>
    <s v=""/>
    <s v=""/>
    <s v=""/>
    <s v=""/>
    <x v="8"/>
    <n v="0"/>
    <n v="0"/>
    <s v=""/>
    <x v="0"/>
    <n v="-3.8999999999999993E-2"/>
    <s v=""/>
    <x v="0"/>
  </r>
  <r>
    <x v="6"/>
    <s v="09"/>
    <s v="00 - Non-Divisional"/>
    <s v="00"/>
    <s v="Supplies - Supplies"/>
    <s v="4620-000"/>
    <s v="Office supplies Supplies"/>
    <n v="685"/>
    <n v="1402.57"/>
    <n v="685"/>
    <n v="593.36"/>
    <n v="685"/>
    <n v="1161.7"/>
    <n v="685"/>
    <n v="0"/>
    <n v="0"/>
    <n v="0"/>
    <n v="685"/>
    <n v="-685"/>
    <n v="-685"/>
    <n v="-1"/>
    <n v="1.0475474452554743"/>
    <n v="-0.13378102189781019"/>
    <n v="0.69591240875912419"/>
    <n v="0"/>
    <n v="-0.57694803111431159"/>
    <n v="0"/>
    <n v="0.95783335580423357"/>
    <n v="0"/>
    <n v="0"/>
    <n v="-1"/>
    <n v="-1"/>
    <n v="-1"/>
    <n v="0"/>
    <n v="-1"/>
    <n v="-1"/>
    <n v="-1"/>
    <n v="0"/>
    <x v="16"/>
    <n v="0"/>
    <n v="-1"/>
    <s v=""/>
    <x v="0"/>
    <n v="-1.0389999999999999"/>
    <s v=""/>
    <x v="0"/>
  </r>
  <r>
    <x v="6"/>
    <s v="09"/>
    <s v="00 - Non-Divisional"/>
    <s v="00"/>
    <s v="Supplies - Supplies"/>
    <s v="4625-000"/>
    <s v="Postage Supplies"/>
    <n v="1000"/>
    <n v="1103.03"/>
    <n v="1000"/>
    <n v="4456.6400000000003"/>
    <n v="1000"/>
    <n v="1385.06"/>
    <n v="1250"/>
    <n v="1250"/>
    <n v="1250"/>
    <n v="1250"/>
    <n v="1250"/>
    <n v="0"/>
    <n v="0"/>
    <n v="0"/>
    <n v="0.10302999999999997"/>
    <n v="3.4566400000000002"/>
    <n v="0.38505999999999996"/>
    <n v="0"/>
    <n v="3.040361549549877"/>
    <n v="0"/>
    <n v="-0.68921429597185324"/>
    <n v="0.25"/>
    <n v="0.25"/>
    <n v="0"/>
    <n v="0"/>
    <n v="0"/>
    <n v="0"/>
    <n v="0.25"/>
    <n v="0.25"/>
    <n v="0.25"/>
    <n v="0.25"/>
    <x v="17"/>
    <n v="8.3333333333333329E-2"/>
    <n v="-8.3333333333333329E-2"/>
    <s v=""/>
    <x v="0"/>
    <n v="-3.8999999999999993E-2"/>
    <s v=""/>
    <x v="0"/>
  </r>
  <r>
    <x v="6"/>
    <s v="09"/>
    <s v="00 - Non-Divisional"/>
    <s v="00"/>
    <s v="Supplies - Supplies"/>
    <s v="4630-000"/>
    <s v="Maint &amp; repairs Supplies"/>
    <n v="100"/>
    <n v="0"/>
    <n v="100"/>
    <n v="0"/>
    <n v="100"/>
    <n v="0"/>
    <n v="0"/>
    <n v="0"/>
    <n v="0"/>
    <n v="0"/>
    <n v="0"/>
    <n v="0"/>
    <n v="0"/>
    <s v=""/>
    <n v="-1"/>
    <n v="-1"/>
    <n v="-1"/>
    <n v="0"/>
    <s v=""/>
    <n v="0"/>
    <s v=""/>
    <n v="-1"/>
    <n v="-1"/>
    <s v=""/>
    <s v=""/>
    <s v=""/>
    <s v=""/>
    <n v="-1"/>
    <n v="-1"/>
    <n v="-1"/>
    <n v="-1"/>
    <x v="32"/>
    <n v="-0.33333333333333331"/>
    <n v="0.33333333333333331"/>
    <n v="0"/>
    <x v="9"/>
    <n v="-3.8999999999999993E-2"/>
    <s v=""/>
    <x v="0"/>
  </r>
  <r>
    <x v="7"/>
    <s v="10"/>
    <s v="00 - Non-Divisional"/>
    <s v="00"/>
    <s v="PS Salaries - Personnel services - salaries"/>
    <s v="4110-000"/>
    <s v="Regular Salaries"/>
    <n v="0"/>
    <n v="0"/>
    <n v="0"/>
    <n v="0"/>
    <n v="0"/>
    <n v="0"/>
    <n v="0"/>
    <n v="267500"/>
    <n v="267500"/>
    <n v="241007"/>
    <n v="0"/>
    <n v="241007"/>
    <n v="241007"/>
    <s v=""/>
    <s v=""/>
    <s v=""/>
    <s v=""/>
    <s v=""/>
    <s v=""/>
    <s v=""/>
    <s v=""/>
    <s v=""/>
    <s v=""/>
    <s v=""/>
    <s v=""/>
    <s v=""/>
    <s v=""/>
    <s v=""/>
    <s v=""/>
    <s v=""/>
    <s v=""/>
    <x v="10"/>
    <n v="0"/>
    <n v="0"/>
    <s v=""/>
    <x v="0"/>
    <n v="-3.8999999999999993E-2"/>
    <s v=""/>
    <x v="0"/>
  </r>
  <r>
    <x v="7"/>
    <s v="10"/>
    <s v="00 - Non-Divisional"/>
    <s v="00"/>
    <s v="PS Benefits - Personnel services - benefits"/>
    <s v="4215-000"/>
    <s v="STD, LTD, &amp; Life  Benefits"/>
    <n v="0"/>
    <n v="0"/>
    <n v="0"/>
    <n v="0"/>
    <n v="0"/>
    <n v="0"/>
    <n v="0"/>
    <n v="2142"/>
    <n v="2142"/>
    <n v="2142"/>
    <n v="0"/>
    <n v="2142"/>
    <n v="2142"/>
    <s v=""/>
    <s v=""/>
    <s v=""/>
    <s v=""/>
    <s v=""/>
    <s v=""/>
    <s v=""/>
    <s v=""/>
    <s v=""/>
    <s v=""/>
    <s v=""/>
    <s v=""/>
    <s v=""/>
    <s v=""/>
    <s v=""/>
    <s v=""/>
    <s v=""/>
    <s v=""/>
    <x v="13"/>
    <n v="0"/>
    <n v="0"/>
    <s v=""/>
    <x v="0"/>
    <n v="-3.8999999999999993E-2"/>
    <s v=""/>
    <x v="0"/>
  </r>
  <r>
    <x v="7"/>
    <s v="10"/>
    <s v="00 - Non-Divisional"/>
    <s v="00"/>
    <s v="PS Benefits - Personnel services - benefits"/>
    <s v="4220-000"/>
    <s v="FICA Benefits"/>
    <n v="0"/>
    <n v="0"/>
    <n v="0"/>
    <n v="0"/>
    <n v="0"/>
    <n v="0"/>
    <n v="0"/>
    <n v="16585"/>
    <n v="16585"/>
    <n v="14943"/>
    <n v="0"/>
    <n v="14943"/>
    <n v="14943"/>
    <s v=""/>
    <s v=""/>
    <s v=""/>
    <s v=""/>
    <s v=""/>
    <s v=""/>
    <s v=""/>
    <s v=""/>
    <s v=""/>
    <s v=""/>
    <s v=""/>
    <s v=""/>
    <s v=""/>
    <s v=""/>
    <s v=""/>
    <s v=""/>
    <s v=""/>
    <s v=""/>
    <x v="1"/>
    <n v="0"/>
    <n v="0"/>
    <s v=""/>
    <x v="0"/>
    <n v="-3.8999999999999993E-2"/>
    <s v=""/>
    <x v="0"/>
  </r>
  <r>
    <x v="7"/>
    <s v="10"/>
    <s v="00 - Non-Divisional"/>
    <s v="00"/>
    <s v="PS Benefits - Personnel services - benefits"/>
    <s v="4225-000"/>
    <s v="Medicare Benefits"/>
    <n v="0"/>
    <n v="0"/>
    <n v="0"/>
    <n v="0"/>
    <n v="0"/>
    <n v="0"/>
    <n v="0"/>
    <n v="3879"/>
    <n v="3879"/>
    <n v="3495"/>
    <n v="0"/>
    <n v="3495"/>
    <n v="3495"/>
    <s v=""/>
    <s v=""/>
    <s v=""/>
    <s v=""/>
    <s v=""/>
    <s v=""/>
    <s v=""/>
    <s v=""/>
    <s v=""/>
    <s v=""/>
    <s v=""/>
    <s v=""/>
    <s v=""/>
    <s v=""/>
    <s v=""/>
    <s v=""/>
    <s v=""/>
    <s v=""/>
    <x v="2"/>
    <n v="0"/>
    <n v="0"/>
    <s v=""/>
    <x v="0"/>
    <n v="-3.8999999999999993E-2"/>
    <s v=""/>
    <x v="0"/>
  </r>
  <r>
    <x v="7"/>
    <s v="10"/>
    <s v="00 - Non-Divisional"/>
    <s v="00"/>
    <s v="PS Benefits - Personnel services - benefits"/>
    <s v="4230-000"/>
    <s v="Retirement Benefits"/>
    <n v="0"/>
    <n v="0"/>
    <n v="0"/>
    <n v="0"/>
    <n v="0"/>
    <n v="0"/>
    <n v="0"/>
    <n v="34107"/>
    <n v="34107"/>
    <n v="30729"/>
    <n v="0"/>
    <n v="30729"/>
    <n v="30729"/>
    <s v=""/>
    <s v=""/>
    <s v=""/>
    <s v=""/>
    <s v=""/>
    <s v=""/>
    <s v=""/>
    <s v=""/>
    <s v=""/>
    <s v=""/>
    <s v=""/>
    <s v=""/>
    <s v=""/>
    <s v=""/>
    <s v=""/>
    <s v=""/>
    <s v=""/>
    <s v=""/>
    <x v="14"/>
    <n v="0"/>
    <n v="0"/>
    <s v=""/>
    <x v="0"/>
    <n v="-3.8999999999999993E-2"/>
    <s v=""/>
    <x v="0"/>
  </r>
  <r>
    <x v="7"/>
    <s v="10"/>
    <s v="00 - Non-Divisional"/>
    <s v="00"/>
    <s v="PS Benefits - Personnel services - benefits"/>
    <s v="4260-000"/>
    <s v="Workers' comp Benefits"/>
    <m/>
    <m/>
    <m/>
    <m/>
    <n v="0"/>
    <n v="0"/>
    <n v="0"/>
    <n v="335"/>
    <n v="335"/>
    <n v="335"/>
    <n v="0"/>
    <n v="335"/>
    <n v="335"/>
    <s v=""/>
    <s v=""/>
    <s v=""/>
    <s v=""/>
    <s v=""/>
    <s v=""/>
    <s v=""/>
    <s v=""/>
    <s v=""/>
    <s v=""/>
    <s v=""/>
    <s v=""/>
    <s v=""/>
    <s v=""/>
    <s v=""/>
    <s v=""/>
    <s v=""/>
    <s v=""/>
    <x v="3"/>
    <n v="0"/>
    <n v="0"/>
    <s v=""/>
    <x v="0"/>
    <n v="-3.8999999999999993E-2"/>
    <s v=""/>
    <x v="0"/>
  </r>
  <r>
    <x v="7"/>
    <s v="10"/>
    <s v="00 - Non-Divisional"/>
    <s v="00"/>
    <s v="PS prof - Purchased services - professional &amp; technical"/>
    <s v="4330-000"/>
    <s v="MGMT services Services"/>
    <n v="281859"/>
    <n v="260034.02"/>
    <n v="303721"/>
    <n v="300167.69"/>
    <n v="342116"/>
    <n v="351836.84"/>
    <n v="339120"/>
    <n v="630131"/>
    <n v="630131"/>
    <n v="630131"/>
    <n v="585500"/>
    <n v="291011"/>
    <n v="44631"/>
    <n v="0.85813576315168671"/>
    <n v="-7.7432262230406015E-2"/>
    <n v="-1.1699256883784781E-2"/>
    <n v="2.8413871318500233E-2"/>
    <n v="7.7563604497284097E-2"/>
    <n v="0.15434007442564637"/>
    <n v="0.12641536146660914"/>
    <n v="0.17213428267379485"/>
    <n v="-8.7572636181879829E-3"/>
    <n v="0.2031547688737986"/>
    <n v="0.85813576315168671"/>
    <n v="0.85813576315168671"/>
    <n v="0.85813576315168671"/>
    <n v="0.7265274828969096"/>
    <n v="1.2356249046509069"/>
    <n v="1.2356249046509069"/>
    <n v="1.2356249046509069"/>
    <n v="1.0772797746390925"/>
    <x v="7"/>
    <n v="6.5073900781901756E-2"/>
    <n v="0.79306186236978493"/>
    <n v="361187.8612331585"/>
    <x v="21"/>
    <n v="0.81913576315168668"/>
    <n v="352345.68"/>
    <x v="18"/>
  </r>
  <r>
    <x v="7"/>
    <s v="10"/>
    <s v="00 - Non-Divisional"/>
    <s v="00"/>
    <s v="PS prof - Purchased services - professional &amp; technical"/>
    <s v="4332-000"/>
    <s v="Contracted services Services"/>
    <n v="200000"/>
    <n v="219999.96"/>
    <n v="231000"/>
    <n v="231000"/>
    <n v="242550"/>
    <n v="242550"/>
    <n v="254678"/>
    <n v="0"/>
    <n v="0"/>
    <n v="0"/>
    <n v="262319"/>
    <n v="-254678"/>
    <n v="-262319"/>
    <n v="-1"/>
    <n v="9.9999799999999958E-2"/>
    <n v="0"/>
    <n v="0"/>
    <n v="0.155"/>
    <n v="5.0000190909125657E-2"/>
    <n v="0.05"/>
    <n v="0.05"/>
    <n v="5.0002061430632856E-2"/>
    <n v="0.27339000000000002"/>
    <n v="-1"/>
    <n v="-1"/>
    <n v="-1"/>
    <n v="3.0002591507707774E-2"/>
    <n v="-1"/>
    <n v="-1"/>
    <n v="-1"/>
    <n v="0.31159500000000001"/>
    <x v="33"/>
    <n v="8.5000687143544293E-2"/>
    <n v="-1.0850006871435443"/>
    <s v=""/>
    <x v="0"/>
    <n v="-1.0389999999999999"/>
    <s v=""/>
    <x v="0"/>
  </r>
  <r>
    <x v="7"/>
    <s v="10"/>
    <s v="00 - Non-Divisional"/>
    <s v="00"/>
    <s v="PS prof - Purchased services - professional &amp; technical"/>
    <s v="4341-000"/>
    <s v="Telephone Services"/>
    <n v="0"/>
    <m/>
    <n v="0"/>
    <n v="0"/>
    <n v="0"/>
    <n v="0"/>
    <n v="46250"/>
    <n v="46250"/>
    <n v="46250"/>
    <n v="46250"/>
    <n v="46250"/>
    <n v="0"/>
    <n v="0"/>
    <n v="0"/>
    <s v=""/>
    <s v=""/>
    <s v=""/>
    <s v=""/>
    <s v=""/>
    <s v=""/>
    <s v=""/>
    <s v=""/>
    <s v=""/>
    <n v="0"/>
    <n v="0"/>
    <n v="0"/>
    <n v="0"/>
    <s v=""/>
    <s v=""/>
    <s v=""/>
    <s v=""/>
    <x v="34"/>
    <n v="0"/>
    <n v="0"/>
    <s v=""/>
    <x v="0"/>
    <n v="-3.8999999999999993E-2"/>
    <s v=""/>
    <x v="0"/>
  </r>
  <r>
    <x v="7"/>
    <s v="10"/>
    <s v="00 - Non-Divisional"/>
    <s v="00"/>
    <s v="PS property - Purchased services - property services"/>
    <s v="4430-000"/>
    <s v="Repairs &amp; maint Service"/>
    <n v="1300"/>
    <n v="0"/>
    <n v="0"/>
    <n v="0"/>
    <n v="0"/>
    <n v="0"/>
    <n v="0"/>
    <n v="0"/>
    <n v="0"/>
    <n v="0"/>
    <n v="0"/>
    <n v="0"/>
    <n v="0"/>
    <s v=""/>
    <n v="-1"/>
    <s v=""/>
    <s v=""/>
    <n v="-1"/>
    <s v=""/>
    <s v=""/>
    <s v=""/>
    <s v=""/>
    <n v="-1"/>
    <s v=""/>
    <s v=""/>
    <s v=""/>
    <s v=""/>
    <n v="-1"/>
    <n v="-1"/>
    <n v="-1"/>
    <n v="-1"/>
    <x v="35"/>
    <n v="-1"/>
    <n v="1"/>
    <n v="0"/>
    <x v="9"/>
    <n v="-3.8999999999999993E-2"/>
    <s v=""/>
    <x v="0"/>
  </r>
  <r>
    <x v="7"/>
    <s v="10"/>
    <s v="00 - Non-Divisional"/>
    <s v="00"/>
    <s v="PS other - Purchased services - other"/>
    <s v="4560-000"/>
    <s v="Dues &amp; subs Services"/>
    <n v="500"/>
    <n v="0"/>
    <n v="0"/>
    <n v="0"/>
    <n v="0"/>
    <n v="0"/>
    <n v="0"/>
    <n v="0"/>
    <n v="0"/>
    <n v="0"/>
    <n v="0"/>
    <n v="0"/>
    <n v="0"/>
    <s v=""/>
    <n v="-1"/>
    <s v=""/>
    <s v=""/>
    <n v="-1"/>
    <s v=""/>
    <s v=""/>
    <s v=""/>
    <s v=""/>
    <n v="-1"/>
    <s v=""/>
    <s v=""/>
    <s v=""/>
    <s v=""/>
    <n v="-1"/>
    <n v="-1"/>
    <n v="-1"/>
    <n v="-1"/>
    <x v="15"/>
    <n v="-1"/>
    <n v="1"/>
    <n v="0"/>
    <x v="9"/>
    <n v="-3.8999999999999993E-2"/>
    <s v=""/>
    <x v="0"/>
  </r>
  <r>
    <x v="7"/>
    <s v="10"/>
    <s v="00 - Non-Divisional"/>
    <s v="00"/>
    <s v="PS other - Purchased services - other"/>
    <s v="4570-000"/>
    <s v="Sem &amp; workshops Services"/>
    <n v="1200"/>
    <n v="0"/>
    <n v="0"/>
    <n v="0"/>
    <n v="0"/>
    <n v="0"/>
    <n v="0"/>
    <n v="0"/>
    <n v="0"/>
    <n v="0"/>
    <n v="0"/>
    <n v="0"/>
    <n v="0"/>
    <s v=""/>
    <n v="-1"/>
    <s v=""/>
    <s v=""/>
    <n v="-1"/>
    <s v=""/>
    <s v=""/>
    <s v=""/>
    <s v=""/>
    <n v="-1"/>
    <s v=""/>
    <s v=""/>
    <s v=""/>
    <s v=""/>
    <n v="-1"/>
    <n v="-1"/>
    <n v="-1"/>
    <n v="-1"/>
    <x v="5"/>
    <n v="-1"/>
    <n v="1"/>
    <n v="0"/>
    <x v="9"/>
    <n v="-3.8999999999999993E-2"/>
    <s v=""/>
    <x v="0"/>
  </r>
  <r>
    <x v="7"/>
    <s v="10"/>
    <s v="00 - Non-Divisional"/>
    <s v="00"/>
    <s v="Supplies - Supplies"/>
    <s v="4610-000"/>
    <s v="General expenses Supplies"/>
    <n v="33000"/>
    <n v="38411.93"/>
    <n v="34000"/>
    <n v="35868.99"/>
    <n v="34000"/>
    <n v="50351.82"/>
    <n v="34000"/>
    <n v="44000"/>
    <n v="44000"/>
    <n v="44000"/>
    <n v="34000"/>
    <n v="10000"/>
    <n v="10000"/>
    <n v="0.29411764705882354"/>
    <n v="0.1639978787878788"/>
    <n v="5.4970294117646999E-2"/>
    <n v="0.48093588235294116"/>
    <n v="3.0303030303030304E-2"/>
    <n v="-6.6201828442361582E-2"/>
    <n v="0"/>
    <n v="0.40377022046062638"/>
    <n v="0"/>
    <n v="3.0303030303030304E-2"/>
    <n v="0.29411764705882354"/>
    <n v="0.29411764705882354"/>
    <n v="0.29411764705882354"/>
    <n v="0"/>
    <n v="0.33333333333333331"/>
    <n v="0.33333333333333331"/>
    <n v="0.33333333333333331"/>
    <n v="3.0303030303030304E-2"/>
    <x v="8"/>
    <n v="1.0101010101010102E-2"/>
    <n v="0.28401663695781343"/>
    <n v="34343.434343434346"/>
    <x v="22"/>
    <n v="0.25511764705882356"/>
    <n v="35326"/>
    <x v="19"/>
  </r>
  <r>
    <x v="7"/>
    <s v="10"/>
    <s v="00 - Non-Divisional"/>
    <s v="00"/>
    <s v="Supplies - Supplies"/>
    <s v="4620-000"/>
    <s v="Office supplies Supplies"/>
    <n v="500"/>
    <n v="8.99"/>
    <n v="500"/>
    <n v="1365"/>
    <n v="500"/>
    <n v="88"/>
    <n v="500"/>
    <n v="500"/>
    <n v="500"/>
    <n v="500"/>
    <n v="500"/>
    <n v="0"/>
    <n v="0"/>
    <n v="0"/>
    <n v="-0.98202"/>
    <n v="1.73"/>
    <n v="-0.82399999999999995"/>
    <n v="0"/>
    <n v="150.83537263626252"/>
    <n v="0"/>
    <n v="-0.93553113553113554"/>
    <n v="0"/>
    <n v="0"/>
    <n v="0"/>
    <n v="0"/>
    <n v="0"/>
    <n v="0"/>
    <n v="0"/>
    <n v="0"/>
    <n v="0"/>
    <n v="0"/>
    <x v="16"/>
    <n v="0"/>
    <n v="0"/>
    <s v=""/>
    <x v="0"/>
    <n v="-3.8999999999999993E-2"/>
    <s v=""/>
    <x v="0"/>
  </r>
  <r>
    <x v="7"/>
    <s v="10"/>
    <s v="00 - Non-Divisional"/>
    <s v="00"/>
    <s v="Supplies - Supplies"/>
    <s v="4630-000"/>
    <s v="Maint &amp; repairs Supplies"/>
    <n v="0"/>
    <n v="0"/>
    <n v="0"/>
    <n v="0"/>
    <n v="0"/>
    <n v="0"/>
    <n v="0"/>
    <n v="0"/>
    <n v="0"/>
    <n v="0"/>
    <n v="0"/>
    <n v="0"/>
    <n v="0"/>
    <s v=""/>
    <s v=""/>
    <s v=""/>
    <s v=""/>
    <s v=""/>
    <s v=""/>
    <s v=""/>
    <s v=""/>
    <s v=""/>
    <s v=""/>
    <s v=""/>
    <s v=""/>
    <s v=""/>
    <s v=""/>
    <s v=""/>
    <s v=""/>
    <s v=""/>
    <s v=""/>
    <x v="32"/>
    <n v="0"/>
    <n v="0"/>
    <s v=""/>
    <x v="0"/>
    <n v="-3.8999999999999993E-2"/>
    <s v=""/>
    <x v="0"/>
  </r>
  <r>
    <x v="7"/>
    <s v="10"/>
    <s v="00 - Non-Divisional"/>
    <s v="00"/>
    <s v="Supplies - Supplies"/>
    <s v="4670-000"/>
    <s v="Books &amp; periodicals Supplies"/>
    <n v="100"/>
    <m/>
    <n v="0"/>
    <n v="0"/>
    <n v="0"/>
    <n v="0"/>
    <n v="0"/>
    <n v="0"/>
    <n v="0"/>
    <n v="0"/>
    <n v="0"/>
    <n v="0"/>
    <n v="0"/>
    <s v=""/>
    <n v="-1"/>
    <s v=""/>
    <s v=""/>
    <n v="-1"/>
    <s v=""/>
    <s v=""/>
    <s v=""/>
    <s v=""/>
    <n v="-1"/>
    <s v=""/>
    <s v=""/>
    <s v=""/>
    <s v=""/>
    <n v="-1"/>
    <n v="-1"/>
    <n v="-1"/>
    <n v="-1"/>
    <x v="18"/>
    <n v="-1"/>
    <n v="1"/>
    <n v="0"/>
    <x v="9"/>
    <n v="-3.8999999999999993E-2"/>
    <s v=""/>
    <x v="0"/>
  </r>
  <r>
    <x v="7"/>
    <s v="10"/>
    <s v="00 - Non-Divisional"/>
    <s v="00"/>
    <s v="Property - Property"/>
    <s v="4740-000"/>
    <s v="Mach &amp; equip Property"/>
    <n v="25600"/>
    <n v="34233.919999999998"/>
    <n v="27700"/>
    <n v="34078.959999999999"/>
    <n v="27700"/>
    <n v="36258.660000000003"/>
    <n v="29950"/>
    <n v="34800"/>
    <n v="34800"/>
    <n v="34800"/>
    <n v="29950"/>
    <n v="4850"/>
    <n v="4850"/>
    <n v="0.16193656093489148"/>
    <n v="0.33726249999999991"/>
    <n v="0.2302873646209386"/>
    <n v="0.30897689530685934"/>
    <n v="8.203125E-2"/>
    <n v="-4.5265047064431746E-3"/>
    <n v="0"/>
    <n v="6.3960285173021839E-2"/>
    <n v="8.1227436823104696E-2"/>
    <n v="0.169921875"/>
    <n v="0.16193656093489148"/>
    <n v="0.16193656093489148"/>
    <n v="0.16193656093489148"/>
    <n v="0"/>
    <n v="0.359375"/>
    <n v="0.359375"/>
    <n v="0.359375"/>
    <n v="0.169921875"/>
    <x v="26"/>
    <n v="5.4419562274368227E-2"/>
    <n v="0.10751699866052325"/>
    <n v="31579.865890117326"/>
    <x v="23"/>
    <n v="0.12293656093489148"/>
    <n v="31118.05"/>
    <x v="20"/>
  </r>
  <r>
    <x v="7"/>
    <s v="10"/>
    <s v="00 - Non-Divisional"/>
    <s v="00"/>
    <s v="Property - Property"/>
    <s v="4750-000"/>
    <s v="Furniture &amp; fixures Property"/>
    <n v="500"/>
    <n v="0"/>
    <n v="500"/>
    <n v="1200"/>
    <n v="500"/>
    <n v="500"/>
    <n v="1000"/>
    <n v="1000"/>
    <n v="1000"/>
    <n v="1000"/>
    <n v="1000"/>
    <n v="0"/>
    <n v="0"/>
    <n v="0"/>
    <n v="-1"/>
    <n v="1.4"/>
    <n v="0"/>
    <n v="0"/>
    <s v=""/>
    <n v="0"/>
    <n v="-0.58333333333333337"/>
    <n v="1"/>
    <n v="1"/>
    <n v="0"/>
    <n v="0"/>
    <n v="0"/>
    <n v="0"/>
    <n v="1"/>
    <n v="1"/>
    <n v="1"/>
    <n v="1"/>
    <x v="19"/>
    <n v="0.33333333333333331"/>
    <n v="-0.33333333333333331"/>
    <s v=""/>
    <x v="0"/>
    <n v="-3.8999999999999993E-2"/>
    <s v=""/>
    <x v="0"/>
  </r>
  <r>
    <x v="8"/>
    <s v="12"/>
    <s v="00 - Non-Divisional"/>
    <s v="00"/>
    <s v="PS Salaries - Personnel services - salaries"/>
    <s v="4110-000"/>
    <s v="Regular Salaries"/>
    <n v="111431"/>
    <n v="0"/>
    <n v="80496"/>
    <n v="0"/>
    <n v="0"/>
    <n v="0"/>
    <n v="0"/>
    <n v="0"/>
    <n v="0"/>
    <n v="0"/>
    <n v="0"/>
    <n v="0"/>
    <n v="0"/>
    <s v=""/>
    <n v="-1"/>
    <n v="-1"/>
    <s v=""/>
    <n v="-0.27761574427224023"/>
    <s v=""/>
    <n v="-1"/>
    <s v=""/>
    <s v=""/>
    <n v="-1"/>
    <s v=""/>
    <s v=""/>
    <s v=""/>
    <s v=""/>
    <n v="-1"/>
    <n v="-1"/>
    <n v="-1"/>
    <n v="-1"/>
    <x v="10"/>
    <n v="-0.63880787213612011"/>
    <n v="0.63880787213612011"/>
    <s v=""/>
    <x v="0"/>
    <n v="-3.8999999999999993E-2"/>
    <s v=""/>
    <x v="0"/>
  </r>
  <r>
    <x v="8"/>
    <s v="12"/>
    <s v="00 - Non-Divisional"/>
    <s v="00"/>
    <s v="PS Benefits - Personnel services - benefits"/>
    <s v="4215-000"/>
    <s v="STD, LTD, &amp; Life  Benefits"/>
    <n v="1446"/>
    <n v="0"/>
    <n v="1278"/>
    <n v="0"/>
    <n v="0"/>
    <n v="0"/>
    <n v="0"/>
    <n v="0"/>
    <n v="0"/>
    <n v="0"/>
    <n v="0"/>
    <n v="0"/>
    <n v="0"/>
    <s v=""/>
    <n v="-1"/>
    <n v="-1"/>
    <s v=""/>
    <n v="-0.11618257261410789"/>
    <s v=""/>
    <n v="-1"/>
    <s v=""/>
    <s v=""/>
    <n v="-1"/>
    <s v=""/>
    <s v=""/>
    <s v=""/>
    <s v=""/>
    <n v="-1"/>
    <n v="-1"/>
    <n v="-1"/>
    <n v="-1"/>
    <x v="13"/>
    <n v="-0.55809128630705396"/>
    <n v="0.55809128630705396"/>
    <s v=""/>
    <x v="0"/>
    <n v="-3.8999999999999993E-2"/>
    <s v=""/>
    <x v="0"/>
  </r>
  <r>
    <x v="8"/>
    <s v="12"/>
    <s v="00 - Non-Divisional"/>
    <s v="00"/>
    <s v="PS Benefits - Personnel services - benefits"/>
    <s v="4220-000"/>
    <s v="FICA Benefits"/>
    <n v="6909"/>
    <n v="0"/>
    <n v="4991"/>
    <n v="0"/>
    <n v="0"/>
    <n v="0"/>
    <n v="0"/>
    <n v="0"/>
    <n v="0"/>
    <n v="0"/>
    <n v="0"/>
    <n v="0"/>
    <n v="0"/>
    <s v=""/>
    <n v="-1"/>
    <n v="-1"/>
    <s v=""/>
    <n v="-0.27760891590678827"/>
    <s v=""/>
    <n v="-1"/>
    <s v=""/>
    <s v=""/>
    <n v="-1"/>
    <s v=""/>
    <s v=""/>
    <s v=""/>
    <s v=""/>
    <n v="-1"/>
    <n v="-1"/>
    <n v="-1"/>
    <n v="-1"/>
    <x v="1"/>
    <n v="-0.63880445795339413"/>
    <n v="0.63880445795339413"/>
    <s v=""/>
    <x v="0"/>
    <n v="-3.8999999999999993E-2"/>
    <s v=""/>
    <x v="0"/>
  </r>
  <r>
    <x v="8"/>
    <s v="12"/>
    <s v="00 - Non-Divisional"/>
    <s v="00"/>
    <s v="PS Benefits - Personnel services - benefits"/>
    <s v="4225-000"/>
    <s v="Medicare Benefits"/>
    <n v="1616"/>
    <n v="0"/>
    <n v="1168"/>
    <n v="0"/>
    <n v="0"/>
    <n v="0"/>
    <n v="0"/>
    <n v="0"/>
    <n v="0"/>
    <n v="0"/>
    <n v="0"/>
    <n v="0"/>
    <n v="0"/>
    <s v=""/>
    <n v="-1"/>
    <n v="-1"/>
    <s v=""/>
    <n v="-0.27722772277227725"/>
    <s v=""/>
    <n v="-1"/>
    <s v=""/>
    <s v=""/>
    <n v="-1"/>
    <s v=""/>
    <s v=""/>
    <s v=""/>
    <s v=""/>
    <n v="-1"/>
    <n v="-1"/>
    <n v="-1"/>
    <n v="-1"/>
    <x v="2"/>
    <n v="-0.63861386138613863"/>
    <n v="0.63861386138613863"/>
    <s v=""/>
    <x v="0"/>
    <n v="-3.8999999999999993E-2"/>
    <s v=""/>
    <x v="0"/>
  </r>
  <r>
    <x v="8"/>
    <s v="12"/>
    <s v="00 - Non-Divisional"/>
    <s v="00"/>
    <s v="PS Benefits - Personnel services - benefits"/>
    <s v="4230-000"/>
    <s v="Retirement Benefits"/>
    <n v="15668"/>
    <n v="0"/>
    <n v="10892"/>
    <n v="0"/>
    <n v="0"/>
    <n v="0"/>
    <n v="0"/>
    <n v="0"/>
    <n v="0"/>
    <n v="0"/>
    <n v="0"/>
    <n v="0"/>
    <n v="0"/>
    <s v=""/>
    <n v="-1"/>
    <n v="-1"/>
    <s v=""/>
    <n v="-0.3048251212662752"/>
    <s v=""/>
    <n v="-1"/>
    <s v=""/>
    <s v=""/>
    <n v="-1"/>
    <s v=""/>
    <s v=""/>
    <s v=""/>
    <s v=""/>
    <n v="-1"/>
    <n v="-1"/>
    <n v="-1"/>
    <n v="-1"/>
    <x v="14"/>
    <n v="-0.65241256063313757"/>
    <n v="0.65241256063313757"/>
    <s v=""/>
    <x v="0"/>
    <n v="-3.8999999999999993E-2"/>
    <s v=""/>
    <x v="0"/>
  </r>
  <r>
    <x v="8"/>
    <s v="12"/>
    <s v="00 - Non-Divisional"/>
    <s v="00"/>
    <s v="PS prof - Purchased services - professional &amp; technical"/>
    <s v="4320-000"/>
    <s v="Legal general Services"/>
    <n v="50000"/>
    <n v="267008.37"/>
    <n v="100000"/>
    <n v="332331.86"/>
    <n v="200000"/>
    <n v="332618.7"/>
    <n v="200000"/>
    <n v="275000"/>
    <n v="275000"/>
    <n v="275000"/>
    <n v="200000"/>
    <n v="75000"/>
    <n v="75000"/>
    <n v="0.375"/>
    <n v="4.3401674000000003"/>
    <n v="2.3233185999999999"/>
    <n v="0.66309350000000011"/>
    <n v="1"/>
    <n v="0.24464959656508142"/>
    <n v="1"/>
    <n v="8.6311315442348993E-4"/>
    <n v="0"/>
    <n v="3"/>
    <n v="0.375"/>
    <n v="0.375"/>
    <n v="0.375"/>
    <n v="0"/>
    <n v="4.5"/>
    <n v="4.5"/>
    <n v="4.5"/>
    <n v="3"/>
    <x v="36"/>
    <n v="0.66666666666666663"/>
    <n v="-0.29166666666666663"/>
    <s v=""/>
    <x v="0"/>
    <n v="0.33600000000000002"/>
    <n v="207799.99999999997"/>
    <x v="21"/>
  </r>
  <r>
    <x v="8"/>
    <s v="12"/>
    <s v="00 - Non-Divisional"/>
    <s v="00"/>
    <s v="PS other - Purchased services - other"/>
    <s v="4560-000"/>
    <s v="Dues &amp; subs Services"/>
    <n v="4992"/>
    <n v="252.1"/>
    <n v="0"/>
    <n v="0"/>
    <n v="0"/>
    <n v="0"/>
    <n v="0"/>
    <n v="0"/>
    <n v="0"/>
    <n v="0"/>
    <n v="0"/>
    <n v="0"/>
    <n v="0"/>
    <s v=""/>
    <n v="-0.94949919871794863"/>
    <s v=""/>
    <s v=""/>
    <n v="-1"/>
    <n v="-1"/>
    <s v=""/>
    <s v=""/>
    <s v=""/>
    <n v="-1"/>
    <s v=""/>
    <s v=""/>
    <s v=""/>
    <s v=""/>
    <n v="-1"/>
    <n v="-1"/>
    <n v="-1"/>
    <n v="-1"/>
    <x v="15"/>
    <n v="-1"/>
    <n v="1"/>
    <n v="0"/>
    <x v="9"/>
    <n v="-3.8999999999999993E-2"/>
    <s v=""/>
    <x v="0"/>
  </r>
  <r>
    <x v="9"/>
    <s v="15"/>
    <s v="00 - Non-Divisional"/>
    <s v="00"/>
    <s v="PS prof - Purchased services - professional &amp; technical"/>
    <s v="4330-000"/>
    <s v="MGMT services Services"/>
    <n v="45000"/>
    <n v="50729.35"/>
    <n v="46171"/>
    <n v="58516.4"/>
    <n v="46171"/>
    <n v="47442.04"/>
    <n v="52514"/>
    <n v="54000"/>
    <n v="54000"/>
    <n v="54000"/>
    <n v="52514"/>
    <n v="1486"/>
    <n v="1486"/>
    <n v="2.8297215980500438E-2"/>
    <n v="0.12731888888888887"/>
    <n v="0.26738428883931475"/>
    <n v="2.7528968400077989E-2"/>
    <n v="2.6022222222222221E-2"/>
    <n v="0.15350186824786841"/>
    <n v="0"/>
    <n v="-0.18925224381540903"/>
    <n v="0.137380606874445"/>
    <n v="0.16697777777777778"/>
    <n v="2.8297215980500438E-2"/>
    <n v="2.8297215980500438E-2"/>
    <n v="2.8297215980500438E-2"/>
    <n v="0"/>
    <n v="0.2"/>
    <n v="0.2"/>
    <n v="0.2"/>
    <n v="0.16697777777777778"/>
    <x v="7"/>
    <n v="5.4467609698889079E-2"/>
    <n v="-2.617039371838864E-2"/>
    <s v=""/>
    <x v="0"/>
    <n v="-1.0702784019499555E-2"/>
    <s v=""/>
    <x v="0"/>
  </r>
  <r>
    <x v="9"/>
    <s v="15"/>
    <s v="00 - Non-Divisional"/>
    <s v="00"/>
    <s v="PS prof - Purchased services - professional &amp; technical"/>
    <s v="4341-000"/>
    <s v="Telephone Services"/>
    <n v="58669"/>
    <n v="70110.039999999994"/>
    <n v="64616"/>
    <n v="84149.71"/>
    <n v="64616"/>
    <n v="64243.09"/>
    <n v="0"/>
    <n v="0"/>
    <n v="0"/>
    <n v="0"/>
    <n v="0"/>
    <n v="0"/>
    <n v="0"/>
    <s v=""/>
    <n v="0.19500997119432739"/>
    <n v="0.3023045375758327"/>
    <n v="-5.7711712269407495E-3"/>
    <n v="0.10136528660791901"/>
    <n v="0.20025191827019373"/>
    <n v="0"/>
    <n v="-0.23656195606615885"/>
    <n v="-1"/>
    <n v="-1"/>
    <s v=""/>
    <s v=""/>
    <s v=""/>
    <s v=""/>
    <n v="-1"/>
    <n v="-1"/>
    <n v="-1"/>
    <n v="-1"/>
    <x v="34"/>
    <n v="-0.29954490446402698"/>
    <n v="0.29954490446402698"/>
    <n v="0"/>
    <x v="9"/>
    <n v="-3.8999999999999993E-2"/>
    <s v=""/>
    <x v="0"/>
  </r>
  <r>
    <x v="9"/>
    <s v="15"/>
    <s v="00 - Non-Divisional"/>
    <s v="00"/>
    <s v="PS prof - Purchased services - professional &amp; technical"/>
    <s v="4360-000"/>
    <s v="Custodial Services"/>
    <n v="32000"/>
    <n v="29280.63"/>
    <n v="32000"/>
    <n v="24599.599999999999"/>
    <n v="32000"/>
    <n v="36040"/>
    <n v="31250"/>
    <n v="34500"/>
    <n v="34500"/>
    <n v="34500"/>
    <n v="32000"/>
    <n v="3250"/>
    <n v="2500"/>
    <n v="0.104"/>
    <n v="-8.4980312499999974E-2"/>
    <n v="-0.23126250000000004"/>
    <n v="0.12625"/>
    <n v="0"/>
    <n v="-0.15986780339084242"/>
    <n v="0"/>
    <n v="0.46506447259305039"/>
    <n v="-2.34375E-2"/>
    <n v="-2.34375E-2"/>
    <n v="0.104"/>
    <n v="0.104"/>
    <n v="0.104"/>
    <n v="2.4E-2"/>
    <n v="7.8125E-2"/>
    <n v="7.8125E-2"/>
    <n v="7.8125E-2"/>
    <n v="0"/>
    <x v="37"/>
    <n v="-7.8125E-3"/>
    <n v="0.1118125"/>
    <n v="31005.859375"/>
    <x v="24"/>
    <n v="6.5000000000000002E-2"/>
    <n v="32468.749999999996"/>
    <x v="22"/>
  </r>
  <r>
    <x v="9"/>
    <s v="15"/>
    <s v="00 - Non-Divisional"/>
    <s v="00"/>
    <s v="PS prof - Purchased services - professional &amp; technical"/>
    <s v="4440-000"/>
    <s v="Rental and leases Services"/>
    <n v="40000"/>
    <n v="33230.730000000003"/>
    <n v="20000"/>
    <n v="23626.73"/>
    <n v="20000"/>
    <n v="27175.33"/>
    <n v="20000"/>
    <n v="22500"/>
    <n v="22500"/>
    <n v="22500"/>
    <n v="22289"/>
    <n v="2500"/>
    <n v="211"/>
    <n v="0.125"/>
    <n v="-0.16923174999999993"/>
    <n v="0.18133649999999998"/>
    <n v="0.3587665000000001"/>
    <n v="-0.5"/>
    <n v="-0.28900960045114876"/>
    <n v="0"/>
    <n v="0.15019429265073933"/>
    <n v="0"/>
    <n v="-0.5"/>
    <n v="0.125"/>
    <n v="0.125"/>
    <n v="0.125"/>
    <n v="0.11445"/>
    <n v="-0.4375"/>
    <n v="-0.4375"/>
    <n v="-0.4375"/>
    <n v="-0.44277499999999997"/>
    <x v="25"/>
    <n v="-0.16666666666666666"/>
    <n v="0.29166666666666663"/>
    <n v="16666.666666666668"/>
    <x v="25"/>
    <n v="8.6000000000000007E-2"/>
    <n v="20780"/>
    <x v="23"/>
  </r>
  <r>
    <x v="9"/>
    <s v="15"/>
    <s v="00 - Non-Divisional"/>
    <s v="00"/>
    <s v="PS property - Purchased services - property services"/>
    <s v="4410-000"/>
    <s v="Electric Services"/>
    <n v="49000"/>
    <n v="39462.230000000003"/>
    <n v="54000"/>
    <n v="42710.77"/>
    <n v="54000"/>
    <n v="44409.39"/>
    <n v="54000"/>
    <n v="54000"/>
    <n v="54000"/>
    <n v="54000"/>
    <n v="54000"/>
    <n v="0"/>
    <n v="0"/>
    <n v="0"/>
    <n v="-0.19464836734693872"/>
    <n v="-0.20905981481481486"/>
    <n v="-0.17760388888888889"/>
    <n v="0.10204081632653061"/>
    <n v="8.2320233803309981E-2"/>
    <n v="0"/>
    <n v="3.977029681272435E-2"/>
    <n v="0"/>
    <n v="0.10204081632653061"/>
    <n v="0"/>
    <n v="0"/>
    <n v="0"/>
    <n v="0"/>
    <n v="0.10204081632653061"/>
    <n v="0.10204081632653061"/>
    <n v="0.10204081632653061"/>
    <n v="0.10204081632653061"/>
    <x v="38"/>
    <n v="3.4013605442176874E-2"/>
    <n v="-3.4013605442176874E-2"/>
    <s v=""/>
    <x v="0"/>
    <n v="-3.8999999999999993E-2"/>
    <s v=""/>
    <x v="0"/>
  </r>
  <r>
    <x v="9"/>
    <s v="15"/>
    <s v="00 - Non-Divisional"/>
    <s v="00"/>
    <s v="PS property - Purchased services - property services"/>
    <s v="4411-000"/>
    <s v="Heat &amp; oil Services"/>
    <n v="15500"/>
    <n v="9070.17"/>
    <n v="20000"/>
    <n v="10596.87"/>
    <n v="20000"/>
    <n v="8360.44"/>
    <n v="20000"/>
    <n v="20000"/>
    <n v="20000"/>
    <n v="20000"/>
    <n v="20000"/>
    <n v="0"/>
    <n v="0"/>
    <n v="0"/>
    <n v="-0.41482774193548388"/>
    <n v="-0.47015649999999998"/>
    <n v="-0.581978"/>
    <n v="0.29032258064516131"/>
    <n v="0.16832099067602929"/>
    <n v="0"/>
    <n v="-0.21104628064702124"/>
    <n v="0"/>
    <n v="0.29032258064516131"/>
    <n v="0"/>
    <n v="0"/>
    <n v="0"/>
    <n v="0"/>
    <n v="0.29032258064516131"/>
    <n v="0.29032258064516131"/>
    <n v="0.29032258064516131"/>
    <n v="0.29032258064516131"/>
    <x v="39"/>
    <n v="9.6774193548387108E-2"/>
    <n v="-9.6774193548387108E-2"/>
    <s v=""/>
    <x v="0"/>
    <n v="-3.8999999999999993E-2"/>
    <s v=""/>
    <x v="0"/>
  </r>
  <r>
    <x v="9"/>
    <s v="15"/>
    <s v="00 - Non-Divisional"/>
    <s v="00"/>
    <s v="PS property - Purchased services - property services"/>
    <s v="4412-000"/>
    <s v="Water Services"/>
    <n v="9500"/>
    <n v="12918.37"/>
    <n v="9500"/>
    <n v="11680.65"/>
    <n v="10000"/>
    <n v="15283.27"/>
    <n v="11950"/>
    <n v="14944"/>
    <n v="14944"/>
    <n v="14944"/>
    <n v="11950"/>
    <n v="2994"/>
    <n v="2994"/>
    <n v="0.25054393305439332"/>
    <n v="0.35982842105263169"/>
    <n v="0.22954210526315785"/>
    <n v="0.52832699999999999"/>
    <n v="0"/>
    <n v="-9.5810849201563436E-2"/>
    <n v="5.2631578947368418E-2"/>
    <n v="0.30842632901422445"/>
    <n v="0.19500000000000001"/>
    <n v="0.25789473684210529"/>
    <n v="0.25054393305439332"/>
    <n v="0.25054393305439332"/>
    <n v="0.25054393305439332"/>
    <n v="0"/>
    <n v="0.57305263157894737"/>
    <n v="0.57305263157894737"/>
    <n v="0.57305263157894737"/>
    <n v="0.25789473684210529"/>
    <x v="40"/>
    <n v="8.2543859649122808E-2"/>
    <n v="0.16800007340527051"/>
    <n v="12936.399122807017"/>
    <x v="26"/>
    <n v="0.21154393305439334"/>
    <n v="12416.05"/>
    <x v="24"/>
  </r>
  <r>
    <x v="9"/>
    <s v="15"/>
    <s v="00 - Non-Divisional"/>
    <s v="00"/>
    <s v="PS property - Purchased services - property services"/>
    <s v="4430-000"/>
    <s v="Repairs &amp; maint Service"/>
    <n v="30000"/>
    <n v="31649.5"/>
    <n v="0"/>
    <n v="0"/>
    <n v="0"/>
    <n v="0"/>
    <n v="0"/>
    <n v="0"/>
    <n v="0"/>
    <n v="0"/>
    <n v="0"/>
    <n v="0"/>
    <n v="0"/>
    <s v=""/>
    <n v="5.4983333333333335E-2"/>
    <s v=""/>
    <s v=""/>
    <n v="-1"/>
    <n v="-1"/>
    <s v=""/>
    <s v=""/>
    <s v=""/>
    <n v="-1"/>
    <s v=""/>
    <s v=""/>
    <s v=""/>
    <s v=""/>
    <n v="-1"/>
    <n v="-1"/>
    <n v="-1"/>
    <n v="-1"/>
    <x v="35"/>
    <n v="-1"/>
    <n v="1"/>
    <n v="0"/>
    <x v="9"/>
    <n v="-3.8999999999999993E-2"/>
    <s v=""/>
    <x v="0"/>
  </r>
  <r>
    <x v="9"/>
    <s v="15"/>
    <s v="00 - Non-Divisional"/>
    <s v="00"/>
    <s v="PS property - Purchased services - property services"/>
    <s v="4491-000"/>
    <s v="Town common exp Services"/>
    <n v="7000"/>
    <n v="11905.34"/>
    <n v="7000"/>
    <n v="7425.99"/>
    <n v="7000"/>
    <n v="8674.4500000000007"/>
    <n v="10500"/>
    <n v="15000"/>
    <n v="15000"/>
    <n v="15000"/>
    <n v="10500"/>
    <n v="4500"/>
    <n v="4500"/>
    <n v="0.42857142857142855"/>
    <n v="0.70076285714285713"/>
    <n v="6.0855714285714256E-2"/>
    <n v="0.23920714285714295"/>
    <n v="0"/>
    <n v="-0.37624712943939442"/>
    <n v="0"/>
    <n v="0.16812034489677483"/>
    <n v="0.5"/>
    <n v="0.5"/>
    <n v="0.42857142857142855"/>
    <n v="0.42857142857142855"/>
    <n v="0.42857142857142855"/>
    <n v="0"/>
    <n v="1.1428571428571428"/>
    <n v="1.1428571428571428"/>
    <n v="1.1428571428571428"/>
    <n v="0.5"/>
    <x v="41"/>
    <n v="0.16666666666666666"/>
    <n v="0.26190476190476186"/>
    <n v="12250"/>
    <x v="27"/>
    <n v="0.38957142857142857"/>
    <n v="10909.5"/>
    <x v="25"/>
  </r>
  <r>
    <x v="9"/>
    <s v="15"/>
    <s v="00 - Non-Divisional"/>
    <s v="00"/>
    <s v="Supplies - Supplies"/>
    <s v="4610-000"/>
    <s v="General expenses Supplies"/>
    <n v="7500"/>
    <n v="13492.75"/>
    <n v="7500"/>
    <n v="13036.73"/>
    <n v="7500"/>
    <n v="8554.49"/>
    <n v="7500"/>
    <n v="8500"/>
    <n v="8500"/>
    <n v="8500"/>
    <n v="7500"/>
    <n v="1000"/>
    <n v="1000"/>
    <n v="0.13333333333333333"/>
    <n v="0.79903333333333337"/>
    <n v="0.73823066666666659"/>
    <n v="0.14059866666666665"/>
    <n v="0"/>
    <n v="-3.3797409720034866E-2"/>
    <n v="0"/>
    <n v="-0.34381627908225454"/>
    <n v="0"/>
    <n v="0"/>
    <n v="0.13333333333333333"/>
    <n v="0.13333333333333333"/>
    <n v="0.13333333333333333"/>
    <n v="0"/>
    <n v="0.13333333333333333"/>
    <n v="0.13333333333333333"/>
    <n v="0.13333333333333333"/>
    <n v="0"/>
    <x v="8"/>
    <n v="0"/>
    <n v="0.13333333333333333"/>
    <n v="7500"/>
    <x v="28"/>
    <n v="9.4333333333333338E-2"/>
    <n v="7792.4999999999991"/>
    <x v="26"/>
  </r>
  <r>
    <x v="9"/>
    <s v="15"/>
    <s v="00 - Non-Divisional"/>
    <s v="00"/>
    <s v="Supplies - Supplies"/>
    <s v="4630-000"/>
    <s v="Maint &amp; repairs Supplies"/>
    <n v="40000"/>
    <n v="42776.639999999999"/>
    <n v="41500"/>
    <n v="44091.22"/>
    <n v="41500"/>
    <n v="90471"/>
    <n v="41525"/>
    <n v="42000"/>
    <n v="42000"/>
    <n v="42000"/>
    <n v="41525"/>
    <n v="475"/>
    <n v="475"/>
    <n v="1.1438892233594221E-2"/>
    <n v="6.9415999999999992E-2"/>
    <n v="6.2439036144578339E-2"/>
    <n v="1.1800240963855422"/>
    <n v="3.7499999999999999E-2"/>
    <n v="3.073125893010769E-2"/>
    <n v="0"/>
    <n v="1.0519051185247312"/>
    <n v="6.0240963855421692E-4"/>
    <n v="3.8124999999999999E-2"/>
    <n v="1.1438892233594221E-2"/>
    <n v="1.1438892233594221E-2"/>
    <n v="1.1438892233594221E-2"/>
    <n v="0"/>
    <n v="0.05"/>
    <n v="0.05"/>
    <n v="0.05"/>
    <n v="3.8124999999999999E-2"/>
    <x v="32"/>
    <n v="1.2700803212851405E-2"/>
    <n v="-1.2619109792571838E-3"/>
    <s v=""/>
    <x v="0"/>
    <n v="-2.7561107766405774E-2"/>
    <s v=""/>
    <x v="0"/>
  </r>
  <r>
    <x v="9"/>
    <s v="15"/>
    <s v="00 - Non-Divisional"/>
    <s v="00"/>
    <s v="Supplies - Supplies"/>
    <s v="4635-000"/>
    <s v="Gasoline Supplies"/>
    <n v="200790"/>
    <n v="263148.67"/>
    <n v="200790"/>
    <n v="232946.74"/>
    <n v="200790"/>
    <n v="201736.76"/>
    <n v="244000"/>
    <n v="244000"/>
    <n v="244000"/>
    <n v="244000"/>
    <n v="244000"/>
    <n v="0"/>
    <n v="0"/>
    <n v="0"/>
    <n v="0.31056661188306184"/>
    <n v="0.16015110314258674"/>
    <n v="4.7151750585188966E-3"/>
    <n v="0"/>
    <n v="-0.1147713571951551"/>
    <n v="0"/>
    <n v="-0.13397903744006026"/>
    <n v="0.21519996015737836"/>
    <n v="0.21519996015737836"/>
    <n v="0"/>
    <n v="0"/>
    <n v="0"/>
    <n v="0"/>
    <n v="0.21519996015737836"/>
    <n v="0.21519996015737836"/>
    <n v="0.21519996015737836"/>
    <n v="0.21519996015737836"/>
    <x v="42"/>
    <n v="7.1733320052459457E-2"/>
    <n v="-7.1733320052459457E-2"/>
    <s v=""/>
    <x v="0"/>
    <n v="-3.8999999999999993E-2"/>
    <s v=""/>
    <x v="0"/>
  </r>
  <r>
    <x v="9"/>
    <s v="15"/>
    <s v="00 - Non-Divisional"/>
    <s v="00"/>
    <s v="Supplies - Supplies"/>
    <s v="4660-000"/>
    <s v="Vehicle repairs Supplies"/>
    <n v="3400"/>
    <n v="10210.17"/>
    <n v="3400"/>
    <n v="1581.48"/>
    <n v="4000"/>
    <n v="1581.05"/>
    <n v="4000"/>
    <n v="4000"/>
    <n v="4000"/>
    <n v="4000"/>
    <n v="4000"/>
    <n v="0"/>
    <n v="0"/>
    <n v="0"/>
    <n v="2.0029911764705881"/>
    <n v="-0.53485882352941172"/>
    <n v="-0.60473749999999993"/>
    <n v="0"/>
    <n v="-0.84510737823170434"/>
    <n v="0.17647058823529413"/>
    <n v="-2.718972102081997E-4"/>
    <n v="0"/>
    <n v="0.17647058823529413"/>
    <n v="0"/>
    <n v="0"/>
    <n v="0"/>
    <n v="0"/>
    <n v="0.17647058823529413"/>
    <n v="0.17647058823529413"/>
    <n v="0.17647058823529413"/>
    <n v="0.17647058823529413"/>
    <x v="43"/>
    <n v="5.8823529411764712E-2"/>
    <n v="-5.8823529411764712E-2"/>
    <s v=""/>
    <x v="0"/>
    <n v="-3.8999999999999993E-2"/>
    <s v=""/>
    <x v="0"/>
  </r>
  <r>
    <x v="9"/>
    <s v="15"/>
    <s v="00 - Non-Divisional"/>
    <s v="00"/>
    <s v="Property - Property"/>
    <s v="4750-000"/>
    <s v="Furniture &amp; fixures Property"/>
    <n v="0"/>
    <n v="0"/>
    <n v="2600"/>
    <n v="6597.05"/>
    <n v="2600"/>
    <n v="3596.13"/>
    <n v="4775"/>
    <n v="5000"/>
    <n v="5000"/>
    <n v="5000"/>
    <n v="4775"/>
    <n v="225"/>
    <n v="225"/>
    <n v="4.712041884816754E-2"/>
    <s v=""/>
    <n v="1.5373269230769231"/>
    <n v="0.38312692307692314"/>
    <s v=""/>
    <s v=""/>
    <n v="0"/>
    <n v="-0.45488816971221985"/>
    <n v="0.83653846153846156"/>
    <s v=""/>
    <n v="4.712041884816754E-2"/>
    <n v="4.712041884816754E-2"/>
    <n v="4.712041884816754E-2"/>
    <n v="0"/>
    <s v=""/>
    <s v=""/>
    <s v=""/>
    <s v=""/>
    <x v="19"/>
    <n v="0.41826923076923078"/>
    <n v="-0.37114881192106325"/>
    <s v=""/>
    <x v="0"/>
    <n v="8.1204188481675474E-3"/>
    <n v="4961.2249999999995"/>
    <x v="27"/>
  </r>
  <r>
    <x v="9"/>
    <s v="15"/>
    <s v="00 - Non-Divisional"/>
    <s v="00"/>
    <s v="Other - Other objects"/>
    <s v="4866-000"/>
    <s v="Environ testing Other"/>
    <n v="0"/>
    <n v="0"/>
    <n v="0"/>
    <n v="0"/>
    <n v="0"/>
    <n v="0"/>
    <n v="0"/>
    <n v="0"/>
    <n v="0"/>
    <n v="0"/>
    <n v="0"/>
    <n v="0"/>
    <n v="0"/>
    <s v=""/>
    <s v=""/>
    <s v=""/>
    <s v=""/>
    <s v=""/>
    <s v=""/>
    <s v=""/>
    <s v=""/>
    <s v=""/>
    <s v=""/>
    <s v=""/>
    <s v=""/>
    <s v=""/>
    <s v=""/>
    <s v=""/>
    <s v=""/>
    <s v=""/>
    <s v=""/>
    <x v="44"/>
    <n v="0"/>
    <n v="0"/>
    <s v=""/>
    <x v="0"/>
    <n v="-3.8999999999999993E-2"/>
    <s v=""/>
    <x v="0"/>
  </r>
  <r>
    <x v="9"/>
    <s v="15"/>
    <s v="00 - Non-Divisional"/>
    <s v="00"/>
    <s v="Other - Other objects"/>
    <s v="4868-000"/>
    <s v="Regional trans initiative Other"/>
    <n v="27188"/>
    <n v="27187.88"/>
    <n v="0"/>
    <n v="0"/>
    <n v="0"/>
    <n v="0"/>
    <n v="0"/>
    <n v="0"/>
    <n v="0"/>
    <n v="0"/>
    <n v="0"/>
    <n v="0"/>
    <n v="0"/>
    <s v=""/>
    <n v="-4.4137119316971225E-6"/>
    <s v=""/>
    <s v=""/>
    <n v="-1"/>
    <n v="-1"/>
    <s v=""/>
    <s v=""/>
    <s v=""/>
    <n v="-1"/>
    <s v=""/>
    <s v=""/>
    <s v=""/>
    <s v=""/>
    <n v="-1"/>
    <n v="-1"/>
    <n v="-1"/>
    <n v="-1"/>
    <x v="45"/>
    <n v="-1"/>
    <n v="1"/>
    <n v="0"/>
    <x v="9"/>
    <n v="-3.8999999999999993E-2"/>
    <s v=""/>
    <x v="0"/>
  </r>
  <r>
    <x v="9"/>
    <s v="15"/>
    <s v="42 - Cultural Activities"/>
    <s v="42"/>
    <s v="Other - Other objects"/>
    <s v="4850-000"/>
    <s v="Old home day Other"/>
    <n v="10150"/>
    <n v="10150"/>
    <n v="10150"/>
    <n v="10150"/>
    <n v="10150"/>
    <n v="10150"/>
    <n v="10150"/>
    <n v="10150"/>
    <n v="10150"/>
    <n v="10150"/>
    <n v="10150"/>
    <n v="0"/>
    <n v="0"/>
    <n v="0"/>
    <n v="0"/>
    <n v="0"/>
    <n v="0"/>
    <n v="0"/>
    <n v="0"/>
    <n v="0"/>
    <n v="0"/>
    <n v="0"/>
    <n v="0"/>
    <n v="0"/>
    <n v="0"/>
    <n v="0"/>
    <n v="0"/>
    <n v="0"/>
    <n v="0"/>
    <n v="0"/>
    <n v="0"/>
    <x v="46"/>
    <n v="0"/>
    <n v="0"/>
    <s v=""/>
    <x v="0"/>
    <n v="-3.8999999999999993E-2"/>
    <s v=""/>
    <x v="0"/>
  </r>
  <r>
    <x v="9"/>
    <s v="15"/>
    <s v="42 - Cultural Activities"/>
    <s v="42"/>
    <s v="Other - Other objects"/>
    <s v="4851-000"/>
    <s v="Fireworks/Anniversary Celebrations"/>
    <n v="0"/>
    <n v="0"/>
    <n v="0"/>
    <n v="0"/>
    <n v="0"/>
    <n v="0"/>
    <n v="25000"/>
    <n v="25000"/>
    <n v="25000"/>
    <n v="25000"/>
    <n v="25000"/>
    <n v="0"/>
    <n v="0"/>
    <n v="0"/>
    <s v=""/>
    <s v=""/>
    <s v=""/>
    <s v=""/>
    <s v=""/>
    <s v=""/>
    <s v=""/>
    <s v=""/>
    <s v=""/>
    <n v="0"/>
    <n v="0"/>
    <n v="0"/>
    <n v="0"/>
    <s v=""/>
    <s v=""/>
    <s v=""/>
    <s v=""/>
    <x v="47"/>
    <n v="0"/>
    <n v="0"/>
    <s v=""/>
    <x v="0"/>
    <n v="-3.8999999999999993E-2"/>
    <s v=""/>
    <x v="0"/>
  </r>
  <r>
    <x v="9"/>
    <s v="15"/>
    <s v="42 - Cultural Activities"/>
    <s v="42"/>
    <s v="Other - Other objects"/>
    <s v="4860-000"/>
    <s v="Morrison house Other"/>
    <n v="7500"/>
    <n v="0"/>
    <n v="7500"/>
    <n v="7500"/>
    <n v="7500"/>
    <n v="7500"/>
    <n v="7500"/>
    <n v="7500"/>
    <n v="7500"/>
    <n v="7500"/>
    <n v="7500"/>
    <n v="0"/>
    <n v="0"/>
    <n v="0"/>
    <n v="-1"/>
    <n v="0"/>
    <n v="0"/>
    <n v="0"/>
    <s v=""/>
    <n v="0"/>
    <n v="0"/>
    <n v="0"/>
    <n v="0"/>
    <n v="0"/>
    <n v="0"/>
    <n v="0"/>
    <n v="0"/>
    <n v="0"/>
    <n v="0"/>
    <n v="0"/>
    <n v="0"/>
    <x v="48"/>
    <n v="0"/>
    <n v="0"/>
    <s v=""/>
    <x v="0"/>
    <n v="-3.8999999999999993E-2"/>
    <s v=""/>
    <x v="0"/>
  </r>
  <r>
    <x v="9"/>
    <s v="15"/>
    <s v="42 - Cultural Activities"/>
    <s v="42"/>
    <s v="Other - Other objects"/>
    <s v="4861-000"/>
    <s v="Heritage comm exp Other"/>
    <n v="827"/>
    <n v="0"/>
    <n v="827"/>
    <n v="80"/>
    <n v="827"/>
    <n v="0"/>
    <n v="827"/>
    <n v="827"/>
    <n v="827"/>
    <n v="827"/>
    <n v="827"/>
    <n v="0"/>
    <n v="0"/>
    <n v="0"/>
    <n v="-1"/>
    <n v="-0.90326481257557434"/>
    <n v="-1"/>
    <n v="0"/>
    <s v=""/>
    <n v="0"/>
    <n v="-1"/>
    <n v="0"/>
    <n v="0"/>
    <n v="0"/>
    <n v="0"/>
    <n v="0"/>
    <n v="0"/>
    <n v="0"/>
    <n v="0"/>
    <n v="0"/>
    <n v="0"/>
    <x v="49"/>
    <n v="0"/>
    <n v="0"/>
    <s v=""/>
    <x v="0"/>
    <n v="-3.8999999999999993E-2"/>
    <s v=""/>
    <x v="0"/>
  </r>
  <r>
    <x v="9"/>
    <s v="15"/>
    <s v="42 - Cultural Activities"/>
    <s v="42"/>
    <s v="Other - Other objects"/>
    <s v="4864-000"/>
    <s v="Cultural affairs cmte Other"/>
    <n v="10000"/>
    <n v="10000"/>
    <n v="10000"/>
    <n v="10000"/>
    <n v="10000"/>
    <n v="10000"/>
    <n v="10000"/>
    <n v="17000"/>
    <n v="17000"/>
    <n v="17000"/>
    <n v="10000"/>
    <n v="7000"/>
    <n v="7000"/>
    <n v="0.7"/>
    <n v="0"/>
    <n v="0"/>
    <n v="0"/>
    <n v="0"/>
    <n v="0"/>
    <n v="0"/>
    <n v="0"/>
    <n v="0"/>
    <n v="0"/>
    <n v="0.7"/>
    <n v="0.7"/>
    <n v="0.7"/>
    <n v="0"/>
    <n v="0.7"/>
    <n v="0.7"/>
    <n v="0.7"/>
    <n v="0"/>
    <x v="50"/>
    <n v="0"/>
    <n v="0.7"/>
    <n v="10000"/>
    <x v="29"/>
    <n v="0.66099999999999992"/>
    <n v="10390"/>
    <x v="28"/>
  </r>
  <r>
    <x v="10"/>
    <s v="16"/>
    <s v="00 - Non-Divisional"/>
    <s v="00"/>
    <s v="Supplies - Supplies"/>
    <s v="4630-000"/>
    <s v="Maint &amp; repairs Supplies"/>
    <n v="38000"/>
    <n v="33612.04"/>
    <n v="42540"/>
    <n v="39321.199999999997"/>
    <n v="42540"/>
    <n v="35033.440000000002"/>
    <n v="42540"/>
    <n v="42540"/>
    <n v="42540"/>
    <n v="42540"/>
    <n v="42540"/>
    <n v="0"/>
    <n v="0"/>
    <n v="0"/>
    <n v="-0.11547263157894734"/>
    <n v="-7.5665256229431196E-2"/>
    <n v="-0.17645886224729659"/>
    <n v="0.11947368421052632"/>
    <n v="0.16985461162131177"/>
    <n v="0"/>
    <n v="-0.10904448490890398"/>
    <n v="0"/>
    <n v="0.11947368421052632"/>
    <n v="0"/>
    <n v="0"/>
    <n v="0"/>
    <n v="0"/>
    <n v="0.11947368421052632"/>
    <n v="0.11947368421052632"/>
    <n v="0.11947368421052632"/>
    <n v="0.11947368421052632"/>
    <x v="32"/>
    <n v="3.9824561403508769E-2"/>
    <n v="-3.9824561403508769E-2"/>
    <s v=""/>
    <x v="0"/>
    <n v="-3.8999999999999993E-2"/>
    <s v=""/>
    <x v="0"/>
  </r>
  <r>
    <x v="11"/>
    <s v="17"/>
    <s v="00 - Non-Divisional"/>
    <s v="00"/>
    <s v="PS Benefits - Personnel services - benefits"/>
    <s v="4210-000"/>
    <s v="Health Ins Benefits"/>
    <n v="3630865"/>
    <n v="3181281.69"/>
    <n v="3913132"/>
    <n v="3708516.29"/>
    <n v="5030005"/>
    <n v="4535358.8600000003"/>
    <n v="5488229"/>
    <n v="5904683"/>
    <n v="5904683"/>
    <n v="5904683"/>
    <n v="5919179"/>
    <n v="416454"/>
    <n v="-14496"/>
    <n v="7.5881308888532159E-2"/>
    <n v="-0.12382264556792942"/>
    <n v="-5.2289498539788579E-2"/>
    <n v="-9.8339095090362663E-2"/>
    <n v="7.7740979077988298E-2"/>
    <n v="0.16573024691818475"/>
    <n v="0.2854166432412707"/>
    <n v="0.22295778293588142"/>
    <n v="9.109812018079505E-2"/>
    <n v="0.51154862546528168"/>
    <n v="7.5881308888532159E-2"/>
    <n v="7.5881308888532159E-2"/>
    <n v="7.5881308888532159E-2"/>
    <n v="7.8522598091296844E-2"/>
    <n v="0.626246913614249"/>
    <n v="0.626246913614249"/>
    <n v="0.626246913614249"/>
    <n v="0.63023935067814418"/>
    <x v="20"/>
    <n v="0.15141858083335133"/>
    <n v="-7.553727194481917E-2"/>
    <s v=""/>
    <x v="0"/>
    <n v="3.6881308888532166E-2"/>
    <s v=""/>
    <x v="0"/>
  </r>
  <r>
    <x v="11"/>
    <s v="17"/>
    <s v="00 - Non-Divisional"/>
    <s v="00"/>
    <s v="PS Benefits - Personnel services - benefits"/>
    <s v="4219-000"/>
    <s v="Dental Insurance Benefits"/>
    <n v="220356"/>
    <n v="184499.75"/>
    <n v="212990"/>
    <n v="192156.48"/>
    <n v="239460"/>
    <n v="214686.5"/>
    <n v="264745"/>
    <n v="284940"/>
    <n v="284940"/>
    <n v="284940"/>
    <n v="289070"/>
    <n v="20195"/>
    <n v="-4130"/>
    <n v="7.6280949593004591E-2"/>
    <n v="-0.16271964457514204"/>
    <n v="-9.7814545283816098E-2"/>
    <n v="-0.10345569197360728"/>
    <n v="-3.3427726043311734E-2"/>
    <n v="4.1499947831907691E-2"/>
    <n v="0.12427813512371473"/>
    <n v="0.11724829680477072"/>
    <n v="0.10559174809989143"/>
    <n v="0.20144221169380458"/>
    <n v="7.6280949593004591E-2"/>
    <n v="7.6280949593004591E-2"/>
    <n v="7.6280949593004591E-2"/>
    <n v="9.1880866494173638E-2"/>
    <n v="0.29308936448292761"/>
    <n v="0.29308936448292761"/>
    <n v="0.29308936448292761"/>
    <n v="0.31183176314690775"/>
    <x v="24"/>
    <n v="6.5480719060098141E-2"/>
    <n v="1.0800230532906449E-2"/>
    <s v=""/>
    <x v="0"/>
    <n v="3.7280949593004598E-2"/>
    <s v=""/>
    <x v="0"/>
  </r>
  <r>
    <x v="11"/>
    <s v="17"/>
    <s v="00 - Non-Divisional"/>
    <s v="00"/>
    <s v="PS Benefits - Personnel services - benefits"/>
    <s v="4250-000"/>
    <s v="Unemployment ins Benefits"/>
    <n v="4981"/>
    <n v="808.29"/>
    <n v="4568"/>
    <n v="5317"/>
    <n v="5317"/>
    <n v="6022"/>
    <n v="6022"/>
    <n v="6617"/>
    <n v="6617"/>
    <n v="6617"/>
    <n v="6617"/>
    <n v="595"/>
    <n v="0"/>
    <n v="9.8804383925606115E-2"/>
    <n v="-0.8377253563541458"/>
    <n v="0.16396672504378285"/>
    <n v="0.13259356780139175"/>
    <n v="-8.2915077293716125E-2"/>
    <n v="5.5780845983496024"/>
    <n v="0.16396672504378285"/>
    <n v="0.13259356780139175"/>
    <n v="0.13259356780139175"/>
    <n v="0.20899417787592853"/>
    <n v="9.8804383925606115E-2"/>
    <n v="9.8804383925606115E-2"/>
    <n v="9.8804383925606115E-2"/>
    <n v="9.8804383925606115E-2"/>
    <n v="0.32844810279060432"/>
    <n v="0.32844810279060432"/>
    <n v="0.32844810279060432"/>
    <n v="0.32844810279060432"/>
    <x v="51"/>
    <n v="7.1215071850486159E-2"/>
    <n v="2.7589312075119957E-2"/>
    <s v=""/>
    <x v="0"/>
    <n v="5.9804383925606122E-2"/>
    <s v=""/>
    <x v="0"/>
  </r>
  <r>
    <x v="11"/>
    <s v="17"/>
    <s v="00 - Non-Divisional"/>
    <s v="00"/>
    <s v="PS other - Purchased services - other"/>
    <s v="4520-000"/>
    <s v="Property ins Services"/>
    <n v="213975"/>
    <n v="196460.63"/>
    <n v="224496"/>
    <n v="224313.88"/>
    <n v="235530"/>
    <n v="235672.9"/>
    <n v="248058"/>
    <n v="327043"/>
    <n v="327043"/>
    <n v="327043"/>
    <n v="327043"/>
    <n v="78985"/>
    <n v="0"/>
    <n v="0.31841343556748825"/>
    <n v="-8.1852412665030946E-2"/>
    <n v="-8.1123939847478502E-4"/>
    <n v="6.0671676644161751E-4"/>
    <n v="4.9169295478443745E-2"/>
    <n v="0.14177522488856928"/>
    <n v="4.9150096215522771E-2"/>
    <n v="5.0638952881560381E-2"/>
    <n v="5.3190676346962174E-2"/>
    <n v="0.15928496319663513"/>
    <n v="0.31841343556748825"/>
    <n v="0.31841343556748825"/>
    <n v="0.31841343556748825"/>
    <n v="0.31841343556748825"/>
    <n v="0.52841687112980484"/>
    <n v="0.52841687112980484"/>
    <n v="0.52841687112980484"/>
    <n v="0.52841687112980484"/>
    <x v="52"/>
    <n v="5.0503356013642899E-2"/>
    <n v="0.26791007955384533"/>
    <n v="260585.76148603225"/>
    <x v="30"/>
    <n v="0.27941343556748827"/>
    <n v="257732.26199999999"/>
    <x v="29"/>
  </r>
  <r>
    <x v="11"/>
    <s v="17"/>
    <s v="00 - Non-Divisional"/>
    <s v="00"/>
    <s v="PS other - Purchased services - other"/>
    <s v="4521-000"/>
    <s v="Ins deductible Services"/>
    <n v="5000"/>
    <n v="7782"/>
    <n v="5000"/>
    <n v="2000"/>
    <n v="5000"/>
    <n v="0"/>
    <n v="5000"/>
    <n v="5000"/>
    <n v="5000"/>
    <n v="5000"/>
    <n v="5000"/>
    <n v="0"/>
    <n v="0"/>
    <n v="0"/>
    <n v="0.55640000000000001"/>
    <n v="-0.6"/>
    <n v="-1"/>
    <n v="0"/>
    <n v="-0.74299665895656641"/>
    <n v="0"/>
    <n v="-1"/>
    <n v="0"/>
    <n v="0"/>
    <n v="0"/>
    <n v="0"/>
    <n v="0"/>
    <n v="0"/>
    <n v="0"/>
    <n v="0"/>
    <n v="0"/>
    <n v="0"/>
    <x v="53"/>
    <n v="0"/>
    <n v="0"/>
    <s v=""/>
    <x v="0"/>
    <n v="-3.8999999999999993E-2"/>
    <s v=""/>
    <x v="0"/>
  </r>
  <r>
    <x v="12"/>
    <s v="18"/>
    <s v="00 - Non-Divisional"/>
    <s v="00"/>
    <s v="Supplies - Supplies"/>
    <s v="4690-000"/>
    <s v="Other misc Supplies"/>
    <n v="3350"/>
    <n v="3202.1"/>
    <n v="3500"/>
    <n v="3310.19"/>
    <n v="3500"/>
    <n v="2042.82"/>
    <n v="3500"/>
    <n v="3500"/>
    <n v="3500"/>
    <n v="3500"/>
    <n v="3500"/>
    <n v="0"/>
    <n v="0"/>
    <n v="0"/>
    <n v="-4.4149253731343312E-2"/>
    <n v="-5.4231428571428555E-2"/>
    <n v="-0.41633714285714285"/>
    <n v="4.4776119402985072E-2"/>
    <n v="3.375597264295311E-2"/>
    <n v="0"/>
    <n v="-0.38286926128107451"/>
    <n v="0"/>
    <n v="4.4776119402985072E-2"/>
    <n v="0"/>
    <n v="0"/>
    <n v="0"/>
    <n v="0"/>
    <n v="4.4776119402985072E-2"/>
    <n v="4.4776119402985072E-2"/>
    <n v="4.4776119402985072E-2"/>
    <n v="4.4776119402985072E-2"/>
    <x v="54"/>
    <n v="1.4925373134328358E-2"/>
    <n v="-1.4925373134328358E-2"/>
    <s v=""/>
    <x v="0"/>
    <n v="-3.8999999999999993E-2"/>
    <s v=""/>
    <x v="0"/>
  </r>
  <r>
    <x v="13"/>
    <s v="20"/>
    <s v="01 - Administration"/>
    <s v="01"/>
    <s v="PS Salaries - Personnel services - salaries"/>
    <s v="4110-000"/>
    <s v="Regular Salaries"/>
    <n v="1289314"/>
    <n v="1288939.45"/>
    <n v="1335900"/>
    <n v="1385689.46"/>
    <n v="1498476"/>
    <n v="1566517.74"/>
    <n v="1790115"/>
    <n v="1907330"/>
    <n v="1907330"/>
    <n v="1907330"/>
    <n v="1907330"/>
    <n v="117215"/>
    <n v="0"/>
    <n v="6.5479033469916736E-2"/>
    <n v="-2.9050332192161611E-4"/>
    <n v="3.7270349577064127E-2"/>
    <n v="4.5407293810511472E-2"/>
    <n v="3.613239288489848E-2"/>
    <n v="7.5061718376297673E-2"/>
    <n v="0.12169773186615765"/>
    <n v="0.13049697296535692"/>
    <n v="0.19462373771752101"/>
    <n v="0.38842438692203762"/>
    <n v="6.5479033469916736E-2"/>
    <n v="6.5479033469916736E-2"/>
    <n v="6.5479033469916736E-2"/>
    <n v="6.5479033469916736E-2"/>
    <n v="0.47933707382375434"/>
    <n v="0.47933707382375434"/>
    <n v="0.47933707382375434"/>
    <n v="0.47933707382375434"/>
    <x v="10"/>
    <n v="0.11748462082285904"/>
    <n v="-5.2005587352942306E-2"/>
    <s v=""/>
    <x v="0"/>
    <n v="2.6479033469916743E-2"/>
    <s v=""/>
    <x v="0"/>
  </r>
  <r>
    <x v="13"/>
    <s v="20"/>
    <s v="01 - Administration"/>
    <s v="01"/>
    <s v="PS Salaries - Personnel services - salaries"/>
    <s v="4120-000"/>
    <s v="Part-time Salaries"/>
    <n v="0"/>
    <n v="0"/>
    <n v="0"/>
    <n v="0"/>
    <n v="0"/>
    <n v="0"/>
    <n v="0"/>
    <n v="0"/>
    <n v="0"/>
    <n v="0"/>
    <n v="0"/>
    <n v="0"/>
    <n v="0"/>
    <s v=""/>
    <s v=""/>
    <s v=""/>
    <s v=""/>
    <s v=""/>
    <s v=""/>
    <s v=""/>
    <s v=""/>
    <s v=""/>
    <s v=""/>
    <s v=""/>
    <s v=""/>
    <s v=""/>
    <s v=""/>
    <s v=""/>
    <s v=""/>
    <s v=""/>
    <s v=""/>
    <x v="11"/>
    <n v="0"/>
    <n v="0"/>
    <s v=""/>
    <x v="0"/>
    <n v="-3.8999999999999993E-2"/>
    <s v=""/>
    <x v="0"/>
  </r>
  <r>
    <x v="13"/>
    <s v="20"/>
    <s v="01 - Administration"/>
    <s v="01"/>
    <s v="PS Salaries - Personnel services - salaries"/>
    <s v="4140-000"/>
    <s v="Overtime Salaries"/>
    <n v="99850"/>
    <n v="90970.99"/>
    <n v="99913"/>
    <n v="76074.289999999994"/>
    <n v="94058"/>
    <n v="86043.65"/>
    <n v="105090"/>
    <n v="105090"/>
    <n v="105090"/>
    <n v="105090"/>
    <n v="105090"/>
    <n v="0"/>
    <n v="0"/>
    <n v="0"/>
    <n v="-8.8923485227841714E-2"/>
    <n v="-0.23859467736931136"/>
    <n v="-8.5206468349316444E-2"/>
    <n v="6.3094641962944422E-4"/>
    <n v="-0.16375220276266106"/>
    <n v="-5.8600982855083923E-2"/>
    <n v="0.13104769035636088"/>
    <n v="0.11728933211422739"/>
    <n v="5.2478718077115676E-2"/>
    <n v="0"/>
    <n v="0"/>
    <n v="0"/>
    <n v="0"/>
    <n v="5.2478718077115676E-2"/>
    <n v="5.2478718077115676E-2"/>
    <n v="5.2478718077115676E-2"/>
    <n v="5.2478718077115676E-2"/>
    <x v="12"/>
    <n v="1.977309855959097E-2"/>
    <n v="-1.977309855959097E-2"/>
    <s v=""/>
    <x v="0"/>
    <n v="-3.8999999999999993E-2"/>
    <s v=""/>
    <x v="0"/>
  </r>
  <r>
    <x v="13"/>
    <s v="20"/>
    <s v="01 - Administration"/>
    <s v="01"/>
    <s v="PS Salaries - Personnel services - salaries"/>
    <s v="4151-000"/>
    <s v="Contractually Mandated Training Overtime"/>
    <n v="0"/>
    <n v="0"/>
    <n v="0"/>
    <n v="0"/>
    <n v="12398"/>
    <n v="17182.91"/>
    <n v="4536"/>
    <n v="6261"/>
    <n v="6261"/>
    <n v="6261"/>
    <n v="6261"/>
    <n v="1725"/>
    <n v="0"/>
    <n v="0.38029100529100529"/>
    <s v=""/>
    <s v=""/>
    <n v="0.38594208743345698"/>
    <s v=""/>
    <s v=""/>
    <s v=""/>
    <s v=""/>
    <n v="-0.63413453782868201"/>
    <s v=""/>
    <n v="0.38029100529100529"/>
    <n v="0.38029100529100529"/>
    <n v="0.38029100529100529"/>
    <n v="0.38029100529100529"/>
    <s v=""/>
    <s v=""/>
    <s v=""/>
    <s v=""/>
    <x v="55"/>
    <n v="-0.63413453782868201"/>
    <n v="1.0144255431196874"/>
    <s v=""/>
    <x v="0"/>
    <n v="0.34129100529100531"/>
    <s v=""/>
    <x v="0"/>
  </r>
  <r>
    <x v="13"/>
    <s v="20"/>
    <s v="01 - Administration"/>
    <s v="01"/>
    <s v="PS Salaries - Personnel services - salaries"/>
    <s v="4151-001"/>
    <s v="Legally Mandated Training - Salaries"/>
    <n v="0"/>
    <n v="0"/>
    <n v="0"/>
    <n v="0"/>
    <n v="0"/>
    <n v="0"/>
    <n v="16983"/>
    <n v="26665"/>
    <n v="26665"/>
    <n v="26665"/>
    <n v="26665"/>
    <n v="9682"/>
    <n v="0"/>
    <n v="0.57009951127598191"/>
    <s v=""/>
    <s v=""/>
    <s v=""/>
    <s v=""/>
    <s v=""/>
    <s v=""/>
    <s v=""/>
    <s v=""/>
    <s v=""/>
    <n v="0.57009951127598191"/>
    <n v="0.57009951127598191"/>
    <n v="0.57009951127598191"/>
    <n v="0.57009951127598191"/>
    <s v=""/>
    <s v=""/>
    <s v=""/>
    <s v=""/>
    <x v="56"/>
    <n v="0"/>
    <n v="0.57009951127598191"/>
    <s v=""/>
    <x v="0"/>
    <n v="0.53109951127598187"/>
    <s v=""/>
    <x v="0"/>
  </r>
  <r>
    <x v="13"/>
    <s v="20"/>
    <s v="01 - Administration"/>
    <s v="01"/>
    <s v="PS Benefits - Personnel services - benefits"/>
    <s v="4215-000"/>
    <s v="STD, LTD, &amp; Life  Benefits"/>
    <n v="81467"/>
    <n v="51015.31"/>
    <n v="88620"/>
    <n v="59392.2"/>
    <n v="84569"/>
    <n v="46491.81"/>
    <n v="42671"/>
    <n v="51925"/>
    <n v="51925"/>
    <n v="51925"/>
    <n v="51925"/>
    <n v="9254"/>
    <n v="0"/>
    <n v="0.21686859928288532"/>
    <n v="-0.37379171934648386"/>
    <n v="-0.32981042654028442"/>
    <n v="-0.45024997339450629"/>
    <n v="8.7802423067008722E-2"/>
    <n v="0.16420345186572421"/>
    <n v="-4.5712028887384334E-2"/>
    <n v="-0.21720680493398123"/>
    <n v="-0.49542976740886141"/>
    <n v="-0.47621736408607168"/>
    <n v="0.21686859928288532"/>
    <n v="0.21686859928288532"/>
    <n v="0.21686859928288532"/>
    <n v="0.21686859928288532"/>
    <n v="-0.36262535750672054"/>
    <n v="-0.36262535750672054"/>
    <n v="-0.36262535750672054"/>
    <n v="-0.36262535750672054"/>
    <x v="13"/>
    <n v="-0.15111312440974567"/>
    <n v="0.36798172369263099"/>
    <s v=""/>
    <x v="0"/>
    <n v="0.17786859928288534"/>
    <s v=""/>
    <x v="0"/>
  </r>
  <r>
    <x v="13"/>
    <s v="20"/>
    <s v="01 - Administration"/>
    <s v="01"/>
    <s v="PS Benefits - Personnel services - benefits"/>
    <s v="4220-000"/>
    <s v="FICA Benefits"/>
    <n v="12758"/>
    <n v="13733.95"/>
    <n v="13369"/>
    <n v="13154.73"/>
    <n v="21008"/>
    <n v="21092.29"/>
    <n v="27358"/>
    <n v="29147"/>
    <n v="29147"/>
    <n v="29147"/>
    <n v="29147"/>
    <n v="1789"/>
    <n v="0"/>
    <n v="6.5392207032677827E-2"/>
    <n v="7.6497099858912107E-2"/>
    <n v="-1.6027376767147911E-2"/>
    <n v="4.0122810357959291E-3"/>
    <n v="4.7891519046872548E-2"/>
    <n v="-4.2174319842434339E-2"/>
    <n v="0.57139651432418281"/>
    <n v="0.60339968969336522"/>
    <n v="0.30226580350342724"/>
    <n v="1.1443799968647124"/>
    <n v="6.5392207032677827E-2"/>
    <n v="6.5392207032677827E-2"/>
    <n v="6.5392207032677827E-2"/>
    <n v="6.5392207032677827E-2"/>
    <n v="1.2846057375764226"/>
    <n v="1.2846057375764226"/>
    <n v="1.2846057375764226"/>
    <n v="1.2846057375764226"/>
    <x v="1"/>
    <n v="0.30718461229149419"/>
    <n v="-0.24179240525881635"/>
    <s v=""/>
    <x v="0"/>
    <n v="2.6392207032677834E-2"/>
    <s v=""/>
    <x v="0"/>
  </r>
  <r>
    <x v="13"/>
    <s v="20"/>
    <s v="01 - Administration"/>
    <s v="01"/>
    <s v="PS Benefits - Personnel services - benefits"/>
    <s v="4225-000"/>
    <s v="Medicare Benefits"/>
    <n v="20143"/>
    <n v="20514.23"/>
    <n v="20820"/>
    <n v="20661.93"/>
    <n v="23272"/>
    <n v="23905.65"/>
    <n v="27794"/>
    <n v="29658"/>
    <n v="29658"/>
    <n v="29658"/>
    <n v="29658"/>
    <n v="1864"/>
    <n v="0"/>
    <n v="6.7064834136864065E-2"/>
    <n v="1.8429727448741478E-2"/>
    <n v="-7.5922190201728971E-3"/>
    <n v="2.7227999312478577E-2"/>
    <n v="3.3609690711413391E-2"/>
    <n v="7.1998802782264181E-3"/>
    <n v="0.11777137367915466"/>
    <n v="0.15699017468358478"/>
    <n v="0.19431075971124098"/>
    <n v="0.37983418557315196"/>
    <n v="6.7064834136864065E-2"/>
    <n v="6.7064834136864065E-2"/>
    <n v="6.7064834136864065E-2"/>
    <n v="6.7064834136864065E-2"/>
    <n v="0.47237253636499033"/>
    <n v="0.47237253636499033"/>
    <n v="0.47237253636499033"/>
    <n v="0.47237253636499033"/>
    <x v="2"/>
    <n v="0.11523060803393635"/>
    <n v="-4.8165773897072287E-2"/>
    <s v=""/>
    <x v="0"/>
    <n v="2.8064834136864072E-2"/>
    <s v=""/>
    <x v="0"/>
  </r>
  <r>
    <x v="13"/>
    <s v="20"/>
    <s v="01 - Administration"/>
    <s v="01"/>
    <s v="PS Benefits - Personnel services - benefits"/>
    <s v="4230-000"/>
    <s v="Retirement Benefits"/>
    <n v="429865"/>
    <n v="439917.04"/>
    <n v="410850"/>
    <n v="403223.11"/>
    <n v="441879"/>
    <n v="453659.15"/>
    <n v="515576"/>
    <n v="547474"/>
    <n v="547474"/>
    <n v="547474"/>
    <n v="547474"/>
    <n v="31898"/>
    <n v="0"/>
    <n v="6.1868667276987289E-2"/>
    <n v="2.3384178753794747E-2"/>
    <n v="-1.8563685043203149E-2"/>
    <n v="2.6659221189511209E-2"/>
    <n v="-4.4234817907947845E-2"/>
    <n v="-8.3411022223644701E-2"/>
    <n v="7.5523913837166848E-2"/>
    <n v="0.12508221564979258"/>
    <n v="0.1667809513464093"/>
    <n v="0.19939050632175218"/>
    <n v="6.1868667276987289E-2"/>
    <n v="6.1868667276987289E-2"/>
    <n v="6.1868667276987289E-2"/>
    <n v="6.1868667276987289E-2"/>
    <n v="0.27359519849254998"/>
    <n v="0.27359519849254998"/>
    <n v="0.27359519849254998"/>
    <n v="0.27359519849254998"/>
    <x v="14"/>
    <n v="6.6023349091876099E-2"/>
    <n v="-4.1546818148888096E-3"/>
    <s v=""/>
    <x v="0"/>
    <n v="2.2868667276987296E-2"/>
    <s v=""/>
    <x v="0"/>
  </r>
  <r>
    <x v="13"/>
    <s v="20"/>
    <s v="01 - Administration"/>
    <s v="01"/>
    <s v="PS Benefits - Personnel services - benefits"/>
    <s v="4240-000"/>
    <s v="Tuition reimbursement Benefits"/>
    <n v="60000"/>
    <n v="13869.65"/>
    <n v="60000"/>
    <n v="17994"/>
    <n v="60000"/>
    <n v="5232"/>
    <n v="60000"/>
    <n v="60000"/>
    <n v="60000"/>
    <n v="60000"/>
    <n v="60000"/>
    <n v="0"/>
    <n v="0"/>
    <n v="0"/>
    <n v="-0.76883916666666663"/>
    <n v="-0.70009999999999994"/>
    <n v="-0.91279999999999994"/>
    <n v="0"/>
    <n v="0.29736511015058059"/>
    <n v="0"/>
    <n v="-0.70923641213737909"/>
    <n v="0"/>
    <n v="0"/>
    <n v="0"/>
    <n v="0"/>
    <n v="0"/>
    <n v="0"/>
    <n v="0"/>
    <n v="0"/>
    <n v="0"/>
    <n v="0"/>
    <x v="21"/>
    <n v="0"/>
    <n v="0"/>
    <s v=""/>
    <x v="0"/>
    <n v="-3.8999999999999993E-2"/>
    <s v=""/>
    <x v="0"/>
  </r>
  <r>
    <x v="13"/>
    <s v="20"/>
    <s v="01 - Administration"/>
    <s v="01"/>
    <s v="PS Benefits - Personnel services - benefits"/>
    <s v="4260-000"/>
    <s v="Workers' comp Benefits"/>
    <n v="20547"/>
    <n v="21097.67"/>
    <n v="21761"/>
    <n v="23187.08"/>
    <n v="25984"/>
    <n v="25984.16"/>
    <n v="30701"/>
    <n v="30244"/>
    <n v="30244"/>
    <n v="30244"/>
    <n v="30244"/>
    <n v="-457"/>
    <n v="0"/>
    <n v="-1.4885508615354549E-2"/>
    <n v="2.6800506156616454E-2"/>
    <n v="6.5533753044437371E-2"/>
    <n v="6.1576354679746954E-6"/>
    <n v="5.9084051199688521E-2"/>
    <n v="9.9035106720315735E-2"/>
    <n v="0.19406277285051238"/>
    <n v="0.12063097207582835"/>
    <n v="0.1815347906403941"/>
    <n v="0.49418406580036017"/>
    <n v="-1.4885508615354549E-2"/>
    <n v="-1.4885508615354549E-2"/>
    <n v="-1.4885508615354549E-2"/>
    <n v="-1.4885508615354549E-2"/>
    <n v="0.47194237601596339"/>
    <n v="0.47194237601596339"/>
    <n v="0.47194237601596339"/>
    <n v="0.47194237601596339"/>
    <x v="3"/>
    <n v="0.14489387156353165"/>
    <n v="-0.15977938017888618"/>
    <s v=""/>
    <x v="0"/>
    <n v="-5.3885508615354544E-2"/>
    <s v=""/>
    <x v="0"/>
  </r>
  <r>
    <x v="13"/>
    <s v="20"/>
    <s v="01 - Administration"/>
    <s v="01"/>
    <s v="PS prof - Purchased services - professional &amp; technical"/>
    <s v="4290-000"/>
    <s v="Uniforms &amp; cleaning Benefits"/>
    <n v="0"/>
    <n v="0"/>
    <n v="0"/>
    <n v="0"/>
    <n v="0"/>
    <n v="0"/>
    <n v="0"/>
    <n v="0"/>
    <n v="0"/>
    <n v="0"/>
    <n v="0"/>
    <n v="0"/>
    <n v="0"/>
    <s v=""/>
    <s v=""/>
    <s v=""/>
    <s v=""/>
    <s v=""/>
    <s v=""/>
    <s v=""/>
    <s v=""/>
    <s v=""/>
    <s v=""/>
    <s v=""/>
    <s v=""/>
    <s v=""/>
    <s v=""/>
    <s v=""/>
    <s v=""/>
    <s v=""/>
    <s v=""/>
    <x v="57"/>
    <n v="0"/>
    <n v="0"/>
    <s v=""/>
    <x v="0"/>
    <n v="-3.8999999999999993E-2"/>
    <s v=""/>
    <x v="0"/>
  </r>
  <r>
    <x v="13"/>
    <s v="20"/>
    <s v="01 - Administration"/>
    <s v="01"/>
    <s v="PS prof - Purchased services - professional &amp; technical"/>
    <s v="4323-000"/>
    <s v="Legal &amp; Profesional Standards"/>
    <n v="0"/>
    <n v="0"/>
    <n v="0"/>
    <n v="0"/>
    <n v="0"/>
    <n v="0"/>
    <n v="32177"/>
    <n v="32177"/>
    <n v="32177"/>
    <n v="32177"/>
    <n v="32177"/>
    <n v="0"/>
    <n v="0"/>
    <n v="0"/>
    <s v=""/>
    <s v=""/>
    <s v=""/>
    <s v=""/>
    <s v=""/>
    <s v=""/>
    <s v=""/>
    <s v=""/>
    <s v=""/>
    <n v="0"/>
    <n v="0"/>
    <n v="0"/>
    <n v="0"/>
    <s v=""/>
    <s v=""/>
    <s v=""/>
    <s v=""/>
    <x v="58"/>
    <n v="0"/>
    <n v="0"/>
    <s v=""/>
    <x v="0"/>
    <n v="-3.8999999999999993E-2"/>
    <s v=""/>
    <x v="0"/>
  </r>
  <r>
    <x v="13"/>
    <s v="20"/>
    <s v="01 - Administration"/>
    <s v="01"/>
    <s v="PS prof - Purchased services - professional &amp; technical"/>
    <s v="4330-000"/>
    <s v="MGMT services Services"/>
    <n v="5000"/>
    <n v="26745.79"/>
    <n v="7500"/>
    <n v="25005.18"/>
    <n v="7500"/>
    <n v="22177.83"/>
    <n v="7500"/>
    <n v="7500"/>
    <n v="7500"/>
    <n v="7500"/>
    <n v="7500"/>
    <n v="0"/>
    <n v="0"/>
    <n v="0"/>
    <n v="4.3491580000000001"/>
    <n v="2.3340239999999999"/>
    <n v="1.9570440000000002"/>
    <n v="0.5"/>
    <n v="-6.5079775172092527E-2"/>
    <n v="0"/>
    <n v="-0.11307057177752763"/>
    <n v="0"/>
    <n v="0.5"/>
    <n v="0"/>
    <n v="0"/>
    <n v="0"/>
    <n v="0"/>
    <n v="0.5"/>
    <n v="0.5"/>
    <n v="0.5"/>
    <n v="0.5"/>
    <x v="7"/>
    <n v="0.16666666666666666"/>
    <n v="-0.16666666666666666"/>
    <s v=""/>
    <x v="0"/>
    <n v="-3.8999999999999993E-2"/>
    <s v=""/>
    <x v="0"/>
  </r>
  <r>
    <x v="13"/>
    <s v="20"/>
    <s v="01 - Administration"/>
    <s v="01"/>
    <s v="PS prof - Purchased services - professional &amp; technical"/>
    <s v="4341-000"/>
    <s v="Telephone Services"/>
    <n v="0"/>
    <n v="0"/>
    <n v="0"/>
    <n v="0"/>
    <n v="0"/>
    <n v="0"/>
    <n v="0"/>
    <n v="0"/>
    <n v="0"/>
    <n v="0"/>
    <n v="0"/>
    <n v="0"/>
    <n v="0"/>
    <s v=""/>
    <s v=""/>
    <s v=""/>
    <s v=""/>
    <s v=""/>
    <s v=""/>
    <s v=""/>
    <s v=""/>
    <s v=""/>
    <s v=""/>
    <s v=""/>
    <s v=""/>
    <s v=""/>
    <s v=""/>
    <s v=""/>
    <s v=""/>
    <s v=""/>
    <s v=""/>
    <x v="34"/>
    <n v="0"/>
    <n v="0"/>
    <s v=""/>
    <x v="0"/>
    <n v="-3.8999999999999993E-2"/>
    <s v=""/>
    <x v="0"/>
  </r>
  <r>
    <x v="13"/>
    <s v="20"/>
    <s v="01 - Administration"/>
    <s v="01"/>
    <s v="PS prof - Purchased services - professional &amp; technical"/>
    <s v="4350-000"/>
    <s v="Medical services Services"/>
    <n v="0"/>
    <n v="0"/>
    <n v="0"/>
    <n v="0"/>
    <n v="0"/>
    <n v="0"/>
    <n v="0"/>
    <n v="0"/>
    <n v="0"/>
    <n v="0"/>
    <n v="0"/>
    <n v="0"/>
    <n v="0"/>
    <s v=""/>
    <s v=""/>
    <s v=""/>
    <s v=""/>
    <s v=""/>
    <s v=""/>
    <s v=""/>
    <s v=""/>
    <s v=""/>
    <s v=""/>
    <s v=""/>
    <s v=""/>
    <s v=""/>
    <s v=""/>
    <s v=""/>
    <s v=""/>
    <s v=""/>
    <s v=""/>
    <x v="59"/>
    <n v="0"/>
    <n v="0"/>
    <s v=""/>
    <x v="0"/>
    <n v="-3.8999999999999993E-2"/>
    <s v=""/>
    <x v="0"/>
  </r>
  <r>
    <x v="13"/>
    <s v="20"/>
    <s v="01 - Administration"/>
    <s v="01"/>
    <s v="PS prof - Purchased services - professional &amp; technical"/>
    <s v="4440-000"/>
    <s v="Rental and leases Services"/>
    <n v="3000"/>
    <n v="1215.6300000000001"/>
    <n v="3000"/>
    <n v="10853.9"/>
    <n v="3000"/>
    <n v="6948.63"/>
    <n v="3000"/>
    <n v="4456"/>
    <n v="4456"/>
    <n v="4456"/>
    <n v="4456"/>
    <n v="1456"/>
    <n v="0"/>
    <n v="0.48533333333333334"/>
    <n v="-0.59478999999999993"/>
    <n v="2.6179666666666663"/>
    <n v="1.3162100000000001"/>
    <n v="0"/>
    <n v="7.9286213732796984"/>
    <n v="0"/>
    <n v="-0.35980338864371331"/>
    <n v="0"/>
    <n v="0"/>
    <n v="0.48533333333333334"/>
    <n v="0.48533333333333334"/>
    <n v="0.48533333333333334"/>
    <n v="0.48533333333333334"/>
    <n v="0.48533333333333334"/>
    <n v="0.48533333333333334"/>
    <n v="0.48533333333333334"/>
    <n v="0.48533333333333334"/>
    <x v="25"/>
    <n v="0"/>
    <n v="0.48533333333333334"/>
    <n v="3000"/>
    <x v="31"/>
    <n v="0.44633333333333336"/>
    <n v="3116.9999999999995"/>
    <x v="30"/>
  </r>
  <r>
    <x v="13"/>
    <s v="20"/>
    <s v="01 - Administration"/>
    <s v="01"/>
    <s v="PS other - Purchased services - other"/>
    <s v="4550-000"/>
    <s v="Printing Services"/>
    <n v="3081.66"/>
    <n v="2250"/>
    <n v="8780.7099999999991"/>
    <n v="2250"/>
    <n v="2250"/>
    <n v="3917.23"/>
    <n v="2250"/>
    <n v="2250"/>
    <n v="2250"/>
    <n v="2250"/>
    <n v="2250"/>
    <n v="0"/>
    <n v="0"/>
    <n v="0"/>
    <n v="-0.26987402893245843"/>
    <n v="-0.74375648438452013"/>
    <n v="0.74099111111111116"/>
    <n v="1.8493441846277654"/>
    <n v="0"/>
    <n v="-0.74375648438452013"/>
    <n v="0.74099111111111116"/>
    <n v="0"/>
    <n v="-0.26987402893245843"/>
    <n v="0"/>
    <n v="0"/>
    <n v="0"/>
    <n v="0"/>
    <n v="-0.26987402893245843"/>
    <n v="-0.26987402893245843"/>
    <n v="-0.26987402893245843"/>
    <n v="-0.26987402893245843"/>
    <x v="4"/>
    <n v="0.36852923341441507"/>
    <n v="-0.36852923341441507"/>
    <s v=""/>
    <x v="0"/>
    <n v="-3.8999999999999993E-2"/>
    <s v=""/>
    <x v="0"/>
  </r>
  <r>
    <x v="13"/>
    <s v="20"/>
    <s v="01 - Administration"/>
    <s v="01"/>
    <s v="PS other - Purchased services - other"/>
    <s v="4560-000"/>
    <s v="Dues &amp; subs Services"/>
    <n v="26197.99"/>
    <n v="8880"/>
    <n v="20270"/>
    <n v="19295"/>
    <n v="19295"/>
    <n v="18699.25"/>
    <n v="19295"/>
    <n v="19295"/>
    <n v="19295"/>
    <n v="19295"/>
    <n v="19295"/>
    <n v="0"/>
    <n v="0"/>
    <n v="0"/>
    <n v="-0.6610426983138783"/>
    <n v="-4.8100641341884562E-2"/>
    <n v="-3.0875874578906452E-2"/>
    <n v="-0.22627651968719742"/>
    <n v="1.1728603603603605"/>
    <n v="-4.8100641341884562E-2"/>
    <n v="-3.0875874578906452E-2"/>
    <n v="0"/>
    <n v="-0.2634931153115182"/>
    <n v="0"/>
    <n v="0"/>
    <n v="0"/>
    <n v="0"/>
    <n v="-0.2634931153115182"/>
    <n v="-0.2634931153115182"/>
    <n v="-0.2634931153115182"/>
    <n v="-0.2634931153115182"/>
    <x v="15"/>
    <n v="-9.145905367636066E-2"/>
    <n v="9.145905367636066E-2"/>
    <n v="17530.297559314622"/>
    <x v="32"/>
    <n v="-3.8999999999999993E-2"/>
    <s v=""/>
    <x v="0"/>
  </r>
  <r>
    <x v="13"/>
    <s v="20"/>
    <s v="01 - Administration"/>
    <s v="01"/>
    <s v="Supplies - Supplies"/>
    <s v="4610-000"/>
    <s v="General expenses Supplies"/>
    <n v="9000"/>
    <n v="3034.21"/>
    <n v="9000"/>
    <n v="15190.84"/>
    <n v="9000"/>
    <n v="13544.81"/>
    <n v="9000"/>
    <n v="9000"/>
    <n v="9000"/>
    <n v="9000"/>
    <n v="9000"/>
    <n v="0"/>
    <n v="0"/>
    <n v="0"/>
    <n v="-0.6628655555555556"/>
    <n v="0.6878711111111111"/>
    <n v="0.50497888888888887"/>
    <n v="0"/>
    <n v="4.0065222908104587"/>
    <n v="0"/>
    <n v="-0.10835674656569358"/>
    <n v="0"/>
    <n v="0"/>
    <n v="0"/>
    <n v="0"/>
    <n v="0"/>
    <n v="0"/>
    <n v="0"/>
    <n v="0"/>
    <n v="0"/>
    <n v="0"/>
    <x v="8"/>
    <n v="0"/>
    <n v="0"/>
    <s v=""/>
    <x v="0"/>
    <n v="-3.8999999999999993E-2"/>
    <s v=""/>
    <x v="0"/>
  </r>
  <r>
    <x v="13"/>
    <s v="20"/>
    <s v="01 - Administration"/>
    <s v="01"/>
    <s v="Supplies - Supplies"/>
    <s v="4620-000"/>
    <s v="Office supplies Supplies"/>
    <n v="13500"/>
    <n v="7355.96"/>
    <n v="13500"/>
    <n v="13581.34"/>
    <n v="13500"/>
    <n v="6769.54"/>
    <n v="13500"/>
    <n v="13500"/>
    <n v="13500"/>
    <n v="13500"/>
    <n v="13500"/>
    <n v="0"/>
    <n v="0"/>
    <n v="0"/>
    <n v="-0.45511407407407406"/>
    <n v="6.0251851851851959E-3"/>
    <n v="-0.4985525925925926"/>
    <n v="0"/>
    <n v="0.84630422133888716"/>
    <n v="0"/>
    <n v="-0.50155581113498371"/>
    <n v="0"/>
    <n v="0"/>
    <n v="0"/>
    <n v="0"/>
    <n v="0"/>
    <n v="0"/>
    <n v="0"/>
    <n v="0"/>
    <n v="0"/>
    <n v="0"/>
    <x v="16"/>
    <n v="0"/>
    <n v="0"/>
    <s v=""/>
    <x v="0"/>
    <n v="-3.8999999999999993E-2"/>
    <s v=""/>
    <x v="0"/>
  </r>
  <r>
    <x v="13"/>
    <s v="20"/>
    <s v="01 - Administration"/>
    <s v="01"/>
    <s v="Supplies - Supplies"/>
    <s v="4625-000"/>
    <s v="Postage Supplies"/>
    <n v="2000"/>
    <n v="3055.46"/>
    <n v="2000"/>
    <n v="3107.51"/>
    <n v="2000"/>
    <n v="4275.03"/>
    <n v="2000"/>
    <n v="2000"/>
    <n v="2000"/>
    <n v="2000"/>
    <n v="2000"/>
    <n v="0"/>
    <n v="0"/>
    <n v="0"/>
    <n v="0.52773000000000003"/>
    <n v="0.55375500000000011"/>
    <n v="1.1375149999999998"/>
    <n v="0"/>
    <n v="1.7035078187899753E-2"/>
    <n v="0"/>
    <n v="0.37570916907749274"/>
    <n v="0"/>
    <n v="0"/>
    <n v="0"/>
    <n v="0"/>
    <n v="0"/>
    <n v="0"/>
    <n v="0"/>
    <n v="0"/>
    <n v="0"/>
    <n v="0"/>
    <x v="17"/>
    <n v="0"/>
    <n v="0"/>
    <s v=""/>
    <x v="0"/>
    <n v="-3.8999999999999993E-2"/>
    <s v=""/>
    <x v="0"/>
  </r>
  <r>
    <x v="13"/>
    <s v="20"/>
    <s v="01 - Administration"/>
    <s v="01"/>
    <s v="Supplies - Supplies"/>
    <s v="4680-000"/>
    <s v="Dept. expense Supplies"/>
    <n v="4000"/>
    <n v="379.6"/>
    <n v="4000"/>
    <n v="4222.5600000000004"/>
    <n v="4000"/>
    <n v="4905.82"/>
    <n v="4000"/>
    <n v="4000"/>
    <n v="4000"/>
    <n v="4000"/>
    <n v="4000"/>
    <n v="0"/>
    <n v="0"/>
    <n v="0"/>
    <n v="-0.90510000000000002"/>
    <n v="5.5640000000000099E-2"/>
    <n v="0.22645499999999993"/>
    <n v="0"/>
    <n v="10.123709167544785"/>
    <n v="0"/>
    <n v="0.16181179189875319"/>
    <n v="0"/>
    <n v="0"/>
    <n v="0"/>
    <n v="0"/>
    <n v="0"/>
    <n v="0"/>
    <n v="0"/>
    <n v="0"/>
    <n v="0"/>
    <n v="0"/>
    <x v="9"/>
    <n v="0"/>
    <n v="0"/>
    <s v=""/>
    <x v="0"/>
    <n v="-3.8999999999999993E-2"/>
    <s v=""/>
    <x v="0"/>
  </r>
  <r>
    <x v="13"/>
    <s v="20"/>
    <s v="01 - Administration"/>
    <s v="01"/>
    <s v="Property - Property"/>
    <s v="4740-000"/>
    <s v="Mach &amp; equip Property"/>
    <n v="0"/>
    <n v="0"/>
    <n v="0"/>
    <n v="0"/>
    <n v="0"/>
    <n v="0"/>
    <n v="0"/>
    <n v="0"/>
    <n v="0"/>
    <n v="0"/>
    <n v="0"/>
    <n v="0"/>
    <n v="0"/>
    <s v=""/>
    <s v=""/>
    <s v=""/>
    <s v=""/>
    <s v=""/>
    <s v=""/>
    <s v=""/>
    <s v=""/>
    <s v=""/>
    <s v=""/>
    <s v=""/>
    <s v=""/>
    <s v=""/>
    <s v=""/>
    <s v=""/>
    <s v=""/>
    <s v=""/>
    <s v=""/>
    <x v="26"/>
    <n v="0"/>
    <n v="0"/>
    <s v=""/>
    <x v="0"/>
    <n v="-3.8999999999999993E-2"/>
    <s v=""/>
    <x v="0"/>
  </r>
  <r>
    <x v="13"/>
    <s v="20"/>
    <s v="01 - Administration"/>
    <s v="01"/>
    <s v="Property - Property"/>
    <s v="4750-000"/>
    <s v="Furniture &amp; fixures Property"/>
    <n v="0"/>
    <n v="2846.29"/>
    <n v="0"/>
    <n v="0"/>
    <n v="0"/>
    <n v="0"/>
    <n v="0"/>
    <n v="0"/>
    <n v="0"/>
    <n v="0"/>
    <n v="0"/>
    <n v="0"/>
    <n v="0"/>
    <s v=""/>
    <s v=""/>
    <s v=""/>
    <s v=""/>
    <s v=""/>
    <n v="-1"/>
    <s v=""/>
    <s v=""/>
    <s v=""/>
    <s v=""/>
    <s v=""/>
    <s v=""/>
    <s v=""/>
    <s v=""/>
    <s v=""/>
    <s v=""/>
    <s v=""/>
    <s v=""/>
    <x v="19"/>
    <n v="0"/>
    <n v="0"/>
    <s v=""/>
    <x v="0"/>
    <n v="-3.8999999999999993E-2"/>
    <s v=""/>
    <x v="0"/>
  </r>
  <r>
    <x v="13"/>
    <s v="20"/>
    <s v="02 - Station"/>
    <s v="02"/>
    <s v="PS Salaries - Personnel services - salaries"/>
    <s v="4110-000"/>
    <s v="Regular Salaries"/>
    <n v="66165"/>
    <n v="66922.97"/>
    <n v="71012"/>
    <n v="71136.67"/>
    <n v="76191"/>
    <n v="72176.800000000003"/>
    <n v="81752"/>
    <n v="88380"/>
    <n v="88380"/>
    <n v="88380"/>
    <n v="88380"/>
    <n v="6628"/>
    <n v="0"/>
    <n v="8.1074469126137583E-2"/>
    <n v="1.1455754553011429E-2"/>
    <n v="1.7556187686587935E-3"/>
    <n v="-5.2686012783662077E-2"/>
    <n v="7.3256253306128616E-2"/>
    <n v="6.2963433930084051E-2"/>
    <n v="7.2931335548921311E-2"/>
    <n v="1.4621572811884569E-2"/>
    <n v="7.2987623210090433E-2"/>
    <n v="0.23557772236076477"/>
    <n v="8.1074469126137583E-2"/>
    <n v="8.1074469126137583E-2"/>
    <n v="8.1074469126137583E-2"/>
    <n v="8.1074469126137583E-2"/>
    <n v="0.33575153026524596"/>
    <n v="0.33575153026524596"/>
    <n v="0.33575153026524596"/>
    <n v="0.33575153026524596"/>
    <x v="10"/>
    <n v="7.3058404021713444E-2"/>
    <n v="8.0160651044241388E-3"/>
    <s v=""/>
    <x v="0"/>
    <n v="4.207446912613759E-2"/>
    <s v=""/>
    <x v="0"/>
  </r>
  <r>
    <x v="13"/>
    <s v="20"/>
    <s v="02 - Station"/>
    <s v="02"/>
    <s v="PS Salaries - Personnel services - salaries"/>
    <s v="4120-000"/>
    <s v="Part-time Salaries"/>
    <n v="30664"/>
    <n v="32137.57"/>
    <n v="32623"/>
    <n v="32654.09"/>
    <n v="34707"/>
    <n v="36718.559999999998"/>
    <n v="36808"/>
    <n v="42573"/>
    <n v="42573"/>
    <n v="42573"/>
    <n v="42573"/>
    <n v="5765"/>
    <n v="0"/>
    <n v="0.15662356009563139"/>
    <n v="4.8055374380380891E-2"/>
    <n v="9.5300861355485838E-4"/>
    <n v="5.7958336934912195E-2"/>
    <n v="6.3885990086094441E-2"/>
    <n v="1.6072154801996554E-2"/>
    <n v="6.388131073169237E-2"/>
    <n v="0.12447047215218668"/>
    <n v="6.0535338692482787E-2"/>
    <n v="0.20036524915210019"/>
    <n v="0.15662356009563139"/>
    <n v="0.15662356009563139"/>
    <n v="0.15662356009563139"/>
    <n v="0.15662356009563139"/>
    <n v="0.38837072788938171"/>
    <n v="0.38837072788938171"/>
    <n v="0.38837072788938171"/>
    <n v="0.38837072788938171"/>
    <x v="11"/>
    <n v="6.2767546503423199E-2"/>
    <n v="9.3856013592208187E-2"/>
    <s v=""/>
    <x v="0"/>
    <n v="0.11762356009563139"/>
    <s v=""/>
    <x v="0"/>
  </r>
  <r>
    <x v="13"/>
    <s v="20"/>
    <s v="02 - Station"/>
    <s v="02"/>
    <s v="PS Salaries - Personnel services - salaries"/>
    <s v="4140-000"/>
    <s v="Overtime Salaries"/>
    <n v="500"/>
    <n v="10091.76"/>
    <n v="541"/>
    <n v="8961.7900000000009"/>
    <n v="2618"/>
    <n v="3928.59"/>
    <n v="8354"/>
    <n v="8354"/>
    <n v="8354"/>
    <n v="8354"/>
    <n v="8354"/>
    <n v="0"/>
    <n v="0"/>
    <n v="0"/>
    <n v="19.183520000000001"/>
    <n v="15.565231053604437"/>
    <n v="0.50060733384262801"/>
    <n v="8.2000000000000003E-2"/>
    <n v="-0.11196956725090562"/>
    <n v="3.8391866913123844"/>
    <n v="-0.56162887101795511"/>
    <n v="2.1909854851031323"/>
    <n v="15.708"/>
    <n v="0"/>
    <n v="0"/>
    <n v="0"/>
    <n v="0"/>
    <n v="15.708"/>
    <n v="15.708"/>
    <n v="15.708"/>
    <n v="15.708"/>
    <x v="12"/>
    <n v="2.0373907254718389"/>
    <n v="-2.0373907254718389"/>
    <s v=""/>
    <x v="0"/>
    <n v="-3.8999999999999993E-2"/>
    <s v=""/>
    <x v="0"/>
  </r>
  <r>
    <x v="13"/>
    <s v="20"/>
    <s v="02 - Station"/>
    <s v="02"/>
    <s v="PS Benefits - Personnel services - benefits"/>
    <s v="4220-000"/>
    <s v="FICA Benefits"/>
    <n v="6035"/>
    <n v="6744.9"/>
    <n v="6459"/>
    <n v="6942.9"/>
    <n v="7038"/>
    <n v="7379.42"/>
    <n v="7870"/>
    <n v="8637"/>
    <n v="8637"/>
    <n v="8637"/>
    <n v="8637"/>
    <n v="767"/>
    <n v="0"/>
    <n v="9.7458703939008892E-2"/>
    <n v="0.11763048881524435"/>
    <n v="7.4918718067812293E-2"/>
    <n v="4.8510940608127322E-2"/>
    <n v="7.0256835128417558E-2"/>
    <n v="2.93555130543077E-2"/>
    <n v="8.964235949837436E-2"/>
    <n v="6.2872862924714529E-2"/>
    <n v="0.11821540210287014"/>
    <n v="0.30405965202982599"/>
    <n v="9.7458703939008892E-2"/>
    <n v="9.7458703939008892E-2"/>
    <n v="9.7458703939008892E-2"/>
    <n v="9.7458703939008892E-2"/>
    <n v="0.43115161557580778"/>
    <n v="0.43115161557580778"/>
    <n v="0.43115161557580778"/>
    <n v="0.43115161557580778"/>
    <x v="1"/>
    <n v="9.270486557655401E-2"/>
    <n v="4.7538383624548819E-3"/>
    <s v=""/>
    <x v="0"/>
    <n v="5.8458703939008899E-2"/>
    <s v=""/>
    <x v="0"/>
  </r>
  <r>
    <x v="13"/>
    <s v="20"/>
    <s v="02 - Station"/>
    <s v="02"/>
    <s v="PS Benefits - Personnel services - benefits"/>
    <s v="4225-000"/>
    <s v="Medicare Benefits"/>
    <n v="1421"/>
    <n v="1577.44"/>
    <n v="1511"/>
    <n v="1623.75"/>
    <n v="1646"/>
    <n v="1725.84"/>
    <n v="1842"/>
    <n v="2020"/>
    <n v="2020"/>
    <n v="2020"/>
    <n v="2020"/>
    <n v="178"/>
    <n v="0"/>
    <n v="9.6634093376764388E-2"/>
    <n v="0.11009148486981003"/>
    <n v="7.4619457313037721E-2"/>
    <n v="4.8505467800728994E-2"/>
    <n v="6.3335679099225897E-2"/>
    <n v="2.9357693478040334E-2"/>
    <n v="8.9344804765056254E-2"/>
    <n v="6.287297921478055E-2"/>
    <n v="0.11907654921020656"/>
    <n v="0.29627023223082338"/>
    <n v="9.6634093376764388E-2"/>
    <n v="9.6634093376764388E-2"/>
    <n v="9.6634093376764388E-2"/>
    <n v="9.6634093376764388E-2"/>
    <n v="0.42153413089373681"/>
    <n v="0.42153413089373681"/>
    <n v="0.42153413089373681"/>
    <n v="0.42153413089373681"/>
    <x v="2"/>
    <n v="9.0585677691496239E-2"/>
    <n v="6.0484156852681492E-3"/>
    <s v=""/>
    <x v="0"/>
    <n v="5.7634093376764395E-2"/>
    <s v=""/>
    <x v="0"/>
  </r>
  <r>
    <x v="13"/>
    <s v="20"/>
    <s v="02 - Station"/>
    <s v="02"/>
    <s v="PS Benefits - Personnel services - benefits"/>
    <s v="4230-000"/>
    <s v="Retirement Benefits"/>
    <n v="9473"/>
    <n v="10718.88"/>
    <n v="9682"/>
    <n v="10742.02"/>
    <n v="14297"/>
    <n v="10801.4"/>
    <n v="11490"/>
    <n v="12334"/>
    <n v="12334"/>
    <n v="12334"/>
    <n v="12334"/>
    <n v="844"/>
    <n v="0"/>
    <n v="7.3455178416013928E-2"/>
    <n v="0.13151905415391102"/>
    <n v="0.1094835777731874"/>
    <n v="-0.24449884591172977"/>
    <n v="2.2062704528660403E-2"/>
    <n v="2.1588076366188666E-3"/>
    <n v="0.47665771534806856"/>
    <n v="5.5278243756760083E-3"/>
    <n v="-0.19633489543260824"/>
    <n v="0.21292093317850733"/>
    <n v="7.3455178416013928E-2"/>
    <n v="7.3455178416013928E-2"/>
    <n v="7.3455178416013928E-2"/>
    <n v="7.3455178416013928E-2"/>
    <n v="0.30201625672965271"/>
    <n v="0.30201625672965271"/>
    <n v="0.30201625672965271"/>
    <n v="0.30201625672965271"/>
    <x v="14"/>
    <n v="0.1007951748147069"/>
    <n v="-2.7339996398692973E-2"/>
    <s v=""/>
    <x v="0"/>
    <n v="3.4455178416013935E-2"/>
    <s v=""/>
    <x v="0"/>
  </r>
  <r>
    <x v="13"/>
    <s v="20"/>
    <s v="02 - Station"/>
    <s v="02"/>
    <s v="PS Benefits - Personnel services - benefits"/>
    <s v="4260-000"/>
    <s v="Workers' comp Benefits"/>
    <n v="6112"/>
    <n v="5827.22"/>
    <n v="6472"/>
    <n v="6894.66"/>
    <n v="7726"/>
    <n v="7726.37"/>
    <n v="9129"/>
    <n v="8993"/>
    <n v="8993"/>
    <n v="8993"/>
    <n v="8993"/>
    <n v="-136"/>
    <n v="0"/>
    <n v="-1.4897579143389199E-2"/>
    <n v="-4.6593586387434514E-2"/>
    <n v="6.5305933250927053E-2"/>
    <n v="4.7890240745520433E-5"/>
    <n v="5.8900523560209424E-2"/>
    <n v="0.18318168869546705"/>
    <n v="0.19375772558714463"/>
    <n v="0.12063103909402349"/>
    <n v="0.18159461558374321"/>
    <n v="0.49361910994764396"/>
    <n v="-1.4897579143389199E-2"/>
    <n v="-1.4897579143389199E-2"/>
    <n v="-1.4897579143389199E-2"/>
    <n v="-1.4897579143389199E-2"/>
    <n v="0.47136780104712039"/>
    <n v="0.47136780104712039"/>
    <n v="0.47136780104712039"/>
    <n v="0.47136780104712039"/>
    <x v="3"/>
    <n v="0.14475095491036574"/>
    <n v="-0.15964853405375495"/>
    <s v=""/>
    <x v="0"/>
    <n v="-5.389757914338919E-2"/>
    <s v=""/>
    <x v="0"/>
  </r>
  <r>
    <x v="13"/>
    <s v="20"/>
    <s v="02 - Station"/>
    <s v="02"/>
    <s v="PS prof - Purchased services - professional &amp; technical"/>
    <s v="4290-000"/>
    <s v="Uniforms &amp; cleaning Benefits"/>
    <n v="400"/>
    <n v="400"/>
    <n v="400"/>
    <n v="168.29"/>
    <n v="400"/>
    <n v="0"/>
    <n v="400"/>
    <n v="400"/>
    <n v="400"/>
    <n v="400"/>
    <n v="400"/>
    <n v="0"/>
    <n v="0"/>
    <n v="0"/>
    <n v="0"/>
    <n v="-0.57927499999999998"/>
    <n v="-1"/>
    <n v="0"/>
    <n v="-0.57927499999999998"/>
    <n v="0"/>
    <n v="-1"/>
    <n v="0"/>
    <n v="0"/>
    <n v="0"/>
    <n v="0"/>
    <n v="0"/>
    <n v="0"/>
    <n v="0"/>
    <n v="0"/>
    <n v="0"/>
    <n v="0"/>
    <x v="57"/>
    <n v="0"/>
    <n v="0"/>
    <s v=""/>
    <x v="0"/>
    <n v="-3.8999999999999993E-2"/>
    <s v=""/>
    <x v="0"/>
  </r>
  <r>
    <x v="13"/>
    <s v="20"/>
    <s v="02 - Station"/>
    <s v="02"/>
    <s v="PS prof - Purchased services - professional &amp; technical"/>
    <s v="4360-000"/>
    <s v="Custodial Services"/>
    <n v="2756"/>
    <n v="0"/>
    <n v="0"/>
    <n v="0"/>
    <n v="0"/>
    <n v="0"/>
    <n v="0"/>
    <n v="0"/>
    <n v="0"/>
    <n v="0"/>
    <n v="0"/>
    <n v="0"/>
    <n v="0"/>
    <s v=""/>
    <n v="-1"/>
    <s v=""/>
    <s v=""/>
    <n v="-1"/>
    <s v=""/>
    <s v=""/>
    <s v=""/>
    <s v=""/>
    <n v="-1"/>
    <s v=""/>
    <s v=""/>
    <s v=""/>
    <s v=""/>
    <n v="-1"/>
    <n v="-1"/>
    <n v="-1"/>
    <n v="-1"/>
    <x v="37"/>
    <n v="-1"/>
    <n v="1"/>
    <n v="0"/>
    <x v="9"/>
    <n v="-3.8999999999999993E-2"/>
    <s v=""/>
    <x v="0"/>
  </r>
  <r>
    <x v="13"/>
    <s v="20"/>
    <s v="02 - Station"/>
    <s v="02"/>
    <s v="PS property - Purchased services - property services"/>
    <s v="4410-000"/>
    <s v="Electric Services"/>
    <n v="54000"/>
    <n v="54286.92"/>
    <n v="54000"/>
    <n v="51094.9"/>
    <n v="55000"/>
    <n v="55294.66"/>
    <n v="55000"/>
    <n v="55000"/>
    <n v="55000"/>
    <n v="55000"/>
    <n v="55000"/>
    <n v="0"/>
    <n v="0"/>
    <n v="0"/>
    <n v="5.313333333333301E-3"/>
    <n v="-5.3798148148148123E-2"/>
    <n v="5.3574545454546088E-3"/>
    <n v="0"/>
    <n v="-5.8799062462928396E-2"/>
    <n v="1.8518518518518517E-2"/>
    <n v="8.2195287592303767E-2"/>
    <n v="0"/>
    <n v="1.8518518518518517E-2"/>
    <n v="0"/>
    <n v="0"/>
    <n v="0"/>
    <n v="0"/>
    <n v="1.8518518518518517E-2"/>
    <n v="1.8518518518518517E-2"/>
    <n v="1.8518518518518517E-2"/>
    <n v="1.8518518518518517E-2"/>
    <x v="38"/>
    <n v="6.1728395061728392E-3"/>
    <n v="-6.1728395061728392E-3"/>
    <s v=""/>
    <x v="0"/>
    <n v="-3.8999999999999993E-2"/>
    <s v=""/>
    <x v="0"/>
  </r>
  <r>
    <x v="13"/>
    <s v="20"/>
    <s v="02 - Station"/>
    <s v="02"/>
    <s v="PS property - Purchased services - property services"/>
    <s v="4411-000"/>
    <s v="Heat &amp; oil Services"/>
    <n v="45000"/>
    <n v="38330.78"/>
    <n v="45000"/>
    <n v="29978.51"/>
    <n v="42000"/>
    <n v="30804.68"/>
    <n v="42000"/>
    <n v="42000"/>
    <n v="42000"/>
    <n v="42000"/>
    <n v="42000"/>
    <n v="0"/>
    <n v="0"/>
    <n v="0"/>
    <n v="-0.14820488888888891"/>
    <n v="-0.33381088888888893"/>
    <n v="-0.26655523809523807"/>
    <n v="0"/>
    <n v="-0.21789981837051062"/>
    <n v="-6.6666666666666666E-2"/>
    <n v="2.7558741244978553E-2"/>
    <n v="0"/>
    <n v="-6.6666666666666666E-2"/>
    <n v="0"/>
    <n v="0"/>
    <n v="0"/>
    <n v="0"/>
    <n v="-6.6666666666666666E-2"/>
    <n v="-6.6666666666666666E-2"/>
    <n v="-6.6666666666666666E-2"/>
    <n v="-6.6666666666666666E-2"/>
    <x v="39"/>
    <n v="-2.2222222222222223E-2"/>
    <n v="2.2222222222222223E-2"/>
    <n v="41066.666666666664"/>
    <x v="33"/>
    <n v="-3.8999999999999993E-2"/>
    <s v=""/>
    <x v="0"/>
  </r>
  <r>
    <x v="13"/>
    <s v="20"/>
    <s v="02 - Station"/>
    <s v="02"/>
    <s v="PS property - Purchased services - property services"/>
    <s v="4412-000"/>
    <s v="Water Services"/>
    <n v="5200"/>
    <n v="7626.54"/>
    <n v="6000"/>
    <n v="7535.97"/>
    <n v="8000"/>
    <n v="7593.3"/>
    <n v="8000"/>
    <n v="8000"/>
    <n v="8000"/>
    <n v="8000"/>
    <n v="8000"/>
    <n v="0"/>
    <n v="0"/>
    <n v="0"/>
    <n v="0.46664230769230769"/>
    <n v="0.25599500000000003"/>
    <n v="-5.083749999999998E-2"/>
    <n v="0.15384615384615385"/>
    <n v="-1.1875634298122046E-2"/>
    <n v="0.33333333333333331"/>
    <n v="7.6075143611240388E-3"/>
    <n v="0"/>
    <n v="0.53846153846153844"/>
    <n v="0"/>
    <n v="0"/>
    <n v="0"/>
    <n v="0"/>
    <n v="0.53846153846153844"/>
    <n v="0.53846153846153844"/>
    <n v="0.53846153846153844"/>
    <n v="0.53846153846153844"/>
    <x v="40"/>
    <n v="0.1623931623931624"/>
    <n v="-0.1623931623931624"/>
    <s v=""/>
    <x v="0"/>
    <n v="-3.8999999999999993E-2"/>
    <s v=""/>
    <x v="0"/>
  </r>
  <r>
    <x v="13"/>
    <s v="20"/>
    <s v="02 - Station"/>
    <s v="02"/>
    <s v="Supplies - Supplies"/>
    <s v="4630-000"/>
    <s v="Maint &amp; repairs Supplies"/>
    <n v="18718"/>
    <n v="117266.29"/>
    <n v="100000"/>
    <n v="100495.27"/>
    <n v="100000"/>
    <n v="126672.27"/>
    <n v="100000"/>
    <n v="100000"/>
    <n v="100000"/>
    <n v="100000"/>
    <n v="100000"/>
    <n v="0"/>
    <n v="0"/>
    <n v="0"/>
    <n v="5.2648942194678918"/>
    <n v="4.9527000000000408E-3"/>
    <n v="0.26672270000000003"/>
    <n v="4.342451116572283"/>
    <n v="-0.14301654806338626"/>
    <n v="0"/>
    <n v="0.26047992109479379"/>
    <n v="0"/>
    <n v="4.342451116572283"/>
    <n v="0"/>
    <n v="0"/>
    <n v="0"/>
    <n v="0"/>
    <n v="4.342451116572283"/>
    <n v="4.342451116572283"/>
    <n v="4.342451116572283"/>
    <n v="4.342451116572283"/>
    <x v="32"/>
    <n v="1.4474837055240943"/>
    <n v="-1.4474837055240943"/>
    <s v=""/>
    <x v="0"/>
    <n v="-3.8999999999999993E-2"/>
    <s v=""/>
    <x v="0"/>
  </r>
  <r>
    <x v="13"/>
    <s v="20"/>
    <s v="10 - Information Technology"/>
    <s v="10"/>
    <s v="PS Salaries - Personnel services - salaries"/>
    <s v="4110-000"/>
    <s v="Regular Salaries"/>
    <n v="97986"/>
    <n v="98186.8"/>
    <n v="102589"/>
    <n v="102236.23"/>
    <n v="105665"/>
    <n v="106010.72"/>
    <n v="116567"/>
    <n v="124127"/>
    <n v="124127"/>
    <n v="124127"/>
    <n v="124127"/>
    <n v="7560"/>
    <n v="0"/>
    <n v="6.4855405046025036E-2"/>
    <n v="2.0492723450289112E-3"/>
    <n v="-3.4386727621870186E-3"/>
    <n v="3.2718497137178928E-3"/>
    <n v="4.6976098626334374E-2"/>
    <n v="4.1242101789649863E-2"/>
    <n v="2.998372145161762E-2"/>
    <n v="3.6919299547723987E-2"/>
    <n v="0.10317512894525151"/>
    <n v="0.18962913069213969"/>
    <n v="6.4855405046025036E-2"/>
    <n v="6.4855405046025036E-2"/>
    <n v="6.4855405046025036E-2"/>
    <n v="6.4855405046025036E-2"/>
    <n v="0.26678300981772907"/>
    <n v="0.26678300981772907"/>
    <n v="0.26678300981772907"/>
    <n v="0.26678300981772907"/>
    <x v="10"/>
    <n v="6.0044983007734497E-2"/>
    <n v="4.8104220382905391E-3"/>
    <s v=""/>
    <x v="0"/>
    <n v="2.5855405046025043E-2"/>
    <s v=""/>
    <x v="0"/>
  </r>
  <r>
    <x v="13"/>
    <s v="20"/>
    <s v="10 - Information Technology"/>
    <s v="10"/>
    <s v="PS Benefits - Personnel services - benefits"/>
    <s v="4220-000"/>
    <s v="FICA Benefits"/>
    <n v="6075"/>
    <n v="5942.21"/>
    <n v="6361"/>
    <n v="5950.36"/>
    <n v="6552"/>
    <n v="6131.58"/>
    <n v="7228"/>
    <n v="7696"/>
    <n v="7696"/>
    <n v="7696"/>
    <n v="7696"/>
    <n v="468"/>
    <n v="0"/>
    <n v="6.4748201438848921E-2"/>
    <n v="-2.1858436213991764E-2"/>
    <n v="-6.4555887439081958E-2"/>
    <n v="-6.4166666666666677E-2"/>
    <n v="4.7078189300411522E-2"/>
    <n v="1.3715435839527106E-3"/>
    <n v="3.0026725357648169E-2"/>
    <n v="3.0455300183518351E-2"/>
    <n v="0.10317460317460317"/>
    <n v="0.18979423868312756"/>
    <n v="6.4748201438848921E-2"/>
    <n v="6.4748201438848921E-2"/>
    <n v="6.4748201438848921E-2"/>
    <n v="6.4748201438848921E-2"/>
    <n v="0.26683127572016463"/>
    <n v="0.26683127572016463"/>
    <n v="0.26683127572016463"/>
    <n v="0.26683127572016463"/>
    <x v="1"/>
    <n v="6.0093172610887619E-2"/>
    <n v="4.6550288279613022E-3"/>
    <s v=""/>
    <x v="0"/>
    <n v="2.5748201438848928E-2"/>
    <s v=""/>
    <x v="0"/>
  </r>
  <r>
    <x v="13"/>
    <s v="20"/>
    <s v="10 - Information Technology"/>
    <s v="10"/>
    <s v="PS Benefits - Personnel services - benefits"/>
    <s v="4225-000"/>
    <s v="Medicare Benefits"/>
    <n v="1421"/>
    <n v="1389.71"/>
    <n v="1488"/>
    <n v="1391.61"/>
    <n v="1533"/>
    <n v="1434"/>
    <n v="1691"/>
    <n v="1800"/>
    <n v="1800"/>
    <n v="1800"/>
    <n v="1800"/>
    <n v="109"/>
    <n v="0"/>
    <n v="6.4458900059136612E-2"/>
    <n v="-2.201970443349751E-2"/>
    <n v="-6.4778225806451678E-2"/>
    <n v="-6.4579256360078274E-2"/>
    <n v="4.7149894440534836E-2"/>
    <n v="1.3671917162572504E-3"/>
    <n v="3.0241935483870969E-2"/>
    <n v="3.0461120572574288E-2"/>
    <n v="0.10306588388780169"/>
    <n v="0.19000703729767771"/>
    <n v="6.4458900059136612E-2"/>
    <n v="6.4458900059136612E-2"/>
    <n v="6.4458900059136612E-2"/>
    <n v="6.4458900059136612E-2"/>
    <n v="0.26671358198451794"/>
    <n v="0.26671358198451794"/>
    <n v="0.26671358198451794"/>
    <n v="0.26671358198451794"/>
    <x v="2"/>
    <n v="6.0152571270735831E-2"/>
    <n v="4.3063287884007803E-3"/>
    <s v=""/>
    <x v="0"/>
    <n v="2.5458900059136619E-2"/>
    <s v=""/>
    <x v="0"/>
  </r>
  <r>
    <x v="13"/>
    <s v="20"/>
    <s v="10 - Information Technology"/>
    <s v="10"/>
    <s v="PS Benefits - Personnel services - benefits"/>
    <s v="4230-000"/>
    <s v="Retirement Benefits"/>
    <n v="13777"/>
    <n v="13743.05"/>
    <n v="13881"/>
    <n v="13826.31"/>
    <n v="14297"/>
    <n v="14284.65"/>
    <n v="14863"/>
    <n v="15827"/>
    <n v="15827"/>
    <n v="15827"/>
    <n v="15827"/>
    <n v="964"/>
    <n v="0"/>
    <n v="6.485904595303775E-2"/>
    <n v="-2.4642520142266625E-3"/>
    <n v="-3.939917873352101E-3"/>
    <n v="-8.6381758410857966E-4"/>
    <n v="7.5488132394570659E-3"/>
    <n v="6.0583349402061571E-3"/>
    <n v="2.9969022404725883E-2"/>
    <n v="3.3149842582728156E-2"/>
    <n v="3.9588724907323215E-2"/>
    <n v="7.8827030558176678E-2"/>
    <n v="6.485904595303775E-2"/>
    <n v="6.485904595303775E-2"/>
    <n v="6.485904595303775E-2"/>
    <n v="6.485904595303775E-2"/>
    <n v="0.14879872250852871"/>
    <n v="0.14879872250852871"/>
    <n v="0.14879872250852871"/>
    <n v="0.14879872250852871"/>
    <x v="14"/>
    <n v="2.5702186850502056E-2"/>
    <n v="3.915685910253569E-2"/>
    <s v=""/>
    <x v="0"/>
    <n v="2.5859045953037757E-2"/>
    <s v=""/>
    <x v="0"/>
  </r>
  <r>
    <x v="13"/>
    <s v="20"/>
    <s v="10 - Information Technology"/>
    <s v="10"/>
    <s v="PS prof - Purchased services - professional &amp; technical"/>
    <s v="4330-000"/>
    <s v="MGMT services Services"/>
    <n v="55000"/>
    <n v="86321.01"/>
    <n v="55000"/>
    <n v="105449.13"/>
    <n v="196670"/>
    <n v="242066.47"/>
    <n v="242310"/>
    <n v="242310"/>
    <n v="242310"/>
    <n v="242310"/>
    <n v="242310"/>
    <n v="0"/>
    <n v="0"/>
    <n v="0"/>
    <n v="0.56947290909090897"/>
    <n v="0.91725690909090918"/>
    <n v="0.230825596176336"/>
    <n v="0"/>
    <n v="0.22159286597781944"/>
    <n v="2.5758181818181818"/>
    <n v="1.2955757909050554"/>
    <n v="0.23206386332435044"/>
    <n v="3.4056363636363636"/>
    <n v="0"/>
    <n v="0"/>
    <n v="0"/>
    <n v="0"/>
    <n v="3.4056363636363636"/>
    <n v="3.4056363636363636"/>
    <n v="3.4056363636363636"/>
    <n v="3.4056363636363636"/>
    <x v="7"/>
    <n v="0.93596068171417734"/>
    <n v="-0.93596068171417734"/>
    <s v=""/>
    <x v="0"/>
    <n v="-3.8999999999999993E-2"/>
    <s v=""/>
    <x v="0"/>
  </r>
  <r>
    <x v="13"/>
    <s v="20"/>
    <s v="10 - Information Technology"/>
    <s v="10"/>
    <s v="PS prof - Purchased services - professional &amp; technical"/>
    <s v="4341-000"/>
    <s v="Telephone Services"/>
    <n v="28900"/>
    <n v="46537.3"/>
    <n v="28900"/>
    <n v="65847.679999999993"/>
    <n v="0"/>
    <n v="0"/>
    <n v="0"/>
    <n v="0"/>
    <n v="0"/>
    <n v="0"/>
    <n v="0"/>
    <n v="0"/>
    <n v="0"/>
    <s v=""/>
    <n v="0.610287197231834"/>
    <n v="1.2784664359861588"/>
    <s v=""/>
    <n v="0"/>
    <n v="0.41494414158105408"/>
    <n v="-1"/>
    <n v="-1"/>
    <s v=""/>
    <n v="-1"/>
    <s v=""/>
    <s v=""/>
    <s v=""/>
    <s v=""/>
    <n v="-1"/>
    <n v="-1"/>
    <n v="-1"/>
    <n v="-1"/>
    <x v="34"/>
    <n v="-0.5"/>
    <n v="0.5"/>
    <n v="0"/>
    <x v="9"/>
    <n v="-3.8999999999999993E-2"/>
    <s v=""/>
    <x v="0"/>
  </r>
  <r>
    <x v="13"/>
    <s v="20"/>
    <s v="10 - Information Technology"/>
    <s v="10"/>
    <s v="PS prof - Purchased services - professional &amp; technical"/>
    <s v="4440-000"/>
    <s v="Rental and leases Services"/>
    <n v="39082"/>
    <n v="7729.49"/>
    <n v="44182"/>
    <n v="0"/>
    <n v="0"/>
    <n v="0"/>
    <n v="0"/>
    <n v="0"/>
    <n v="0"/>
    <n v="0"/>
    <n v="0"/>
    <n v="0"/>
    <n v="0"/>
    <s v=""/>
    <n v="-0.80222378588608567"/>
    <n v="-1"/>
    <s v=""/>
    <n v="0.13049485696740187"/>
    <n v="-1"/>
    <n v="-1"/>
    <s v=""/>
    <s v=""/>
    <n v="-1"/>
    <s v=""/>
    <s v=""/>
    <s v=""/>
    <s v=""/>
    <n v="-1"/>
    <n v="-1"/>
    <n v="-1"/>
    <n v="-1"/>
    <x v="25"/>
    <n v="-0.43475257151629909"/>
    <n v="0.43475257151629909"/>
    <n v="0"/>
    <x v="9"/>
    <n v="-3.8999999999999993E-2"/>
    <s v=""/>
    <x v="0"/>
  </r>
  <r>
    <x v="13"/>
    <s v="20"/>
    <s v="10 - Information Technology"/>
    <s v="10"/>
    <s v="PS property - Purchased services - property services"/>
    <s v="4430-000"/>
    <s v="Repairs &amp; maint Service"/>
    <n v="1000"/>
    <n v="701.54"/>
    <n v="1000"/>
    <n v="1589.58"/>
    <n v="1000"/>
    <n v="2158.71"/>
    <n v="1000"/>
    <n v="1000"/>
    <n v="1000"/>
    <n v="1000"/>
    <n v="1000"/>
    <n v="0"/>
    <n v="0"/>
    <n v="0"/>
    <n v="-0.29846000000000006"/>
    <n v="0.58957999999999988"/>
    <n v="1.1587100000000001"/>
    <n v="0"/>
    <n v="1.2658437152550104"/>
    <n v="0"/>
    <n v="0.35803797229456846"/>
    <n v="0"/>
    <n v="0"/>
    <n v="0"/>
    <n v="0"/>
    <n v="0"/>
    <n v="0"/>
    <n v="0"/>
    <n v="0"/>
    <n v="0"/>
    <n v="0"/>
    <x v="35"/>
    <n v="0"/>
    <n v="0"/>
    <s v=""/>
    <x v="0"/>
    <n v="-3.8999999999999993E-2"/>
    <s v=""/>
    <x v="0"/>
  </r>
  <r>
    <x v="13"/>
    <s v="20"/>
    <s v="10 - Information Technology"/>
    <s v="10"/>
    <s v="Supplies - Supplies"/>
    <s v="4610-000"/>
    <s v="General expenses Supplies"/>
    <n v="800"/>
    <n v="16178.62"/>
    <n v="800"/>
    <n v="9368.93"/>
    <n v="7000"/>
    <n v="11119.97"/>
    <n v="10000"/>
    <n v="10000"/>
    <n v="10000"/>
    <n v="10000"/>
    <n v="10000"/>
    <n v="0"/>
    <n v="0"/>
    <n v="0"/>
    <n v="19.223275000000001"/>
    <n v="10.7111625"/>
    <n v="0.58856714285714273"/>
    <n v="0"/>
    <n v="-0.42090672752064145"/>
    <n v="7.75"/>
    <n v="0.18689861062042293"/>
    <n v="0.42857142857142855"/>
    <n v="11.5"/>
    <n v="0"/>
    <n v="0"/>
    <n v="0"/>
    <n v="0"/>
    <n v="11.5"/>
    <n v="11.5"/>
    <n v="11.5"/>
    <n v="11.5"/>
    <x v="8"/>
    <n v="2.7261904761904763"/>
    <n v="-2.7261904761904763"/>
    <s v=""/>
    <x v="0"/>
    <n v="-3.8999999999999993E-2"/>
    <s v=""/>
    <x v="0"/>
  </r>
  <r>
    <x v="13"/>
    <s v="20"/>
    <s v="10 - Information Technology"/>
    <s v="10"/>
    <s v="Supplies - Supplies"/>
    <s v="4620-000"/>
    <s v="Office supplies Supplies"/>
    <n v="100"/>
    <n v="4000.7"/>
    <n v="100"/>
    <n v="4465.76"/>
    <n v="100"/>
    <n v="0"/>
    <n v="500"/>
    <n v="500"/>
    <n v="500"/>
    <n v="500"/>
    <n v="500"/>
    <n v="0"/>
    <n v="0"/>
    <n v="0"/>
    <n v="39.006999999999998"/>
    <n v="43.657600000000002"/>
    <n v="-1"/>
    <n v="0"/>
    <n v="0.11624465718499273"/>
    <n v="0"/>
    <n v="-1"/>
    <n v="4"/>
    <n v="4"/>
    <n v="0"/>
    <n v="0"/>
    <n v="0"/>
    <n v="0"/>
    <n v="4"/>
    <n v="4"/>
    <n v="4"/>
    <n v="4"/>
    <x v="16"/>
    <n v="1.3333333333333333"/>
    <n v="-1.3333333333333333"/>
    <s v=""/>
    <x v="0"/>
    <n v="-3.8999999999999993E-2"/>
    <s v=""/>
    <x v="0"/>
  </r>
  <r>
    <x v="13"/>
    <s v="20"/>
    <s v="10 - Information Technology"/>
    <s v="10"/>
    <s v="Property - Property"/>
    <s v="4740-000"/>
    <s v="Mach &amp; equip Property"/>
    <n v="100"/>
    <n v="21578.78"/>
    <n v="100"/>
    <n v="23925.4"/>
    <n v="100"/>
    <n v="60630.17"/>
    <n v="16000"/>
    <n v="16000"/>
    <n v="16000"/>
    <n v="16000"/>
    <n v="16000"/>
    <n v="0"/>
    <n v="0"/>
    <n v="0"/>
    <n v="214.78779999999998"/>
    <n v="238.25400000000002"/>
    <n v="605.30169999999998"/>
    <n v="0"/>
    <n v="0.10874664832766276"/>
    <n v="0"/>
    <n v="1.5341340165681658"/>
    <n v="159"/>
    <n v="159"/>
    <n v="0"/>
    <n v="0"/>
    <n v="0"/>
    <n v="0"/>
    <n v="159"/>
    <n v="159"/>
    <n v="159"/>
    <n v="159"/>
    <x v="26"/>
    <n v="53"/>
    <n v="-53"/>
    <s v=""/>
    <x v="0"/>
    <n v="-3.8999999999999993E-2"/>
    <s v=""/>
    <x v="0"/>
  </r>
  <r>
    <x v="13"/>
    <s v="20"/>
    <s v="11 - Uniformed Officer Division"/>
    <s v="11"/>
    <s v="PS Salaries - Personnel services - salaries"/>
    <s v="4110-000"/>
    <s v="Regular Salaries"/>
    <n v="3154295"/>
    <n v="2800739.07"/>
    <n v="3331495"/>
    <n v="2969734.06"/>
    <n v="3592074"/>
    <n v="3322320.61"/>
    <n v="3724628"/>
    <n v="3813304"/>
    <n v="3813304"/>
    <n v="3813304"/>
    <n v="3813304"/>
    <n v="88676"/>
    <n v="0"/>
    <n v="2.3808015189704851E-2"/>
    <n v="-0.11208714784127678"/>
    <n v="-0.10858816837485871"/>
    <n v="-7.5096835421542024E-2"/>
    <n v="5.6177370854660076E-2"/>
    <n v="6.033942676423628E-2"/>
    <n v="7.8216836585376842E-2"/>
    <n v="0.11872664113230388"/>
    <n v="3.6901801020803024E-2"/>
    <n v="0.18081156011089641"/>
    <n v="2.3808015189704851E-2"/>
    <n v="2.3808015189704851E-2"/>
    <n v="2.3808015189704851E-2"/>
    <n v="2.3808015189704851E-2"/>
    <n v="0.20892433967019572"/>
    <n v="0.20892433967019572"/>
    <n v="0.20892433967019572"/>
    <n v="0.20892433967019572"/>
    <x v="10"/>
    <n v="5.709866948694664E-2"/>
    <n v="-3.329065429724179E-2"/>
    <s v=""/>
    <x v="0"/>
    <n v="-1.5191984810295142E-2"/>
    <s v=""/>
    <x v="0"/>
  </r>
  <r>
    <x v="13"/>
    <s v="20"/>
    <s v="11 - Uniformed Officer Division"/>
    <s v="11"/>
    <s v="PS Salaries - Personnel services - salaries"/>
    <s v="4120-000"/>
    <s v="Part-time Salaries"/>
    <n v="33270"/>
    <n v="40179.440000000002"/>
    <n v="35545"/>
    <n v="41648.03"/>
    <n v="38816"/>
    <n v="29564.87"/>
    <n v="38445"/>
    <n v="37253"/>
    <n v="37253"/>
    <n v="37253"/>
    <n v="37253"/>
    <n v="-1192"/>
    <n v="0"/>
    <n v="-3.1005332292885941E-2"/>
    <n v="0.20767778779681401"/>
    <n v="0.17169869179912783"/>
    <n v="-0.23833290395713111"/>
    <n v="6.837992185151788E-2"/>
    <n v="3.6550783186624712E-2"/>
    <n v="9.2024194682796462E-2"/>
    <n v="-0.2901256073816697"/>
    <n v="-9.5579142621599333E-3"/>
    <n v="0.15554553651938682"/>
    <n v="-3.1005332292885941E-2"/>
    <n v="-3.1005332292885941E-2"/>
    <n v="-3.1005332292885941E-2"/>
    <n v="-3.1005332292885941E-2"/>
    <n v="0.11971746318004207"/>
    <n v="0.11971746318004207"/>
    <n v="0.11971746318004207"/>
    <n v="0.11971746318004207"/>
    <x v="11"/>
    <n v="5.0282067424051474E-2"/>
    <n v="-8.1287399716937409E-2"/>
    <s v=""/>
    <x v="0"/>
    <n v="-7.0005332292885941E-2"/>
    <s v=""/>
    <x v="0"/>
  </r>
  <r>
    <x v="13"/>
    <s v="20"/>
    <s v="11 - Uniformed Officer Division"/>
    <s v="11"/>
    <s v="PS Salaries - Personnel services - salaries"/>
    <s v="4140-000"/>
    <s v="Overtime Salaries"/>
    <n v="546826"/>
    <n v="728805.75"/>
    <n v="574364"/>
    <n v="668809.91"/>
    <n v="613582"/>
    <n v="669684.86"/>
    <n v="844784"/>
    <n v="844784"/>
    <n v="844784"/>
    <n v="844784"/>
    <n v="844784"/>
    <n v="0"/>
    <n v="0"/>
    <n v="0"/>
    <n v="0.33279278966252518"/>
    <n v="0.16443563663460808"/>
    <n v="9.1434983425198235E-2"/>
    <n v="5.0359712230215826E-2"/>
    <n v="-8.2320755564840101E-2"/>
    <n v="6.8280741829223279E-2"/>
    <n v="1.3082192517152645E-3"/>
    <n v="0.37680701193972443"/>
    <n v="0.54488630752744016"/>
    <n v="0"/>
    <n v="0"/>
    <n v="0"/>
    <n v="0"/>
    <n v="0.54488630752744016"/>
    <n v="0.54488630752744016"/>
    <n v="0.54488630752744016"/>
    <n v="0.54488630752744016"/>
    <x v="12"/>
    <n v="0.16514915533305452"/>
    <n v="-0.16514915533305452"/>
    <s v=""/>
    <x v="0"/>
    <n v="-3.8999999999999993E-2"/>
    <s v=""/>
    <x v="0"/>
  </r>
  <r>
    <x v="13"/>
    <s v="20"/>
    <s v="11 - Uniformed Officer Division"/>
    <s v="11"/>
    <s v="PS Salaries - Personnel services - salaries"/>
    <s v="4151-000"/>
    <s v="Contractually Mandated Training Overtime"/>
    <n v="0"/>
    <n v="0"/>
    <n v="0"/>
    <n v="0"/>
    <n v="41307"/>
    <n v="55261.919999999998"/>
    <n v="15681"/>
    <n v="16042"/>
    <n v="16042"/>
    <n v="16042"/>
    <n v="16042"/>
    <n v="361"/>
    <n v="0"/>
    <n v="2.3021490976340795E-2"/>
    <s v=""/>
    <s v=""/>
    <n v="0.33783426537874933"/>
    <s v=""/>
    <s v=""/>
    <s v=""/>
    <s v=""/>
    <n v="-0.62037911249909217"/>
    <s v=""/>
    <n v="2.3021490976340795E-2"/>
    <n v="2.3021490976340795E-2"/>
    <n v="2.3021490976340795E-2"/>
    <n v="2.3021490976340795E-2"/>
    <s v=""/>
    <s v=""/>
    <s v=""/>
    <s v=""/>
    <x v="55"/>
    <n v="-0.62037911249909217"/>
    <n v="0.64340060347543293"/>
    <s v=""/>
    <x v="0"/>
    <n v="-1.5978509023659198E-2"/>
    <s v=""/>
    <x v="0"/>
  </r>
  <r>
    <x v="13"/>
    <s v="20"/>
    <s v="11 - Uniformed Officer Division"/>
    <s v="11"/>
    <s v="PS Salaries - Personnel services - salaries"/>
    <s v="4151-001"/>
    <s v="Legally Mandated Training - Salaries"/>
    <n v="0"/>
    <n v="0"/>
    <n v="0"/>
    <n v="0"/>
    <n v="0"/>
    <n v="0"/>
    <n v="117603"/>
    <n v="120312"/>
    <n v="120312"/>
    <n v="120312"/>
    <n v="120312"/>
    <n v="2709"/>
    <n v="0"/>
    <n v="2.3035126654932271E-2"/>
    <s v=""/>
    <s v=""/>
    <s v=""/>
    <s v=""/>
    <s v=""/>
    <s v=""/>
    <s v=""/>
    <s v=""/>
    <s v=""/>
    <n v="2.3035126654932271E-2"/>
    <n v="2.3035126654932271E-2"/>
    <n v="2.3035126654932271E-2"/>
    <n v="2.3035126654932271E-2"/>
    <s v=""/>
    <s v=""/>
    <s v=""/>
    <s v=""/>
    <x v="56"/>
    <n v="0"/>
    <n v="2.3035126654932271E-2"/>
    <s v=""/>
    <x v="0"/>
    <n v="-1.5964873345067722E-2"/>
    <s v=""/>
    <x v="0"/>
  </r>
  <r>
    <x v="13"/>
    <s v="20"/>
    <s v="11 - Uniformed Officer Division"/>
    <s v="11"/>
    <s v="PS Salaries - Personnel services - salaries"/>
    <s v="4193-000"/>
    <s v="Holiday Salaries"/>
    <n v="119320"/>
    <n v="88036.49"/>
    <n v="142885"/>
    <n v="115229.05"/>
    <n v="163480"/>
    <n v="136703.93"/>
    <n v="168532"/>
    <n v="185117"/>
    <n v="185117"/>
    <n v="185117"/>
    <n v="185117"/>
    <n v="16585"/>
    <n v="0"/>
    <n v="9.8408610827617302E-2"/>
    <n v="-0.26218161247066707"/>
    <n v="-0.19355390698813729"/>
    <n v="-0.16378804746758016"/>
    <n v="0.19749413342272878"/>
    <n v="0.30887828444773291"/>
    <n v="0.14413689330580537"/>
    <n v="0.18636689272366638"/>
    <n v="3.0902862735502815E-2"/>
    <n v="0.41243714381495139"/>
    <n v="9.8408610827617302E-2"/>
    <n v="9.8408610827617302E-2"/>
    <n v="9.8408610827617302E-2"/>
    <n v="9.8408610827617302E-2"/>
    <n v="0.55143312101910824"/>
    <n v="0.55143312101910824"/>
    <n v="0.55143312101910824"/>
    <n v="0.55143312101910824"/>
    <x v="60"/>
    <n v="0.12417796315467899"/>
    <n v="-2.5769352327061693E-2"/>
    <s v=""/>
    <x v="0"/>
    <n v="5.9408610827617309E-2"/>
    <s v=""/>
    <x v="0"/>
  </r>
  <r>
    <x v="13"/>
    <s v="20"/>
    <s v="11 - Uniformed Officer Division"/>
    <s v="11"/>
    <s v="PS Benefits - Personnel services - benefits"/>
    <s v="4215-000"/>
    <s v="Life Ins Benefits"/>
    <n v="0"/>
    <n v="0"/>
    <n v="0"/>
    <n v="-30"/>
    <n v="0"/>
    <n v="0"/>
    <n v="0"/>
    <n v="0"/>
    <n v="0"/>
    <n v="0"/>
    <n v="0"/>
    <n v="0"/>
    <n v="0"/>
    <s v=""/>
    <s v=""/>
    <s v=""/>
    <s v=""/>
    <s v=""/>
    <s v=""/>
    <s v=""/>
    <n v="-1"/>
    <s v=""/>
    <s v=""/>
    <s v=""/>
    <s v=""/>
    <s v=""/>
    <s v=""/>
    <s v=""/>
    <s v=""/>
    <s v=""/>
    <s v=""/>
    <x v="61"/>
    <n v="0"/>
    <n v="0"/>
    <s v=""/>
    <x v="0"/>
    <n v="-3.8999999999999993E-2"/>
    <s v=""/>
    <x v="0"/>
  </r>
  <r>
    <x v="13"/>
    <s v="20"/>
    <s v="11 - Uniformed Officer Division"/>
    <s v="11"/>
    <s v="PS Benefits - Personnel services - benefits"/>
    <s v="4220-000"/>
    <s v="FICA Benefits"/>
    <n v="2062"/>
    <n v="2759.69"/>
    <n v="2326"/>
    <n v="0"/>
    <n v="2407"/>
    <n v="0"/>
    <n v="2384"/>
    <n v="2443"/>
    <n v="2443"/>
    <n v="2443"/>
    <n v="2443"/>
    <n v="59"/>
    <n v="0"/>
    <n v="2.4748322147651006E-2"/>
    <n v="0.33835596508244425"/>
    <n v="-1"/>
    <n v="-1"/>
    <n v="0.12803103782735209"/>
    <n v="-1"/>
    <n v="3.4823731728288905E-2"/>
    <s v=""/>
    <n v="-9.5554632322393026E-3"/>
    <n v="0.15615906886517944"/>
    <n v="2.4748322147651006E-2"/>
    <n v="2.4748322147651006E-2"/>
    <n v="2.4748322147651006E-2"/>
    <n v="2.4748322147651006E-2"/>
    <n v="0.18477206595538312"/>
    <n v="0.18477206595538312"/>
    <n v="0.18477206595538312"/>
    <n v="0.18477206595538312"/>
    <x v="1"/>
    <n v="5.109976877446723E-2"/>
    <n v="-2.6351446626816225E-2"/>
    <s v=""/>
    <x v="0"/>
    <n v="-1.4251677852348987E-2"/>
    <s v=""/>
    <x v="0"/>
  </r>
  <r>
    <x v="13"/>
    <s v="20"/>
    <s v="11 - Uniformed Officer Division"/>
    <s v="11"/>
    <s v="PS Benefits - Personnel services - benefits"/>
    <s v="4225-000"/>
    <s v="Medicare Benefits"/>
    <n v="55834"/>
    <n v="52463.8"/>
    <n v="58660"/>
    <n v="53143.13"/>
    <n v="64362"/>
    <n v="59105.37"/>
    <n v="71242"/>
    <n v="72744"/>
    <n v="72744"/>
    <n v="72744"/>
    <n v="72744"/>
    <n v="1502"/>
    <n v="0"/>
    <n v="2.1083068976165745E-2"/>
    <n v="-6.0361070315578268E-2"/>
    <n v="-9.4048244118649885E-2"/>
    <n v="-8.1672881513936757E-2"/>
    <n v="5.0614321023032559E-2"/>
    <n v="1.2948547379335741E-2"/>
    <n v="9.7204227753153766E-2"/>
    <n v="0.11219211213189749"/>
    <n v="0.10689537304620739"/>
    <n v="0.2759608840491457"/>
    <n v="2.1083068976165745E-2"/>
    <n v="2.1083068976165745E-2"/>
    <n v="2.1083068976165745E-2"/>
    <n v="2.1083068976165745E-2"/>
    <n v="0.30286205537844324"/>
    <n v="0.30286205537844324"/>
    <n v="0.30286205537844324"/>
    <n v="0.30286205537844324"/>
    <x v="2"/>
    <n v="8.4904640607464568E-2"/>
    <n v="-6.3821571631298826E-2"/>
    <s v=""/>
    <x v="0"/>
    <n v="-1.7916931023834248E-2"/>
    <s v=""/>
    <x v="0"/>
  </r>
  <r>
    <x v="13"/>
    <s v="20"/>
    <s v="11 - Uniformed Officer Division"/>
    <s v="11"/>
    <s v="PS Benefits - Personnel services - benefits"/>
    <s v="4230-000"/>
    <s v="Retirement Benefits"/>
    <n v="1293311"/>
    <n v="1243442.77"/>
    <n v="1257559"/>
    <n v="1152789.8999999999"/>
    <n v="1376287"/>
    <n v="1294588.78"/>
    <n v="1508270"/>
    <n v="1540509"/>
    <n v="1540509"/>
    <n v="1540509"/>
    <n v="1540509"/>
    <n v="32239"/>
    <n v="0"/>
    <n v="2.1374820158194488E-2"/>
    <n v="-3.8558575624888354E-2"/>
    <n v="-8.3311478825248031E-2"/>
    <n v="-5.9361325072459434E-2"/>
    <n v="-2.7643776322941658E-2"/>
    <n v="-7.2904738510804243E-2"/>
    <n v="9.4411474928810496E-2"/>
    <n v="0.12300496387069329"/>
    <n v="9.5897875951745523E-2"/>
    <n v="0.16620828246260955"/>
    <n v="2.1374820158194488E-2"/>
    <n v="2.1374820158194488E-2"/>
    <n v="2.1374820158194488E-2"/>
    <n v="2.1374820158194488E-2"/>
    <n v="0.19113577476724469"/>
    <n v="0.19113577476724469"/>
    <n v="0.19113577476724469"/>
    <n v="0.19113577476724469"/>
    <x v="14"/>
    <n v="5.4221858185871462E-2"/>
    <n v="-3.2847038027676974E-2"/>
    <s v=""/>
    <x v="0"/>
    <n v="-1.7625179841805505E-2"/>
    <s v=""/>
    <x v="0"/>
  </r>
  <r>
    <x v="13"/>
    <s v="20"/>
    <s v="11 - Uniformed Officer Division"/>
    <s v="11"/>
    <s v="PS Benefits - Personnel services - benefits"/>
    <s v="4260-000"/>
    <s v="Workers' comp Benefits"/>
    <n v="43628"/>
    <n v="42175.24"/>
    <n v="46204"/>
    <n v="49092.62"/>
    <n v="55172"/>
    <n v="55171.74"/>
    <n v="65187"/>
    <n v="64216"/>
    <n v="64216"/>
    <n v="64216"/>
    <n v="64216"/>
    <n v="-971"/>
    <n v="0"/>
    <n v="-1.4895608020003989E-2"/>
    <n v="-3.329879893646287E-2"/>
    <n v="6.2518829538568146E-2"/>
    <n v="-4.7125353440520058E-6"/>
    <n v="5.9044650224626384E-2"/>
    <n v="0.16401518995505432"/>
    <n v="0.19409574928577614"/>
    <n v="0.12382961023469505"/>
    <n v="0.18152323642427318"/>
    <n v="0.49415512973319886"/>
    <n v="-1.4895608020003989E-2"/>
    <n v="-1.4895608020003989E-2"/>
    <n v="-1.4895608020003989E-2"/>
    <n v="-1.4895608020003989E-2"/>
    <n v="0.47189878059961493"/>
    <n v="0.47189878059961493"/>
    <n v="0.47189878059961493"/>
    <n v="0.47189878059961493"/>
    <x v="3"/>
    <n v="0.14488787864489192"/>
    <n v="-0.15978348666489589"/>
    <s v=""/>
    <x v="0"/>
    <n v="-5.3895608020003982E-2"/>
    <s v=""/>
    <x v="0"/>
  </r>
  <r>
    <x v="13"/>
    <s v="20"/>
    <s v="11 - Uniformed Officer Division"/>
    <s v="11"/>
    <s v="PS prof - Purchased services - professional &amp; technical"/>
    <s v="4290-000"/>
    <s v="Uniforms &amp; cleaning Benefits"/>
    <n v="90000"/>
    <n v="126170.96"/>
    <n v="90000"/>
    <n v="106960.8"/>
    <n v="90000"/>
    <n v="98249.94"/>
    <n v="90000"/>
    <n v="90000"/>
    <n v="90000"/>
    <n v="90000"/>
    <n v="90000"/>
    <n v="0"/>
    <n v="0"/>
    <n v="0"/>
    <n v="0.40189955555555562"/>
    <n v="0.18845333333333336"/>
    <n v="9.1666000000000025E-2"/>
    <n v="0"/>
    <n v="-0.15225500384557589"/>
    <n v="0"/>
    <n v="-8.1439742410303592E-2"/>
    <n v="0"/>
    <n v="0"/>
    <n v="0"/>
    <n v="0"/>
    <n v="0"/>
    <n v="0"/>
    <n v="0"/>
    <n v="0"/>
    <n v="0"/>
    <n v="0"/>
    <x v="57"/>
    <n v="0"/>
    <n v="0"/>
    <s v=""/>
    <x v="0"/>
    <n v="-3.8999999999999993E-2"/>
    <s v=""/>
    <x v="0"/>
  </r>
  <r>
    <x v="13"/>
    <s v="20"/>
    <s v="11 - Uniformed Officer Division"/>
    <s v="11"/>
    <s v="PS prof - Purchased services - professional &amp; technical"/>
    <s v="4331-000"/>
    <s v="Special investigations Services"/>
    <n v="6500"/>
    <n v="11079.6"/>
    <n v="6500"/>
    <n v="22078.51"/>
    <n v="6500"/>
    <n v="11114.26"/>
    <n v="6500"/>
    <n v="6500"/>
    <n v="6500"/>
    <n v="6500"/>
    <n v="6500"/>
    <n v="0"/>
    <n v="0"/>
    <n v="0"/>
    <n v="0.7045538461538462"/>
    <n v="2.3966938461538461"/>
    <n v="0.70988615384615383"/>
    <n v="0"/>
    <n v="0.9927172461099677"/>
    <n v="0"/>
    <n v="-0.49660280517118227"/>
    <n v="0"/>
    <n v="0"/>
    <n v="0"/>
    <n v="0"/>
    <n v="0"/>
    <n v="0"/>
    <n v="0"/>
    <n v="0"/>
    <n v="0"/>
    <n v="0"/>
    <x v="62"/>
    <n v="0"/>
    <n v="0"/>
    <s v=""/>
    <x v="0"/>
    <n v="-3.8999999999999993E-2"/>
    <s v=""/>
    <x v="0"/>
  </r>
  <r>
    <x v="13"/>
    <s v="20"/>
    <s v="11 - Uniformed Officer Division"/>
    <s v="11"/>
    <s v="PS prof - Purchased services - professional &amp; technical"/>
    <s v="4440-000"/>
    <s v="Rental and leases Services"/>
    <n v="5100"/>
    <n v="0"/>
    <n v="0"/>
    <n v="0"/>
    <n v="0"/>
    <n v="0"/>
    <n v="0"/>
    <n v="0"/>
    <n v="0"/>
    <n v="0"/>
    <n v="0"/>
    <n v="0"/>
    <n v="0"/>
    <s v=""/>
    <n v="-1"/>
    <s v=""/>
    <s v=""/>
    <n v="-1"/>
    <s v=""/>
    <s v=""/>
    <s v=""/>
    <s v=""/>
    <n v="-1"/>
    <s v=""/>
    <s v=""/>
    <s v=""/>
    <s v=""/>
    <n v="-1"/>
    <n v="-1"/>
    <n v="-1"/>
    <n v="-1"/>
    <x v="25"/>
    <n v="-1"/>
    <n v="1"/>
    <n v="0"/>
    <x v="9"/>
    <n v="-3.8999999999999993E-2"/>
    <s v=""/>
    <x v="0"/>
  </r>
  <r>
    <x v="13"/>
    <s v="20"/>
    <s v="11 - Uniformed Officer Division"/>
    <s v="11"/>
    <s v="Supplies - Supplies"/>
    <s v="4611-000"/>
    <s v="K-9 supplies Supplies"/>
    <n v="2935"/>
    <n v="6859.84"/>
    <n v="2935"/>
    <n v="4995.8999999999996"/>
    <n v="2935"/>
    <n v="13122.99"/>
    <n v="10000"/>
    <n v="10000"/>
    <n v="10000"/>
    <n v="10000"/>
    <n v="10000"/>
    <n v="0"/>
    <n v="0"/>
    <n v="0"/>
    <n v="1.3372538330494037"/>
    <n v="0.70218057921635424"/>
    <n v="3.471206132879046"/>
    <n v="0"/>
    <n v="-0.27171770770163745"/>
    <n v="0"/>
    <n v="1.6267519365880023"/>
    <n v="2.4071550255536627"/>
    <n v="2.4071550255536627"/>
    <n v="0"/>
    <n v="0"/>
    <n v="0"/>
    <n v="0"/>
    <n v="2.4071550255536627"/>
    <n v="2.4071550255536627"/>
    <n v="2.4071550255536627"/>
    <n v="2.4071550255536627"/>
    <x v="63"/>
    <n v="0.80238500851788752"/>
    <n v="-0.80238500851788752"/>
    <s v=""/>
    <x v="0"/>
    <n v="-3.8999999999999993E-2"/>
    <s v=""/>
    <x v="0"/>
  </r>
  <r>
    <x v="13"/>
    <s v="20"/>
    <s v="11 - Uniformed Officer Division"/>
    <s v="11"/>
    <s v="Supplies - Supplies"/>
    <s v="4660-000"/>
    <s v="Vehicle repairs Supplies"/>
    <n v="0"/>
    <n v="0"/>
    <n v="0"/>
    <n v="0"/>
    <n v="0"/>
    <n v="4825"/>
    <n v="0"/>
    <n v="0"/>
    <n v="0"/>
    <n v="0"/>
    <n v="0"/>
    <n v="0"/>
    <n v="0"/>
    <s v=""/>
    <s v=""/>
    <s v=""/>
    <s v=""/>
    <s v=""/>
    <s v=""/>
    <s v=""/>
    <s v=""/>
    <s v=""/>
    <s v=""/>
    <s v=""/>
    <s v=""/>
    <s v=""/>
    <s v=""/>
    <s v=""/>
    <s v=""/>
    <s v=""/>
    <s v=""/>
    <x v="43"/>
    <n v="0"/>
    <n v="0"/>
    <s v=""/>
    <x v="0"/>
    <n v="-3.8999999999999993E-2"/>
    <s v=""/>
    <x v="0"/>
  </r>
  <r>
    <x v="13"/>
    <s v="20"/>
    <s v="11 - Uniformed Officer Division"/>
    <s v="11"/>
    <s v="Property - Property"/>
    <s v="4740-000"/>
    <s v="Mach &amp; equip Property"/>
    <n v="32177"/>
    <n v="0"/>
    <n v="32177"/>
    <n v="0"/>
    <n v="32177"/>
    <n v="235640.25"/>
    <n v="0"/>
    <n v="0"/>
    <n v="0"/>
    <n v="0"/>
    <n v="0"/>
    <n v="0"/>
    <n v="0"/>
    <s v=""/>
    <n v="-1"/>
    <n v="-1"/>
    <n v="6.3232510799639492"/>
    <n v="0"/>
    <s v=""/>
    <n v="0"/>
    <s v=""/>
    <n v="-1"/>
    <n v="-1"/>
    <s v=""/>
    <s v=""/>
    <s v=""/>
    <s v=""/>
    <n v="-1"/>
    <n v="-1"/>
    <n v="-1"/>
    <n v="-1"/>
    <x v="26"/>
    <n v="-0.33333333333333331"/>
    <n v="0.33333333333333331"/>
    <n v="0"/>
    <x v="9"/>
    <n v="-3.8999999999999993E-2"/>
    <s v=""/>
    <x v="0"/>
  </r>
  <r>
    <x v="13"/>
    <s v="20"/>
    <s v="11 - Uniformed Officer Division"/>
    <s v="11"/>
    <s v="Property - Property"/>
    <s v="4760-000"/>
    <s v="Imp Other than Building Other Property"/>
    <n v="0"/>
    <n v="0"/>
    <n v="0"/>
    <n v="21435.75"/>
    <n v="0"/>
    <m/>
    <n v="0"/>
    <n v="0"/>
    <n v="0"/>
    <n v="0"/>
    <n v="0"/>
    <n v="0"/>
    <n v="0"/>
    <s v=""/>
    <s v=""/>
    <s v=""/>
    <s v=""/>
    <s v=""/>
    <s v=""/>
    <s v=""/>
    <n v="-1"/>
    <s v=""/>
    <s v=""/>
    <s v=""/>
    <s v=""/>
    <s v=""/>
    <s v=""/>
    <s v=""/>
    <s v=""/>
    <s v=""/>
    <s v=""/>
    <x v="64"/>
    <n v="0"/>
    <n v="0"/>
    <s v=""/>
    <x v="0"/>
    <n v="-3.8999999999999993E-2"/>
    <s v=""/>
    <x v="0"/>
  </r>
  <r>
    <x v="13"/>
    <s v="20"/>
    <s v="12 - Support"/>
    <s v="12"/>
    <s v="PS Salaries - Personnel services - salaries"/>
    <s v="4110-000"/>
    <s v="Regular Salaries"/>
    <n v="605177"/>
    <n v="576188.18999999994"/>
    <n v="601574"/>
    <n v="581559.09"/>
    <n v="632468"/>
    <n v="573343.4"/>
    <n v="597152"/>
    <n v="608749"/>
    <n v="608749"/>
    <n v="608749"/>
    <n v="608749"/>
    <n v="11597"/>
    <n v="0"/>
    <n v="1.942051604951503E-2"/>
    <n v="-4.7901374308673424E-2"/>
    <n v="-3.3270902665341308E-2"/>
    <n v="-9.3482358000720953E-2"/>
    <n v="-5.9536300949970013E-3"/>
    <n v="9.3214336795067309E-3"/>
    <n v="5.1355277987413017E-2"/>
    <n v="-1.4127008142886985E-2"/>
    <n v="-5.5838398148206708E-2"/>
    <n v="-1.3260583267374669E-2"/>
    <n v="1.942051604951503E-2"/>
    <n v="1.942051604951503E-2"/>
    <n v="1.942051604951503E-2"/>
    <n v="1.942051604951503E-2"/>
    <n v="5.9024054119703826E-3"/>
    <n v="5.9024054119703826E-3"/>
    <n v="5.9024054119703826E-3"/>
    <n v="5.9024054119703826E-3"/>
    <x v="10"/>
    <n v="-3.4789167519302298E-3"/>
    <n v="2.2899432801445258E-2"/>
    <s v=""/>
    <x v="0"/>
    <n v="-1.9579483950484963E-2"/>
    <s v=""/>
    <x v="0"/>
  </r>
  <r>
    <x v="13"/>
    <s v="20"/>
    <s v="12 - Support"/>
    <s v="12"/>
    <s v="PS Salaries - Personnel services - salaries"/>
    <s v="4120-000"/>
    <s v="Part-time Salaries"/>
    <n v="148125"/>
    <n v="96536.67"/>
    <n v="149663"/>
    <n v="110627.68"/>
    <n v="187989"/>
    <n v="103777.60000000001"/>
    <n v="195397"/>
    <n v="202482"/>
    <n v="202482"/>
    <n v="202482"/>
    <n v="202482"/>
    <n v="7085"/>
    <n v="0"/>
    <n v="3.6259512684432206E-2"/>
    <n v="-0.34827564556962026"/>
    <n v="-0.2608214455142554"/>
    <n v="-0.44795918910148996"/>
    <n v="1.0383122362869198E-2"/>
    <n v="0.14596536217791639"/>
    <n v="0.25608199755450578"/>
    <n v="-6.1920127042345889E-2"/>
    <n v="3.9406561022187467E-2"/>
    <n v="0.31913586497890295"/>
    <n v="3.6259512684432206E-2"/>
    <n v="3.6259512684432206E-2"/>
    <n v="3.6259512684432206E-2"/>
    <n v="3.6259512684432206E-2"/>
    <n v="0.36696708860759492"/>
    <n v="0.36696708860759492"/>
    <n v="0.36696708860759492"/>
    <n v="0.36696708860759492"/>
    <x v="11"/>
    <n v="0.10195722697985415"/>
    <n v="-6.5697714295421955E-2"/>
    <s v=""/>
    <x v="0"/>
    <n v="-2.740487315567787E-3"/>
    <s v=""/>
    <x v="0"/>
  </r>
  <r>
    <x v="13"/>
    <s v="20"/>
    <s v="12 - Support"/>
    <s v="12"/>
    <s v="PS Salaries - Personnel services - salaries"/>
    <s v="4140-000"/>
    <s v="Overtime Salaries"/>
    <n v="80497"/>
    <n v="162664.89000000001"/>
    <n v="94225"/>
    <n v="128939.11"/>
    <n v="112542"/>
    <n v="72740.75"/>
    <n v="112542"/>
    <n v="112542"/>
    <n v="112542"/>
    <n v="112542"/>
    <n v="112542"/>
    <n v="0"/>
    <n v="0"/>
    <n v="0"/>
    <n v="1.0207571710746985"/>
    <n v="0.36841719288936059"/>
    <n v="-0.3536568569956105"/>
    <n v="0.17054051703790205"/>
    <n v="-0.20733287927099703"/>
    <n v="0.19439639161581321"/>
    <n v="-0.4358519304189396"/>
    <n v="0"/>
    <n v="0.3980893697901785"/>
    <n v="0"/>
    <n v="0"/>
    <n v="0"/>
    <n v="0"/>
    <n v="0.3980893697901785"/>
    <n v="0.3980893697901785"/>
    <n v="0.3980893697901785"/>
    <n v="0.3980893697901785"/>
    <x v="12"/>
    <n v="0.12164563621790508"/>
    <n v="-0.12164563621790508"/>
    <s v=""/>
    <x v="0"/>
    <n v="-3.8999999999999993E-2"/>
    <s v=""/>
    <x v="0"/>
  </r>
  <r>
    <x v="13"/>
    <s v="20"/>
    <s v="12 - Support"/>
    <s v="12"/>
    <s v="PS Salaries - Personnel services - salaries"/>
    <s v="4151-000"/>
    <s v="Contractually Mandated Training Overtime"/>
    <n v="0"/>
    <n v="0"/>
    <n v="0"/>
    <n v="0"/>
    <n v="0"/>
    <n v="0"/>
    <n v="2484"/>
    <n v="2545"/>
    <n v="2545"/>
    <n v="2545"/>
    <n v="2545"/>
    <n v="61"/>
    <n v="0"/>
    <n v="2.4557165861513689E-2"/>
    <s v=""/>
    <s v=""/>
    <s v=""/>
    <s v=""/>
    <s v=""/>
    <s v=""/>
    <s v=""/>
    <s v=""/>
    <s v=""/>
    <n v="2.4557165861513689E-2"/>
    <n v="2.4557165861513689E-2"/>
    <n v="2.4557165861513689E-2"/>
    <n v="2.4557165861513689E-2"/>
    <s v=""/>
    <s v=""/>
    <s v=""/>
    <s v=""/>
    <x v="55"/>
    <n v="0"/>
    <n v="2.4557165861513689E-2"/>
    <s v=""/>
    <x v="0"/>
    <n v="-1.4442834138486304E-2"/>
    <s v=""/>
    <x v="0"/>
  </r>
  <r>
    <x v="13"/>
    <s v="20"/>
    <s v="12 - Support"/>
    <s v="12"/>
    <s v="PS Salaries - Personnel services - salaries"/>
    <s v="4193-000"/>
    <s v="Holiday Salaries"/>
    <n v="32026"/>
    <n v="14420.01"/>
    <n v="33373"/>
    <n v="18708.88"/>
    <n v="42012"/>
    <n v="22678.61"/>
    <n v="40840"/>
    <n v="41839"/>
    <n v="41839"/>
    <n v="41839"/>
    <n v="41839"/>
    <n v="999"/>
    <n v="0"/>
    <n v="2.4461312438785503E-2"/>
    <n v="-0.5497405233247985"/>
    <n v="-0.43940071315134988"/>
    <n v="-0.46018732743025803"/>
    <n v="4.2059576594017357E-2"/>
    <n v="0.29742489776359382"/>
    <n v="0.25886195427441344"/>
    <n v="0.21218426757774914"/>
    <n v="-2.7896791392935352E-2"/>
    <n v="0.27521388871541874"/>
    <n v="2.4461312438785503E-2"/>
    <n v="2.4461312438785503E-2"/>
    <n v="2.4461312438785503E-2"/>
    <n v="2.4461312438785503E-2"/>
    <n v="0.30640729407356521"/>
    <n v="0.30640729407356521"/>
    <n v="0.30640729407356521"/>
    <n v="0.30640729407356521"/>
    <x v="60"/>
    <n v="9.1008246491831826E-2"/>
    <n v="-6.6546934053046319E-2"/>
    <s v=""/>
    <x v="0"/>
    <n v="-1.453868756121449E-2"/>
    <s v=""/>
    <x v="0"/>
  </r>
  <r>
    <x v="13"/>
    <s v="20"/>
    <s v="12 - Support"/>
    <s v="12"/>
    <s v="PS Benefits - Personnel services - benefits"/>
    <s v="4220-000"/>
    <s v="FICA Benefits"/>
    <n v="53682"/>
    <n v="47559.91"/>
    <n v="54384"/>
    <n v="42958.1"/>
    <n v="60451"/>
    <n v="40742.68"/>
    <n v="58971"/>
    <n v="60191"/>
    <n v="60191"/>
    <n v="60191"/>
    <n v="60191"/>
    <n v="1220"/>
    <n v="0"/>
    <n v="2.0688134845941224E-2"/>
    <n v="-0.1140436272866137"/>
    <n v="-0.21009671962341869"/>
    <n v="-0.326021405766654"/>
    <n v="1.307700905331396E-2"/>
    <n v="-9.6758173007476356E-2"/>
    <n v="0.11155854663136217"/>
    <n v="-5.1571647721849856E-2"/>
    <n v="-2.4482638831450264E-2"/>
    <n v="9.8524645132446631E-2"/>
    <n v="2.0688134845941224E-2"/>
    <n v="2.0688134845941224E-2"/>
    <n v="2.0688134845941224E-2"/>
    <n v="2.0688134845941224E-2"/>
    <n v="0.12125107112253641"/>
    <n v="0.12125107112253641"/>
    <n v="0.12125107112253641"/>
    <n v="0.12125107112253641"/>
    <x v="1"/>
    <n v="3.3384305617741951E-2"/>
    <n v="-1.2696170771800727E-2"/>
    <s v=""/>
    <x v="0"/>
    <n v="-1.8311865154058769E-2"/>
    <s v=""/>
    <x v="0"/>
  </r>
  <r>
    <x v="13"/>
    <s v="20"/>
    <s v="12 - Support"/>
    <s v="12"/>
    <s v="PS Benefits - Personnel services - benefits"/>
    <s v="4225-000"/>
    <s v="Medicare Benefits"/>
    <n v="12555"/>
    <n v="11878.1"/>
    <n v="12723"/>
    <n v="11541.31"/>
    <n v="14138"/>
    <n v="11277.03"/>
    <n v="13792"/>
    <n v="14077"/>
    <n v="14077"/>
    <n v="14077"/>
    <n v="14077"/>
    <n v="285"/>
    <n v="0"/>
    <n v="2.066415313225058E-2"/>
    <n v="-5.3914774990043782E-2"/>
    <n v="-9.2878251984594873E-2"/>
    <n v="-0.20236030555948503"/>
    <n v="1.3381123058542414E-2"/>
    <n v="-2.8353861307784986E-2"/>
    <n v="0.11121590819775211"/>
    <n v="-2.2898613762215803E-2"/>
    <n v="-2.447305135096902E-2"/>
    <n v="9.8526483472720028E-2"/>
    <n v="2.066415313225058E-2"/>
    <n v="2.066415313225058E-2"/>
    <n v="2.066415313225058E-2"/>
    <n v="2.066415313225058E-2"/>
    <n v="0.12122660294703305"/>
    <n v="0.12122660294703305"/>
    <n v="0.12122660294703305"/>
    <n v="0.12122660294703305"/>
    <x v="2"/>
    <n v="3.3374659968441835E-2"/>
    <n v="-1.2710506836191255E-2"/>
    <s v=""/>
    <x v="0"/>
    <n v="-1.8335846867749413E-2"/>
    <s v=""/>
    <x v="0"/>
  </r>
  <r>
    <x v="13"/>
    <s v="20"/>
    <s v="12 - Support"/>
    <s v="12"/>
    <s v="PS Benefits - Personnel services - benefits"/>
    <s v="4230-000"/>
    <s v="Retirement Benefits"/>
    <n v="124121"/>
    <n v="110679.93"/>
    <n v="97797"/>
    <n v="100849.5"/>
    <n v="105823"/>
    <n v="92117.440000000002"/>
    <n v="95716"/>
    <n v="97305"/>
    <n v="97305"/>
    <n v="97305"/>
    <n v="97305"/>
    <n v="1589"/>
    <n v="0"/>
    <n v="1.6601195202473985E-2"/>
    <n v="-0.10829005567148192"/>
    <n v="3.1212613883861467E-2"/>
    <n v="-0.12951399979210568"/>
    <n v="-0.21208337025966598"/>
    <n v="-8.8818541898246534E-2"/>
    <n v="8.2067957094798402E-2"/>
    <n v="-8.6585059916013438E-2"/>
    <n v="-9.5508537841490035E-2"/>
    <n v="-0.22884926805294833"/>
    <n v="1.6601195202473985E-2"/>
    <n v="1.6601195202473985E-2"/>
    <n v="1.6601195202473985E-2"/>
    <n v="1.6601195202473985E-2"/>
    <n v="-0.21604724422136465"/>
    <n v="-0.21604724422136465"/>
    <n v="-0.21604724422136465"/>
    <n v="-0.21604724422136465"/>
    <x v="14"/>
    <n v="-7.517465033545255E-2"/>
    <n v="9.1775845537926531E-2"/>
    <s v=""/>
    <x v="0"/>
    <n v="-2.2398804797526008E-2"/>
    <s v=""/>
    <x v="0"/>
  </r>
  <r>
    <x v="13"/>
    <s v="20"/>
    <s v="12 - Support"/>
    <s v="12"/>
    <s v="PS Benefits - Personnel services - benefits"/>
    <s v="4260-000"/>
    <s v="Workers' comp Benefits"/>
    <n v="11289"/>
    <n v="10759.88"/>
    <n v="11956"/>
    <n v="12741.42"/>
    <n v="14278"/>
    <n v="14278.43"/>
    <n v="16870"/>
    <n v="16619"/>
    <n v="16619"/>
    <n v="16619"/>
    <n v="16619"/>
    <n v="-251"/>
    <n v="0"/>
    <n v="-1.4878482513337284E-2"/>
    <n v="-4.6870404818850277E-2"/>
    <n v="6.5692539310806292E-2"/>
    <n v="3.011626278192261E-5"/>
    <n v="5.9084064133227032E-2"/>
    <n v="0.18416004639456954"/>
    <n v="0.19421211107393777"/>
    <n v="0.12063098147616201"/>
    <n v="0.1815380305364897"/>
    <n v="0.4943750553636283"/>
    <n v="-1.4878482513337284E-2"/>
    <n v="-1.4878482513337284E-2"/>
    <n v="-1.4878482513337284E-2"/>
    <n v="-1.4878482513337284E-2"/>
    <n v="0.47214102223403315"/>
    <n v="0.47214102223403315"/>
    <n v="0.47214102223403315"/>
    <n v="0.47214102223403315"/>
    <x v="3"/>
    <n v="0.14494473524788484"/>
    <n v="-0.15982321776122213"/>
    <s v=""/>
    <x v="0"/>
    <n v="-5.3878482513337281E-2"/>
    <s v=""/>
    <x v="0"/>
  </r>
  <r>
    <x v="13"/>
    <s v="20"/>
    <s v="12 - Support"/>
    <s v="12"/>
    <s v="PS prof - Purchased services - professional &amp; technical"/>
    <s v="4241-000"/>
    <s v="Training Benefits"/>
    <n v="40000"/>
    <n v="123694.72"/>
    <n v="40000"/>
    <n v="186228.1"/>
    <n v="40000"/>
    <n v="87415.42"/>
    <n v="143500"/>
    <n v="143500"/>
    <n v="143500"/>
    <n v="143500"/>
    <n v="143500"/>
    <n v="0"/>
    <n v="0"/>
    <n v="0"/>
    <n v="2.092368"/>
    <n v="3.6557025000000003"/>
    <n v="1.1853855"/>
    <n v="0"/>
    <n v="0.50554607342981173"/>
    <n v="0"/>
    <n v="-0.53060026923971193"/>
    <n v="2.5874999999999999"/>
    <n v="2.5874999999999999"/>
    <n v="0"/>
    <n v="0"/>
    <n v="0"/>
    <n v="0"/>
    <n v="2.5874999999999999"/>
    <n v="2.5874999999999999"/>
    <n v="2.5874999999999999"/>
    <n v="2.5874999999999999"/>
    <x v="30"/>
    <n v="0.86249999999999993"/>
    <n v="-0.86249999999999993"/>
    <s v=""/>
    <x v="0"/>
    <n v="-3.8999999999999993E-2"/>
    <s v=""/>
    <x v="0"/>
  </r>
  <r>
    <x v="13"/>
    <s v="20"/>
    <s v="12 - Support"/>
    <s v="12"/>
    <s v="PS prof - Purchased services - professional &amp; technical"/>
    <s v="4290-000"/>
    <s v="Uniforms &amp; cleaning Benefits"/>
    <n v="0"/>
    <n v="1624.7"/>
    <n v="0"/>
    <n v="0"/>
    <n v="0"/>
    <n v="0"/>
    <n v="0"/>
    <n v="0"/>
    <n v="0"/>
    <n v="0"/>
    <n v="0"/>
    <n v="0"/>
    <n v="0"/>
    <s v=""/>
    <s v=""/>
    <s v=""/>
    <s v=""/>
    <s v=""/>
    <n v="-1"/>
    <s v=""/>
    <s v=""/>
    <s v=""/>
    <s v=""/>
    <s v=""/>
    <s v=""/>
    <s v=""/>
    <s v=""/>
    <s v=""/>
    <s v=""/>
    <s v=""/>
    <s v=""/>
    <x v="57"/>
    <n v="0"/>
    <n v="0"/>
    <s v=""/>
    <x v="0"/>
    <n v="-3.8999999999999993E-2"/>
    <s v=""/>
    <x v="0"/>
  </r>
  <r>
    <x v="13"/>
    <s v="20"/>
    <s v="12 - Support"/>
    <s v="12"/>
    <s v="PS prof - Purchased services - professional &amp; technical"/>
    <s v="4350-000"/>
    <s v="Medical services Services"/>
    <n v="2500"/>
    <n v="6089.75"/>
    <n v="2500"/>
    <n v="1455"/>
    <n v="2500"/>
    <n v="1330"/>
    <n v="2500"/>
    <n v="2500"/>
    <n v="2500"/>
    <n v="2500"/>
    <n v="2500"/>
    <n v="0"/>
    <n v="0"/>
    <n v="0"/>
    <n v="1.4359"/>
    <n v="-0.41799999999999998"/>
    <n v="-0.46800000000000003"/>
    <n v="0"/>
    <n v="-0.76107393571164661"/>
    <n v="0"/>
    <n v="-8.5910652920962199E-2"/>
    <n v="0"/>
    <n v="0"/>
    <n v="0"/>
    <n v="0"/>
    <n v="0"/>
    <n v="0"/>
    <n v="0"/>
    <n v="0"/>
    <n v="0"/>
    <n v="0"/>
    <x v="59"/>
    <n v="0"/>
    <n v="0"/>
    <s v=""/>
    <x v="0"/>
    <n v="-3.8999999999999993E-2"/>
    <s v=""/>
    <x v="0"/>
  </r>
  <r>
    <x v="13"/>
    <s v="20"/>
    <s v="12 - Support"/>
    <s v="12"/>
    <s v="PS property - Purchased services - property services"/>
    <s v="4430-000"/>
    <s v="Repairs &amp; maint Service"/>
    <n v="36600"/>
    <n v="36486.800000000003"/>
    <n v="4000"/>
    <n v="6700"/>
    <n v="4000"/>
    <n v="101.48"/>
    <n v="4000"/>
    <n v="4000"/>
    <n v="4000"/>
    <n v="4000"/>
    <n v="4000"/>
    <n v="0"/>
    <n v="0"/>
    <n v="0"/>
    <n v="-3.0928961748633087E-3"/>
    <n v="0.67500000000000004"/>
    <n v="-0.97463"/>
    <n v="-0.89071038251366119"/>
    <n v="-0.81637194821140802"/>
    <n v="0"/>
    <n v="-0.98485373134328369"/>
    <n v="0"/>
    <n v="-0.89071038251366119"/>
    <n v="0"/>
    <n v="0"/>
    <n v="0"/>
    <n v="0"/>
    <n v="-0.89071038251366119"/>
    <n v="-0.89071038251366119"/>
    <n v="-0.89071038251366119"/>
    <n v="-0.89071038251366119"/>
    <x v="35"/>
    <n v="-0.29690346083788705"/>
    <n v="0.29690346083788705"/>
    <n v="2812.3861566484516"/>
    <x v="34"/>
    <n v="-3.8999999999999993E-2"/>
    <s v=""/>
    <x v="0"/>
  </r>
  <r>
    <x v="13"/>
    <s v="20"/>
    <s v="12 - Support"/>
    <s v="12"/>
    <s v="PS other - Purchased services - other"/>
    <s v="4570-000"/>
    <s v="Sem &amp; workshops Services"/>
    <n v="5000"/>
    <n v="268.64999999999998"/>
    <n v="500"/>
    <n v="5404.35"/>
    <n v="500"/>
    <n v="1072"/>
    <n v="500"/>
    <n v="500"/>
    <n v="500"/>
    <n v="500"/>
    <n v="500"/>
    <n v="0"/>
    <n v="0"/>
    <n v="0"/>
    <n v="-0.94627000000000006"/>
    <n v="9.8087"/>
    <n v="1.1439999999999999"/>
    <n v="-0.9"/>
    <n v="19.116694584031272"/>
    <n v="0"/>
    <n v="-0.801641270458057"/>
    <n v="0"/>
    <n v="-0.9"/>
    <n v="0"/>
    <n v="0"/>
    <n v="0"/>
    <n v="0"/>
    <n v="-0.9"/>
    <n v="-0.9"/>
    <n v="-0.9"/>
    <n v="-0.9"/>
    <x v="5"/>
    <n v="-0.3"/>
    <n v="0.3"/>
    <n v="350"/>
    <x v="20"/>
    <n v="-3.8999999999999993E-2"/>
    <s v=""/>
    <x v="0"/>
  </r>
  <r>
    <x v="13"/>
    <s v="20"/>
    <s v="12 - Support"/>
    <s v="12"/>
    <s v="Supplies - Supplies"/>
    <s v="4612-000"/>
    <s v="Crime prevention Supplies"/>
    <n v="2000"/>
    <n v="1714.96"/>
    <n v="2000"/>
    <n v="881.64"/>
    <n v="2000"/>
    <n v="352.76"/>
    <n v="2000"/>
    <n v="2000"/>
    <n v="2000"/>
    <n v="2000"/>
    <n v="2000"/>
    <n v="0"/>
    <n v="0"/>
    <n v="0"/>
    <n v="-0.14251999999999998"/>
    <n v="-0.55918000000000001"/>
    <n v="-0.82362000000000002"/>
    <n v="0"/>
    <n v="-0.48591220786490646"/>
    <n v="0"/>
    <n v="-0.59988203802005358"/>
    <n v="0"/>
    <n v="0"/>
    <n v="0"/>
    <n v="0"/>
    <n v="0"/>
    <n v="0"/>
    <n v="0"/>
    <n v="0"/>
    <n v="0"/>
    <n v="0"/>
    <x v="65"/>
    <n v="0"/>
    <n v="0"/>
    <s v=""/>
    <x v="0"/>
    <n v="-3.8999999999999993E-2"/>
    <s v=""/>
    <x v="0"/>
  </r>
  <r>
    <x v="13"/>
    <s v="20"/>
    <s v="12 - Support"/>
    <s v="12"/>
    <s v="Supplies - Supplies"/>
    <s v="4613-000"/>
    <s v="Safety program Supplies"/>
    <n v="0"/>
    <n v="722.08"/>
    <n v="0"/>
    <n v="0"/>
    <n v="0"/>
    <n v="198.72"/>
    <n v="0"/>
    <n v="0"/>
    <n v="0"/>
    <n v="0"/>
    <n v="0"/>
    <n v="0"/>
    <n v="0"/>
    <s v=""/>
    <s v=""/>
    <s v=""/>
    <s v=""/>
    <s v=""/>
    <n v="-1"/>
    <s v=""/>
    <s v=""/>
    <s v=""/>
    <s v=""/>
    <s v=""/>
    <s v=""/>
    <s v=""/>
    <s v=""/>
    <s v=""/>
    <s v=""/>
    <s v=""/>
    <s v=""/>
    <x v="66"/>
    <n v="0"/>
    <n v="0"/>
    <s v=""/>
    <x v="0"/>
    <n v="-3.8999999999999993E-2"/>
    <s v=""/>
    <x v="0"/>
  </r>
  <r>
    <x v="13"/>
    <s v="20"/>
    <s v="12 - Support"/>
    <s v="12"/>
    <s v="Supplies - Supplies"/>
    <s v="4660-000"/>
    <s v="Vehicle repairs Supplies"/>
    <n v="4000"/>
    <n v="51312.04"/>
    <n v="60000"/>
    <n v="54648.83"/>
    <n v="60000"/>
    <n v="68432.75"/>
    <n v="60000"/>
    <n v="60000"/>
    <n v="60000"/>
    <n v="60000"/>
    <n v="60000"/>
    <n v="0"/>
    <n v="0"/>
    <n v="0"/>
    <n v="11.828010000000001"/>
    <n v="-8.9186166666666636E-2"/>
    <n v="0.14054583333333334"/>
    <n v="14"/>
    <n v="6.502937712084729E-2"/>
    <n v="0"/>
    <n v="0.25222717485442958"/>
    <n v="0"/>
    <n v="14"/>
    <n v="0"/>
    <n v="0"/>
    <n v="0"/>
    <n v="0"/>
    <n v="14"/>
    <n v="14"/>
    <n v="14"/>
    <n v="14"/>
    <x v="43"/>
    <n v="4.666666666666667"/>
    <n v="-4.666666666666667"/>
    <s v=""/>
    <x v="0"/>
    <n v="-3.8999999999999993E-2"/>
    <s v=""/>
    <x v="0"/>
  </r>
  <r>
    <x v="13"/>
    <s v="20"/>
    <s v="12 - Support"/>
    <s v="12"/>
    <s v="Property - Property"/>
    <s v="4744-000"/>
    <s v="Capital leases Property"/>
    <n v="150000"/>
    <n v="129625.85"/>
    <n v="150000"/>
    <n v="211267.35"/>
    <n v="150000"/>
    <n v="150000"/>
    <n v="518181"/>
    <n v="468181"/>
    <n v="468181"/>
    <n v="468181"/>
    <n v="468181"/>
    <n v="-50000"/>
    <n v="0"/>
    <n v="-9.6491380424986631E-2"/>
    <n v="-0.13582766666666662"/>
    <n v="0.40844900000000006"/>
    <n v="0"/>
    <n v="0"/>
    <n v="0.62982422101764424"/>
    <n v="0"/>
    <n v="-0.28999914089896051"/>
    <n v="2.4545400000000002"/>
    <n v="2.4545400000000002"/>
    <n v="-9.6491380424986631E-2"/>
    <n v="-9.6491380424986631E-2"/>
    <n v="-9.6491380424986631E-2"/>
    <n v="-9.6491380424986631E-2"/>
    <n v="2.1212066666666667"/>
    <n v="2.1212066666666667"/>
    <n v="2.1212066666666667"/>
    <n v="2.1212066666666667"/>
    <x v="67"/>
    <n v="0.81818000000000002"/>
    <n v="-0.91467138042498664"/>
    <s v=""/>
    <x v="0"/>
    <n v="-0.13549138042498662"/>
    <s v=""/>
    <x v="0"/>
  </r>
  <r>
    <x v="13"/>
    <s v="20"/>
    <s v="13 - Animal Control"/>
    <s v="13"/>
    <s v="PS Salaries - Personnel services - salaries"/>
    <s v="4110-000"/>
    <s v="Regular Salaries"/>
    <m/>
    <n v="0"/>
    <m/>
    <m/>
    <m/>
    <m/>
    <m/>
    <m/>
    <m/>
    <m/>
    <m/>
    <n v="0"/>
    <n v="0"/>
    <s v=""/>
    <s v=""/>
    <s v=""/>
    <s v=""/>
    <s v=""/>
    <s v=""/>
    <s v=""/>
    <s v=""/>
    <s v=""/>
    <s v=""/>
    <s v=""/>
    <s v=""/>
    <s v=""/>
    <s v=""/>
    <s v=""/>
    <s v=""/>
    <s v=""/>
    <s v=""/>
    <x v="10"/>
    <n v="0"/>
    <n v="0"/>
    <s v=""/>
    <x v="0"/>
    <n v="-3.8999999999999993E-2"/>
    <s v=""/>
    <x v="0"/>
  </r>
  <r>
    <x v="13"/>
    <s v="20"/>
    <s v="13 - Animal Control"/>
    <s v="13"/>
    <s v="PS Salaries - Personnel services - salaries"/>
    <s v="4120-000"/>
    <s v="Part-time Salaries"/>
    <n v="35190"/>
    <n v="41331.08"/>
    <n v="35715"/>
    <n v="37950.17"/>
    <n v="38816"/>
    <n v="43294.68"/>
    <n v="38445"/>
    <n v="39402"/>
    <n v="39402"/>
    <n v="39402"/>
    <n v="39402"/>
    <n v="957"/>
    <n v="0"/>
    <n v="2.4892703862660945E-2"/>
    <n v="0.17451207729468604"/>
    <n v="6.2583508329833351E-2"/>
    <n v="0.11538231657048641"/>
    <n v="1.4919011082693947E-2"/>
    <n v="-8.1800669133252832E-2"/>
    <n v="8.6826263474730506E-2"/>
    <n v="0.14082967217274658"/>
    <n v="-9.5579142621599333E-3"/>
    <n v="9.2497868712702477E-2"/>
    <n v="2.4892703862660945E-2"/>
    <n v="2.4892703862660945E-2"/>
    <n v="2.4892703862660945E-2"/>
    <n v="2.4892703862660945E-2"/>
    <n v="0.119693094629156"/>
    <n v="0.119693094629156"/>
    <n v="0.119693094629156"/>
    <n v="0.119693094629156"/>
    <x v="11"/>
    <n v="3.0729120098421506E-2"/>
    <n v="-5.8364162357605609E-3"/>
    <s v=""/>
    <x v="0"/>
    <n v="-1.4107296137339048E-2"/>
    <s v=""/>
    <x v="0"/>
  </r>
  <r>
    <x v="13"/>
    <s v="20"/>
    <s v="13 - Animal Control"/>
    <s v="13"/>
    <s v="PS Benefits - Personnel services - benefits"/>
    <s v="4220-000"/>
    <s v="FICA Benefits"/>
    <n v="2063"/>
    <n v="2205.92"/>
    <n v="2338"/>
    <n v="2008.45"/>
    <n v="2407"/>
    <n v="2310.54"/>
    <n v="2384"/>
    <n v="2443"/>
    <n v="2443"/>
    <n v="2443"/>
    <n v="2443"/>
    <n v="59"/>
    <n v="0"/>
    <n v="2.4748322147651006E-2"/>
    <n v="6.9277750848279238E-2"/>
    <n v="-0.14095380667236954"/>
    <n v="-4.0074781886165367E-2"/>
    <n v="0.13330101793504606"/>
    <n v="-8.9518205555958519E-2"/>
    <n v="2.9512403763900769E-2"/>
    <n v="0.15040951977893396"/>
    <n v="-9.5554632322393026E-3"/>
    <n v="0.15559864275327193"/>
    <n v="2.4748322147651006E-2"/>
    <n v="2.4748322147651006E-2"/>
    <n v="2.4748322147651006E-2"/>
    <n v="2.4748322147651006E-2"/>
    <n v="0.18419777023751818"/>
    <n v="0.18419777023751818"/>
    <n v="0.18419777023751818"/>
    <n v="0.18419777023751818"/>
    <x v="1"/>
    <n v="5.1085986155569175E-2"/>
    <n v="-2.633766400791817E-2"/>
    <s v=""/>
    <x v="0"/>
    <n v="-1.4251677852348987E-2"/>
    <s v=""/>
    <x v="0"/>
  </r>
  <r>
    <x v="13"/>
    <s v="20"/>
    <s v="13 - Animal Control"/>
    <s v="13"/>
    <s v="PS Benefits - Personnel services - benefits"/>
    <s v="4225-000"/>
    <s v="Medicare Benefits"/>
    <n v="483"/>
    <n v="515.9"/>
    <n v="548"/>
    <n v="469.71"/>
    <n v="563"/>
    <n v="540.38"/>
    <n v="558"/>
    <n v="572"/>
    <n v="572"/>
    <n v="572"/>
    <n v="572"/>
    <n v="14"/>
    <n v="0"/>
    <n v="2.5089605734767026E-2"/>
    <n v="6.8115942028985466E-2"/>
    <n v="-0.14286496350364966"/>
    <n v="-4.0177619893428072E-2"/>
    <n v="0.13457556935817805"/>
    <n v="-8.9532855204496997E-2"/>
    <n v="2.7372262773722629E-2"/>
    <n v="0.15045453577739459"/>
    <n v="-8.8809946714031966E-3"/>
    <n v="0.15527950310559005"/>
    <n v="2.5089605734767026E-2"/>
    <n v="2.5089605734767026E-2"/>
    <n v="2.5089605734767026E-2"/>
    <n v="2.5089605734767026E-2"/>
    <n v="0.18426501035196688"/>
    <n v="0.18426501035196688"/>
    <n v="0.18426501035196688"/>
    <n v="0.18426501035196688"/>
    <x v="2"/>
    <n v="5.1022279153499162E-2"/>
    <n v="-2.5932673418732136E-2"/>
    <s v=""/>
    <x v="0"/>
    <n v="-1.3910394265232967E-2"/>
    <s v=""/>
    <x v="0"/>
  </r>
  <r>
    <x v="13"/>
    <s v="20"/>
    <s v="13 - Animal Control"/>
    <s v="13"/>
    <s v="PS Benefits - Personnel services - benefits"/>
    <s v="4260-000"/>
    <s v="Workers' comp Benefits"/>
    <n v="449"/>
    <n v="428.52"/>
    <n v="476"/>
    <n v="507.29"/>
    <n v="568"/>
    <n v="568.48"/>
    <n v="672"/>
    <n v="662"/>
    <n v="662"/>
    <n v="662"/>
    <n v="662"/>
    <n v="-10"/>
    <n v="0"/>
    <n v="-1.488095238095238E-2"/>
    <n v="-4.5612472160356389E-2"/>
    <n v="6.57352941176471E-2"/>
    <n v="8.450704225352433E-4"/>
    <n v="6.0133630289532294E-2"/>
    <n v="0.18381872491365642"/>
    <n v="0.19327731092436976"/>
    <n v="0.12062134085040115"/>
    <n v="0.18309859154929578"/>
    <n v="0.49665924276169265"/>
    <n v="-1.488095238095238E-2"/>
    <n v="-1.488095238095238E-2"/>
    <n v="-1.488095238095238E-2"/>
    <n v="-1.488095238095238E-2"/>
    <n v="0.47438752783964366"/>
    <n v="0.47438752783964366"/>
    <n v="0.47438752783964366"/>
    <n v="0.47438752783964366"/>
    <x v="3"/>
    <n v="0.1455031775877326"/>
    <n v="-0.16038412996868498"/>
    <s v=""/>
    <x v="0"/>
    <n v="-5.3880952380952377E-2"/>
    <s v=""/>
    <x v="0"/>
  </r>
  <r>
    <x v="13"/>
    <s v="20"/>
    <s v="13 - Animal Control"/>
    <s v="13"/>
    <s v="PS prof - Purchased services - professional &amp; technical"/>
    <s v="4570-000"/>
    <s v="Sem &amp; workshops Services"/>
    <n v="0"/>
    <n v="40"/>
    <n v="0"/>
    <n v="40"/>
    <n v="0"/>
    <n v="0"/>
    <n v="0"/>
    <n v="0"/>
    <n v="0"/>
    <n v="0"/>
    <n v="0"/>
    <n v="0"/>
    <n v="0"/>
    <s v=""/>
    <s v=""/>
    <s v=""/>
    <s v=""/>
    <s v=""/>
    <n v="0"/>
    <s v=""/>
    <n v="-1"/>
    <s v=""/>
    <s v=""/>
    <s v=""/>
    <s v=""/>
    <s v=""/>
    <s v=""/>
    <s v=""/>
    <s v=""/>
    <s v=""/>
    <s v=""/>
    <x v="5"/>
    <n v="0"/>
    <n v="0"/>
    <s v=""/>
    <x v="0"/>
    <n v="-3.8999999999999993E-2"/>
    <s v=""/>
    <x v="0"/>
  </r>
  <r>
    <x v="13"/>
    <s v="20"/>
    <s v="13 - Animal Control"/>
    <s v="13"/>
    <s v="Supplies - Supplies"/>
    <s v="4610-000"/>
    <s v="General expenses Supplies"/>
    <n v="200"/>
    <n v="576.36"/>
    <n v="200"/>
    <n v="303.14999999999998"/>
    <n v="200"/>
    <n v="18.78"/>
    <n v="200"/>
    <n v="200"/>
    <n v="200"/>
    <n v="200"/>
    <n v="200"/>
    <n v="0"/>
    <n v="0"/>
    <n v="0"/>
    <n v="1.8818000000000001"/>
    <n v="0.51574999999999993"/>
    <n v="-0.90610000000000002"/>
    <n v="0"/>
    <n v="-0.47402665001041022"/>
    <n v="0"/>
    <n v="-0.93805047006432463"/>
    <n v="0"/>
    <n v="0"/>
    <n v="0"/>
    <n v="0"/>
    <n v="0"/>
    <n v="0"/>
    <n v="0"/>
    <n v="0"/>
    <n v="0"/>
    <n v="0"/>
    <x v="8"/>
    <n v="0"/>
    <n v="0"/>
    <s v=""/>
    <x v="0"/>
    <n v="-3.8999999999999993E-2"/>
    <s v=""/>
    <x v="0"/>
  </r>
  <r>
    <x v="14"/>
    <s v="23"/>
    <s v="01 - Administration"/>
    <s v="01"/>
    <s v="PS Salaries - Personnel services - salaries"/>
    <s v="4110-000"/>
    <s v="Regular Salaries"/>
    <n v="729926"/>
    <n v="656095.5"/>
    <n v="728886"/>
    <n v="700814.56"/>
    <n v="761392"/>
    <n v="672650.92"/>
    <n v="793562"/>
    <n v="874055"/>
    <n v="874055"/>
    <n v="874055"/>
    <n v="874055"/>
    <n v="80493"/>
    <n v="0"/>
    <n v="0.10143252827126299"/>
    <n v="-0.10114792458413592"/>
    <n v="-3.851279898365443E-2"/>
    <n v="-0.11655110639460352"/>
    <n v="-1.4248019662267133E-3"/>
    <n v="6.8159376188375101E-2"/>
    <n v="4.4596823097164714E-2"/>
    <n v="-4.0187007530208867E-2"/>
    <n v="4.2251560300081953E-2"/>
    <n v="8.7181440310387631E-2"/>
    <n v="0.10143252827126299"/>
    <n v="0.10143252827126299"/>
    <n v="0.10143252827126299"/>
    <n v="0.10143252827126299"/>
    <n v="0.19745700249066345"/>
    <n v="0.19745700249066345"/>
    <n v="0.19745700249066345"/>
    <n v="0.19745700249066345"/>
    <x v="10"/>
    <n v="2.8474527143673319E-2"/>
    <n v="7.2958001127589669E-2"/>
    <s v=""/>
    <x v="0"/>
    <n v="6.2432528271262999E-2"/>
    <s v=""/>
    <x v="0"/>
  </r>
  <r>
    <x v="14"/>
    <s v="23"/>
    <s v="01 - Administration"/>
    <s v="01"/>
    <s v="PS Salaries - Personnel services - salaries"/>
    <s v="4140-000"/>
    <s v="Overtime Salaries"/>
    <n v="122735"/>
    <n v="121180.27"/>
    <n v="117128"/>
    <n v="125845.11"/>
    <n v="112787"/>
    <n v="137287.09"/>
    <n v="140993"/>
    <n v="149678"/>
    <n v="149678"/>
    <n v="149678"/>
    <n v="140993"/>
    <n v="8685"/>
    <n v="8685"/>
    <n v="6.1598802777442854E-2"/>
    <n v="-1.2667372795046204E-2"/>
    <n v="7.4423792773717648E-2"/>
    <n v="0.2172244141612065"/>
    <n v="-4.5683790279871267E-2"/>
    <n v="3.8495045439327677E-2"/>
    <n v="-3.7062017621747149E-2"/>
    <n v="9.0921133129447745E-2"/>
    <n v="0.25008201299795191"/>
    <n v="0.14875952254858027"/>
    <n v="6.1598802777442854E-2"/>
    <n v="6.1598802777442854E-2"/>
    <n v="6.1598802777442854E-2"/>
    <n v="0"/>
    <n v="0.21952173381675968"/>
    <n v="0.21952173381675968"/>
    <n v="0.21952173381675968"/>
    <n v="0.14875952254858027"/>
    <x v="12"/>
    <n v="5.5778735032111164E-2"/>
    <n v="5.8200677453316904E-3"/>
    <s v=""/>
    <x v="0"/>
    <n v="2.2598802777442861E-2"/>
    <s v=""/>
    <x v="0"/>
  </r>
  <r>
    <x v="14"/>
    <s v="23"/>
    <s v="01 - Administration"/>
    <s v="01"/>
    <s v="PS Salaries - Personnel services - salaries"/>
    <s v="4151-000"/>
    <s v="Contractually Mandated Training Overtime"/>
    <n v="0"/>
    <n v="0"/>
    <n v="0"/>
    <n v="0"/>
    <n v="0"/>
    <n v="0"/>
    <n v="7368"/>
    <n v="7826"/>
    <n v="7826"/>
    <n v="7826"/>
    <n v="7826"/>
    <n v="458"/>
    <n v="0"/>
    <n v="6.2160694896851248E-2"/>
    <s v=""/>
    <s v=""/>
    <s v=""/>
    <s v=""/>
    <s v=""/>
    <s v=""/>
    <s v=""/>
    <s v=""/>
    <s v=""/>
    <n v="6.2160694896851248E-2"/>
    <n v="6.2160694896851248E-2"/>
    <n v="6.2160694896851248E-2"/>
    <n v="6.2160694896851248E-2"/>
    <s v=""/>
    <s v=""/>
    <s v=""/>
    <s v=""/>
    <x v="55"/>
    <n v="0"/>
    <n v="6.2160694896851248E-2"/>
    <s v=""/>
    <x v="0"/>
    <n v="2.3160694896851255E-2"/>
    <s v=""/>
    <x v="0"/>
  </r>
  <r>
    <x v="14"/>
    <s v="23"/>
    <s v="01 - Administration"/>
    <s v="01"/>
    <s v="PS Salaries - Personnel services - salaries"/>
    <s v="4193-000"/>
    <s v="Holiday Salaries"/>
    <n v="19399"/>
    <n v="20245.09"/>
    <n v="23282"/>
    <n v="14595.12"/>
    <n v="25796"/>
    <n v="17875.88"/>
    <n v="25798"/>
    <n v="28739"/>
    <n v="28739"/>
    <n v="28739"/>
    <n v="28739"/>
    <n v="2941"/>
    <n v="0"/>
    <n v="0.1140010853554539"/>
    <n v="4.3615134800762935E-2"/>
    <n v="-0.37311571170861607"/>
    <n v="-0.30702899674368117"/>
    <n v="0.20016495695654415"/>
    <n v="-0.27907853212803696"/>
    <n v="0.10798041405377545"/>
    <n v="0.22478472256480247"/>
    <n v="7.7531400217087918E-5"/>
    <n v="0.32986236403938346"/>
    <n v="0.1140010853554539"/>
    <n v="0.1140010853554539"/>
    <n v="0.1140010853554539"/>
    <n v="0.1140010853554539"/>
    <n v="0.48146811691324293"/>
    <n v="0.48146811691324293"/>
    <n v="0.48146811691324293"/>
    <n v="0.48146811691324293"/>
    <x v="60"/>
    <n v="0.1027409674701789"/>
    <n v="1.1260117885275006E-2"/>
    <s v=""/>
    <x v="0"/>
    <n v="7.5001085355453911E-2"/>
    <s v=""/>
    <x v="0"/>
  </r>
  <r>
    <x v="14"/>
    <s v="23"/>
    <s v="01 - Administration"/>
    <s v="01"/>
    <s v="PS Benefits - Personnel services - benefits"/>
    <s v="4215-000"/>
    <s v="STD, LTD, &amp; Life  Benefits"/>
    <n v="47503"/>
    <n v="38968.33"/>
    <n v="54292"/>
    <n v="47633.13"/>
    <n v="52595"/>
    <n v="38983.15"/>
    <n v="32000"/>
    <n v="38246"/>
    <n v="38246"/>
    <n v="38246"/>
    <n v="38246"/>
    <n v="6246"/>
    <n v="0"/>
    <n v="0.19518750000000001"/>
    <n v="-0.17966591583689448"/>
    <n v="-0.1226491932513078"/>
    <n v="-0.25880501948854451"/>
    <n v="0.1429172894343515"/>
    <n v="0.22235492257430572"/>
    <n v="-3.1256907094967951E-2"/>
    <n v="-0.18159587665139781"/>
    <n v="-0.39157714611655098"/>
    <n v="-0.32635833526303604"/>
    <n v="0.19518750000000001"/>
    <n v="0.19518750000000001"/>
    <n v="0.19518750000000001"/>
    <n v="0.19518750000000001"/>
    <n v="-0.19487190282718986"/>
    <n v="-0.19487190282718986"/>
    <n v="-0.19487190282718986"/>
    <n v="-0.19487190282718986"/>
    <x v="13"/>
    <n v="-9.330558792572248E-2"/>
    <n v="0.28849308792572248"/>
    <s v=""/>
    <x v="0"/>
    <n v="0.15618750000000003"/>
    <s v=""/>
    <x v="0"/>
  </r>
  <r>
    <x v="14"/>
    <s v="23"/>
    <s v="01 - Administration"/>
    <s v="01"/>
    <s v="PS Benefits - Personnel services - benefits"/>
    <s v="4220-000"/>
    <s v="FICA Benefits"/>
    <n v="4186"/>
    <n v="1105.1300000000001"/>
    <n v="0"/>
    <n v="0"/>
    <n v="0"/>
    <n v="0"/>
    <n v="0"/>
    <n v="0"/>
    <n v="0"/>
    <n v="0"/>
    <n v="0"/>
    <n v="0"/>
    <n v="0"/>
    <s v=""/>
    <n v="-0.73599378881987576"/>
    <s v=""/>
    <s v=""/>
    <n v="-1"/>
    <n v="-1"/>
    <s v=""/>
    <s v=""/>
    <s v=""/>
    <n v="-1"/>
    <s v=""/>
    <s v=""/>
    <s v=""/>
    <s v=""/>
    <n v="-1"/>
    <n v="-1"/>
    <n v="-1"/>
    <n v="-1"/>
    <x v="1"/>
    <n v="-1"/>
    <n v="1"/>
    <s v=""/>
    <x v="0"/>
    <n v="-3.8999999999999993E-2"/>
    <s v=""/>
    <x v="0"/>
  </r>
  <r>
    <x v="14"/>
    <s v="23"/>
    <s v="01 - Administration"/>
    <s v="01"/>
    <s v="PS Benefits - Personnel services - benefits"/>
    <s v="4225-000"/>
    <s v="Medicare Benefits"/>
    <n v="12645"/>
    <n v="12470.81"/>
    <n v="12605"/>
    <n v="11601.51"/>
    <n v="13050"/>
    <n v="11583.67"/>
    <n v="14034"/>
    <n v="15375"/>
    <n v="15375"/>
    <n v="15375"/>
    <n v="15249"/>
    <n v="1341"/>
    <n v="126"/>
    <n v="9.555365540829415E-2"/>
    <n v="-1.3775405298537012E-2"/>
    <n v="-7.961047203490676E-2"/>
    <n v="-0.11236245210727969"/>
    <n v="-3.1633056544088573E-3"/>
    <n v="-6.9706779270953478E-2"/>
    <n v="3.5303451011503374E-2"/>
    <n v="-1.5377308643443953E-3"/>
    <n v="7.5402298850574714E-2"/>
    <n v="0.10984578884934756"/>
    <n v="9.555365540829415E-2"/>
    <n v="9.555365540829415E-2"/>
    <n v="9.555365540829415E-2"/>
    <n v="8.6575459598118853E-2"/>
    <n v="0.21589561091340451"/>
    <n v="0.21589561091340451"/>
    <n v="0.21589561091340451"/>
    <n v="0.2059311981020166"/>
    <x v="2"/>
    <n v="3.5847481402556412E-2"/>
    <n v="5.9706174005737737E-2"/>
    <s v=""/>
    <x v="0"/>
    <n v="5.6553655408294157E-2"/>
    <s v=""/>
    <x v="0"/>
  </r>
  <r>
    <x v="14"/>
    <s v="23"/>
    <s v="01 - Administration"/>
    <s v="01"/>
    <s v="PS Benefits - Personnel services - benefits"/>
    <s v="4230-000"/>
    <s v="Retirement Benefits"/>
    <n v="274911"/>
    <n v="259293.95"/>
    <n v="263832"/>
    <n v="247160.76"/>
    <n v="273142"/>
    <n v="251125.28"/>
    <n v="282092"/>
    <n v="309077"/>
    <n v="309077"/>
    <n v="309077"/>
    <n v="306546"/>
    <n v="26985"/>
    <n v="2531"/>
    <n v="9.5660281043063969E-2"/>
    <n v="-5.6807657751053932E-2"/>
    <n v="-6.3188847448376204E-2"/>
    <n v="-8.0605399389328633E-2"/>
    <n v="-4.0300315374794025E-2"/>
    <n v="-4.6793185880349315E-2"/>
    <n v="3.5287607265229386E-2"/>
    <n v="1.6040248460151965E-2"/>
    <n v="3.2766839226482929E-2"/>
    <n v="2.6121181036771902E-2"/>
    <n v="9.5660281043063969E-2"/>
    <n v="9.5660281043063969E-2"/>
    <n v="9.5660281043063969E-2"/>
    <n v="8.6688030855181994E-2"/>
    <n v="0.12428022159899021"/>
    <n v="0.12428022159899021"/>
    <n v="0.12428022159899021"/>
    <n v="0.11507360563964338"/>
    <x v="14"/>
    <n v="9.2513770389727624E-3"/>
    <n v="8.6408904004091208E-2"/>
    <s v=""/>
    <x v="0"/>
    <n v="5.6660281043063976E-2"/>
    <s v=""/>
    <x v="0"/>
  </r>
  <r>
    <x v="14"/>
    <s v="23"/>
    <s v="01 - Administration"/>
    <s v="01"/>
    <s v="PS Benefits - Personnel services - benefits"/>
    <s v="4260-000"/>
    <s v="Workers' comp Benefits"/>
    <n v="26694"/>
    <n v="25445.24"/>
    <n v="28270"/>
    <n v="30122.47"/>
    <n v="33756"/>
    <n v="33756.17"/>
    <n v="39884"/>
    <n v="39290"/>
    <n v="39290"/>
    <n v="39290"/>
    <n v="39290"/>
    <n v="-594"/>
    <n v="0"/>
    <n v="-1.4893190251730018E-2"/>
    <n v="-4.6780549936315217E-2"/>
    <n v="6.552776795189251E-2"/>
    <n v="5.0361417229012256E-6"/>
    <n v="5.903948452835843E-2"/>
    <n v="0.18381551913049354"/>
    <n v="0.19405730456314113"/>
    <n v="0.12063087787953634"/>
    <n v="0.18153809693091599"/>
    <n v="0.49411852850827903"/>
    <n v="-1.4893190251730018E-2"/>
    <n v="-1.4893190251730018E-2"/>
    <n v="-1.4893190251730018E-2"/>
    <n v="-1.4893190251730018E-2"/>
    <n v="0.47186633700457031"/>
    <n v="0.47186633700457031"/>
    <n v="0.47186633700457031"/>
    <n v="0.47186633700457031"/>
    <x v="3"/>
    <n v="0.14487829534080518"/>
    <n v="-0.15977148559253521"/>
    <s v=""/>
    <x v="0"/>
    <n v="-5.3893190251730012E-2"/>
    <s v=""/>
    <x v="0"/>
  </r>
  <r>
    <x v="14"/>
    <s v="23"/>
    <s v="01 - Administration"/>
    <s v="01"/>
    <s v="PS prof - Purchased services - professional &amp; technical"/>
    <s v="4241-000"/>
    <s v="Training Benefits"/>
    <n v="8000"/>
    <n v="1179"/>
    <n v="8000"/>
    <n v="2303.08"/>
    <n v="8000"/>
    <n v="375"/>
    <n v="8000"/>
    <n v="15250"/>
    <n v="15250"/>
    <n v="15250"/>
    <n v="8000"/>
    <n v="7250"/>
    <n v="7250"/>
    <n v="0.90625"/>
    <n v="-0.85262499999999997"/>
    <n v="-0.71211500000000005"/>
    <n v="-0.953125"/>
    <n v="0"/>
    <n v="0.95341815097540283"/>
    <n v="0"/>
    <n v="-0.83717456623304443"/>
    <n v="0"/>
    <n v="0"/>
    <n v="0.90625"/>
    <n v="0.90625"/>
    <n v="0.90625"/>
    <n v="0"/>
    <n v="0.90625"/>
    <n v="0.90625"/>
    <n v="0.90625"/>
    <n v="0"/>
    <x v="30"/>
    <n v="0"/>
    <n v="0.90625"/>
    <s v=""/>
    <x v="0"/>
    <n v="0.86724999999999997"/>
    <s v=""/>
    <x v="0"/>
  </r>
  <r>
    <x v="14"/>
    <s v="23"/>
    <s v="01 - Administration"/>
    <s v="01"/>
    <s v="PS prof - Purchased services - professional &amp; technical"/>
    <s v="4341-000"/>
    <s v="Telephone Services"/>
    <n v="13000"/>
    <n v="24025.67"/>
    <n v="13000"/>
    <n v="19040.05"/>
    <n v="13000"/>
    <n v="36422.79"/>
    <n v="19100"/>
    <n v="20000"/>
    <n v="20000"/>
    <n v="20000"/>
    <n v="19978"/>
    <n v="900"/>
    <n v="22"/>
    <n v="4.712041884816754E-2"/>
    <n v="0.84812846153846144"/>
    <n v="0.46461923076923073"/>
    <n v="1.801753076923077"/>
    <n v="0"/>
    <n v="-0.20751221505997541"/>
    <n v="0"/>
    <n v="0.91295663614328759"/>
    <n v="0.46923076923076923"/>
    <n v="0.46923076923076923"/>
    <n v="4.712041884816754E-2"/>
    <n v="4.712041884816754E-2"/>
    <n v="4.712041884816754E-2"/>
    <n v="4.5968586387434555E-2"/>
    <n v="0.53846153846153844"/>
    <n v="0.53846153846153844"/>
    <n v="0.53846153846153844"/>
    <n v="0.53676923076923078"/>
    <x v="34"/>
    <n v="0.15641025641025641"/>
    <n v="-0.10928983756208888"/>
    <s v=""/>
    <x v="0"/>
    <n v="8.1204188481675474E-3"/>
    <n v="19844.899999999998"/>
    <x v="31"/>
  </r>
  <r>
    <x v="14"/>
    <s v="23"/>
    <s v="01 - Administration"/>
    <s v="01"/>
    <s v="PS prof - Purchased services - professional &amp; technical"/>
    <s v="4440-000"/>
    <s v="Rental and leases Services"/>
    <n v="3500"/>
    <n v="4582.37"/>
    <n v="8000"/>
    <n v="5158.42"/>
    <n v="8000"/>
    <n v="3806.56"/>
    <n v="8000"/>
    <n v="3500"/>
    <n v="3500"/>
    <n v="3500"/>
    <n v="8000"/>
    <n v="-4500"/>
    <n v="-4500"/>
    <n v="-0.5625"/>
    <n v="0.30924857142857137"/>
    <n v="-0.3551975"/>
    <n v="-0.52418000000000009"/>
    <n v="1.2857142857142858"/>
    <n v="0.12571005833226043"/>
    <n v="0"/>
    <n v="-0.2620686179101353"/>
    <n v="0"/>
    <n v="1.2857142857142858"/>
    <n v="-0.5625"/>
    <n v="-0.5625"/>
    <n v="-0.5625"/>
    <n v="0"/>
    <n v="0"/>
    <n v="0"/>
    <n v="0"/>
    <n v="1.2857142857142858"/>
    <x v="25"/>
    <n v="0.4285714285714286"/>
    <n v="-0.9910714285714286"/>
    <s v=""/>
    <x v="0"/>
    <n v="-0.60150000000000003"/>
    <s v=""/>
    <x v="0"/>
  </r>
  <r>
    <x v="14"/>
    <s v="23"/>
    <s v="01 - Administration"/>
    <s v="01"/>
    <s v="PS property - Purchased services - property services"/>
    <s v="4490-000"/>
    <s v="Clothing allowance Services"/>
    <n v="6100"/>
    <n v="5696.99"/>
    <n v="6100"/>
    <n v="6037"/>
    <n v="6100"/>
    <n v="18972.25"/>
    <n v="14364"/>
    <n v="10551"/>
    <n v="10551"/>
    <n v="10551"/>
    <n v="14364"/>
    <n v="-3813"/>
    <n v="-3813"/>
    <n v="-0.26545530492898917"/>
    <n v="-6.6067213114754136E-2"/>
    <n v="-1.0327868852459017E-2"/>
    <n v="2.1102049180327871"/>
    <n v="0"/>
    <n v="5.9682393685086377E-2"/>
    <n v="0"/>
    <n v="2.1426619181712772"/>
    <n v="1.3547540983606556"/>
    <n v="1.3547540983606556"/>
    <n v="-0.26545530492898917"/>
    <n v="-0.26545530492898917"/>
    <n v="-0.26545530492898917"/>
    <n v="0"/>
    <n v="0.72967213114754104"/>
    <n v="0.72967213114754104"/>
    <n v="0.72967213114754104"/>
    <n v="1.3547540983606556"/>
    <x v="31"/>
    <n v="0.4515846994535519"/>
    <n v="-0.71704000438254112"/>
    <s v=""/>
    <x v="0"/>
    <n v="-0.30445530492898915"/>
    <s v=""/>
    <x v="0"/>
  </r>
  <r>
    <x v="14"/>
    <s v="23"/>
    <s v="01 - Administration"/>
    <s v="01"/>
    <s v="PS property - Purchased services - property services"/>
    <s v="4531-000"/>
    <s v="Safety program Services"/>
    <n v="38000"/>
    <n v="54194.400000000001"/>
    <n v="50000"/>
    <n v="85707.14"/>
    <n v="50000"/>
    <n v="293414.61"/>
    <n v="53180"/>
    <n v="63000"/>
    <n v="53000"/>
    <n v="53000"/>
    <n v="53180"/>
    <n v="-180"/>
    <n v="-180"/>
    <n v="-3.3847311019180142E-3"/>
    <n v="0.42616842105263164"/>
    <n v="0.71414279999999997"/>
    <n v="4.8682922"/>
    <n v="0.31578947368421051"/>
    <n v="0.58147594585418416"/>
    <n v="0"/>
    <n v="2.4234558521028702"/>
    <n v="6.3600000000000004E-2"/>
    <n v="0.39947368421052631"/>
    <n v="0.184655885671305"/>
    <n v="-3.3847311019180142E-3"/>
    <n v="-3.3847311019180142E-3"/>
    <n v="0"/>
    <n v="0.65789473684210531"/>
    <n v="0.39473684210526316"/>
    <n v="0.39473684210526316"/>
    <n v="0.39947368421052631"/>
    <x v="68"/>
    <n v="0.12646315789473683"/>
    <n v="-0.12984788899665484"/>
    <s v=""/>
    <x v="0"/>
    <n v="-4.2384731101918011E-2"/>
    <s v=""/>
    <x v="0"/>
  </r>
  <r>
    <x v="14"/>
    <s v="23"/>
    <s v="01 - Administration"/>
    <s v="01"/>
    <s v="PS other - Purchased services - other"/>
    <s v="4530-000"/>
    <s v="Public education Services"/>
    <n v="2500"/>
    <n v="1495.94"/>
    <n v="2500"/>
    <n v="880"/>
    <n v="2500"/>
    <n v="3253.7"/>
    <n v="2500"/>
    <n v="3440"/>
    <n v="3440"/>
    <n v="3440"/>
    <n v="2500"/>
    <n v="940"/>
    <n v="940"/>
    <n v="0.376"/>
    <n v="-0.40162399999999998"/>
    <n v="-0.64800000000000002"/>
    <n v="0.30147999999999991"/>
    <n v="0"/>
    <n v="-0.4117411126114684"/>
    <n v="0"/>
    <n v="2.6973863636363635"/>
    <n v="0"/>
    <n v="0"/>
    <n v="0.376"/>
    <n v="0.376"/>
    <n v="0.376"/>
    <n v="0"/>
    <n v="0.376"/>
    <n v="0.376"/>
    <n v="0.376"/>
    <n v="0"/>
    <x v="69"/>
    <n v="0"/>
    <n v="0.376"/>
    <n v="2500"/>
    <x v="35"/>
    <n v="0.33700000000000002"/>
    <n v="2597.5"/>
    <x v="32"/>
  </r>
  <r>
    <x v="14"/>
    <s v="23"/>
    <s v="01 - Administration"/>
    <s v="01"/>
    <s v="PS other - Purchased services - other"/>
    <s v="4550-000"/>
    <s v="Printing Services"/>
    <n v="450"/>
    <n v="355.98"/>
    <n v="450"/>
    <n v="535.20000000000005"/>
    <n v="450"/>
    <n v="7214.75"/>
    <n v="450"/>
    <n v="3251"/>
    <n v="3251"/>
    <n v="3251"/>
    <n v="450"/>
    <n v="2801"/>
    <n v="2801"/>
    <n v="6.224444444444444"/>
    <n v="-0.2089333333333333"/>
    <n v="0.18933333333333344"/>
    <n v="15.032777777777778"/>
    <n v="0"/>
    <n v="0.50345525029496041"/>
    <n v="0"/>
    <n v="12.480474588938714"/>
    <n v="0"/>
    <n v="0"/>
    <n v="6.224444444444444"/>
    <n v="6.224444444444444"/>
    <n v="6.224444444444444"/>
    <n v="0"/>
    <n v="6.224444444444444"/>
    <n v="6.224444444444444"/>
    <n v="6.224444444444444"/>
    <n v="0"/>
    <x v="4"/>
    <n v="0"/>
    <n v="6.224444444444444"/>
    <n v="450"/>
    <x v="36"/>
    <n v="6.1854444444444443"/>
    <n v="467.54999999999995"/>
    <x v="33"/>
  </r>
  <r>
    <x v="14"/>
    <s v="23"/>
    <s v="01 - Administration"/>
    <s v="01"/>
    <s v="PS other - Purchased services - other"/>
    <s v="4560-000"/>
    <s v="Dues &amp; subs Services"/>
    <n v="300"/>
    <n v="100"/>
    <n v="300"/>
    <n v="479.95"/>
    <n v="300"/>
    <n v="1175"/>
    <n v="300"/>
    <n v="4443"/>
    <n v="4443"/>
    <n v="4443"/>
    <n v="1800"/>
    <n v="4143"/>
    <n v="2643"/>
    <n v="13.81"/>
    <n v="-0.66666666666666663"/>
    <n v="0.59983333333333333"/>
    <n v="2.9166666666666665"/>
    <n v="0"/>
    <n v="3.7995000000000001"/>
    <n v="0"/>
    <n v="1.448171684550474"/>
    <n v="0"/>
    <n v="0"/>
    <n v="13.81"/>
    <n v="13.81"/>
    <n v="13.81"/>
    <n v="5"/>
    <n v="13.81"/>
    <n v="13.81"/>
    <n v="13.81"/>
    <n v="5"/>
    <x v="15"/>
    <n v="0"/>
    <n v="13.81"/>
    <n v="300"/>
    <x v="37"/>
    <n v="13.771000000000001"/>
    <n v="311.7"/>
    <x v="34"/>
  </r>
  <r>
    <x v="14"/>
    <s v="23"/>
    <s v="01 - Administration"/>
    <s v="01"/>
    <s v="Supplies - Supplies"/>
    <s v="4610-000"/>
    <s v="General expenses Supplies"/>
    <n v="2000"/>
    <n v="1906.23"/>
    <n v="2000"/>
    <n v="1672.59"/>
    <n v="2000"/>
    <n v="679.06"/>
    <n v="2000"/>
    <n v="1000"/>
    <n v="1000"/>
    <n v="1000"/>
    <n v="2000"/>
    <n v="-1000"/>
    <n v="-1000"/>
    <n v="-0.5"/>
    <n v="-4.6884999999999989E-2"/>
    <n v="-0.16370500000000004"/>
    <n v="-0.66047"/>
    <n v="0"/>
    <n v="-0.12256653184558007"/>
    <n v="0"/>
    <n v="-0.59400689947925078"/>
    <n v="0"/>
    <n v="0"/>
    <n v="-0.5"/>
    <n v="-0.5"/>
    <n v="-0.5"/>
    <n v="0"/>
    <n v="-0.5"/>
    <n v="-0.5"/>
    <n v="-0.5"/>
    <n v="0"/>
    <x v="8"/>
    <n v="0"/>
    <n v="-0.5"/>
    <s v=""/>
    <x v="0"/>
    <n v="-0.53900000000000003"/>
    <s v=""/>
    <x v="0"/>
  </r>
  <r>
    <x v="14"/>
    <s v="23"/>
    <s v="01 - Administration"/>
    <s v="01"/>
    <s v="Supplies - Supplies"/>
    <s v="4620-000"/>
    <s v="Office supplies Supplies"/>
    <n v="3500"/>
    <n v="4183.76"/>
    <n v="3500"/>
    <n v="3232.4"/>
    <n v="3500"/>
    <n v="5114.97"/>
    <n v="7500"/>
    <n v="7500"/>
    <n v="7500"/>
    <n v="7500"/>
    <n v="7500"/>
    <n v="0"/>
    <n v="0"/>
    <n v="0"/>
    <n v="0.19536000000000006"/>
    <n v="-7.6457142857142835E-2"/>
    <n v="0.46142000000000005"/>
    <n v="0"/>
    <n v="-0.22739354073847451"/>
    <n v="0"/>
    <n v="0.58240626160128706"/>
    <n v="1.1428571428571428"/>
    <n v="1.1428571428571428"/>
    <n v="0"/>
    <n v="0"/>
    <n v="0"/>
    <n v="0"/>
    <n v="1.1428571428571428"/>
    <n v="1.1428571428571428"/>
    <n v="1.1428571428571428"/>
    <n v="1.1428571428571428"/>
    <x v="16"/>
    <n v="0.38095238095238093"/>
    <n v="-0.38095238095238093"/>
    <s v=""/>
    <x v="0"/>
    <n v="-3.8999999999999993E-2"/>
    <s v=""/>
    <x v="0"/>
  </r>
  <r>
    <x v="14"/>
    <s v="23"/>
    <s v="01 - Administration"/>
    <s v="01"/>
    <s v="Supplies - Supplies"/>
    <s v="4625-000"/>
    <s v="Postage Supplies"/>
    <n v="600"/>
    <n v="62.55"/>
    <n v="600"/>
    <n v="359.84"/>
    <n v="600"/>
    <n v="43.38"/>
    <n v="600"/>
    <n v="200"/>
    <n v="200"/>
    <n v="200"/>
    <n v="600"/>
    <n v="-400"/>
    <n v="-400"/>
    <n v="-0.66666666666666663"/>
    <n v="-0.89575000000000005"/>
    <n v="-0.40026666666666672"/>
    <n v="-0.92769999999999997"/>
    <n v="0"/>
    <n v="4.7528377298161466"/>
    <n v="0"/>
    <n v="-0.87944642063139178"/>
    <n v="0"/>
    <n v="0"/>
    <n v="-0.66666666666666663"/>
    <n v="-0.66666666666666663"/>
    <n v="-0.66666666666666663"/>
    <n v="0"/>
    <n v="-0.66666666666666663"/>
    <n v="-0.66666666666666663"/>
    <n v="-0.66666666666666663"/>
    <n v="0"/>
    <x v="17"/>
    <n v="0"/>
    <n v="-0.66666666666666663"/>
    <s v=""/>
    <x v="0"/>
    <n v="-0.70566666666666666"/>
    <s v=""/>
    <x v="0"/>
  </r>
  <r>
    <x v="14"/>
    <s v="23"/>
    <s v="01 - Administration"/>
    <s v="01"/>
    <s v="Supplies - Supplies"/>
    <s v="4634-000"/>
    <s v="Hazardous materials Supplies"/>
    <n v="14000"/>
    <n v="14535.1"/>
    <n v="14000"/>
    <n v="16573.580000000002"/>
    <n v="14000"/>
    <n v="14989.63"/>
    <n v="18490"/>
    <n v="20300"/>
    <n v="20300"/>
    <n v="20300"/>
    <n v="18490"/>
    <n v="1810"/>
    <n v="1810"/>
    <n v="9.7890751757706868E-2"/>
    <n v="3.8221428571428601E-2"/>
    <n v="0.18382714285714299"/>
    <n v="7.068785714285708E-2"/>
    <n v="0"/>
    <n v="0.14024533714938331"/>
    <n v="0"/>
    <n v="-9.5570781931242521E-2"/>
    <n v="0.32071428571428573"/>
    <n v="0.32071428571428573"/>
    <n v="9.7890751757706868E-2"/>
    <n v="9.7890751757706868E-2"/>
    <n v="9.7890751757706868E-2"/>
    <n v="0"/>
    <n v="0.45"/>
    <n v="0.45"/>
    <n v="0.45"/>
    <n v="0.32071428571428573"/>
    <x v="70"/>
    <n v="0.10690476190476191"/>
    <n v="-9.0140101470550377E-3"/>
    <s v=""/>
    <x v="0"/>
    <n v="5.8890751757706875E-2"/>
    <n v="19211.109999999997"/>
    <x v="35"/>
  </r>
  <r>
    <x v="14"/>
    <s v="23"/>
    <s v="01 - Administration"/>
    <s v="01"/>
    <s v="Supplies - Supplies"/>
    <s v="4660-000"/>
    <s v="Vehicle repairs Supplies"/>
    <n v="85000"/>
    <n v="108798.35"/>
    <n v="120000"/>
    <n v="234185.34"/>
    <n v="145000"/>
    <n v="242843.46"/>
    <n v="145000"/>
    <n v="175000"/>
    <n v="175000"/>
    <n v="175000"/>
    <n v="145000"/>
    <n v="30000"/>
    <n v="30000"/>
    <n v="0.20689655172413793"/>
    <n v="0.2799805882352942"/>
    <n v="0.95154450000000002"/>
    <n v="0.67478248275862063"/>
    <n v="0.41176470588235292"/>
    <n v="1.1524714299435606"/>
    <n v="0.20833333333333334"/>
    <n v="3.6971229710621493E-2"/>
    <n v="0"/>
    <n v="0.70588235294117652"/>
    <n v="0.20689655172413793"/>
    <n v="0.20689655172413793"/>
    <n v="0.20689655172413793"/>
    <n v="0"/>
    <n v="1.0588235294117647"/>
    <n v="1.0588235294117647"/>
    <n v="1.0588235294117647"/>
    <n v="0.70588235294117652"/>
    <x v="43"/>
    <n v="0.20669934640522877"/>
    <n v="1.9720531890915494E-4"/>
    <n v="174971.40522875817"/>
    <x v="38"/>
    <n v="0.16789655172413792"/>
    <n v="150655"/>
    <x v="36"/>
  </r>
  <r>
    <x v="14"/>
    <s v="23"/>
    <s v="01 - Administration"/>
    <s v="01"/>
    <s v="Supplies - Supplies"/>
    <s v="4680-000"/>
    <s v="Dept. expense Supplies"/>
    <n v="0"/>
    <n v="0"/>
    <n v="0"/>
    <n v="0"/>
    <n v="0"/>
    <n v="0"/>
    <n v="0"/>
    <n v="12500"/>
    <n v="12500"/>
    <n v="12500"/>
    <n v="0"/>
    <n v="12500"/>
    <n v="12500"/>
    <s v=""/>
    <s v=""/>
    <s v=""/>
    <s v=""/>
    <s v=""/>
    <s v=""/>
    <s v=""/>
    <s v=""/>
    <s v=""/>
    <s v=""/>
    <s v=""/>
    <s v=""/>
    <s v=""/>
    <s v=""/>
    <s v=""/>
    <s v=""/>
    <s v=""/>
    <s v=""/>
    <x v="9"/>
    <n v="0"/>
    <n v="0"/>
    <s v=""/>
    <x v="0"/>
    <n v="-3.8999999999999993E-2"/>
    <s v=""/>
    <x v="0"/>
  </r>
  <r>
    <x v="14"/>
    <s v="23"/>
    <s v="01 - Administration"/>
    <s v="01"/>
    <s v="Supplies - Supplies"/>
    <s v="4690-000"/>
    <s v="Other misc Supplies"/>
    <n v="5000"/>
    <n v="5173.2700000000004"/>
    <n v="5000"/>
    <n v="5227.99"/>
    <n v="5000"/>
    <n v="4572.16"/>
    <n v="5400"/>
    <n v="5400"/>
    <n v="5400"/>
    <n v="5400"/>
    <n v="5400"/>
    <n v="0"/>
    <n v="0"/>
    <n v="0"/>
    <n v="3.4654000000000088E-2"/>
    <n v="4.5597999999999958E-2"/>
    <n v="-8.5568000000000033E-2"/>
    <n v="0"/>
    <n v="1.0577449079595564E-2"/>
    <n v="0"/>
    <n v="-0.12544591707329203"/>
    <n v="0.08"/>
    <n v="0.08"/>
    <n v="0"/>
    <n v="0"/>
    <n v="0"/>
    <n v="0"/>
    <n v="0.08"/>
    <n v="0.08"/>
    <n v="0.08"/>
    <n v="0.08"/>
    <x v="54"/>
    <n v="2.6666666666666668E-2"/>
    <n v="-2.6666666666666668E-2"/>
    <s v=""/>
    <x v="0"/>
    <n v="-3.8999999999999993E-2"/>
    <s v=""/>
    <x v="0"/>
  </r>
  <r>
    <x v="14"/>
    <s v="23"/>
    <s v="01 - Administration"/>
    <s v="01"/>
    <s v="Property - Property"/>
    <s v="4744-000"/>
    <s v="Capital leases Property"/>
    <n v="545929"/>
    <n v="519832.76"/>
    <n v="550929"/>
    <n v="511012.61"/>
    <n v="550929"/>
    <n v="486809.51"/>
    <n v="843059"/>
    <n v="843059"/>
    <n v="843059"/>
    <n v="843059"/>
    <n v="843059"/>
    <n v="0"/>
    <n v="0"/>
    <n v="0"/>
    <n v="-4.7801527304832662E-2"/>
    <n v="-7.2452875052865282E-2"/>
    <n v="-0.11638430723378147"/>
    <n v="9.1587001240088003E-3"/>
    <n v="-1.6967283862602316E-2"/>
    <n v="0"/>
    <n v="-4.7363019084793186E-2"/>
    <n v="0.53024981440439689"/>
    <n v="0.54426491356934692"/>
    <n v="0"/>
    <n v="0"/>
    <n v="0"/>
    <n v="0"/>
    <n v="0.54426491356934692"/>
    <n v="0.54426491356934692"/>
    <n v="0.54426491356934692"/>
    <n v="0.54426491356934692"/>
    <x v="67"/>
    <n v="0.17980283817613521"/>
    <n v="-0.17980283817613521"/>
    <s v=""/>
    <x v="0"/>
    <n v="-3.8999999999999993E-2"/>
    <s v=""/>
    <x v="0"/>
  </r>
  <r>
    <x v="14"/>
    <s v="23"/>
    <s v="01 - Administration"/>
    <s v="01"/>
    <s v="Property - Property"/>
    <s v="4890-000"/>
    <s v="Grant Expenses "/>
    <n v="0"/>
    <n v="412392.46"/>
    <n v="0"/>
    <n v="0"/>
    <n v="0"/>
    <n v="0"/>
    <n v="0"/>
    <m/>
    <m/>
    <m/>
    <m/>
    <n v="0"/>
    <n v="0"/>
    <s v=""/>
    <s v=""/>
    <s v=""/>
    <s v=""/>
    <s v=""/>
    <n v="-1"/>
    <s v=""/>
    <s v=""/>
    <s v=""/>
    <s v=""/>
    <s v=""/>
    <s v=""/>
    <s v=""/>
    <s v=""/>
    <s v=""/>
    <s v=""/>
    <s v=""/>
    <s v=""/>
    <x v="71"/>
    <n v="0"/>
    <n v="0"/>
    <s v=""/>
    <x v="0"/>
    <n v="-3.8999999999999993E-2"/>
    <s v=""/>
    <x v="0"/>
  </r>
  <r>
    <x v="14"/>
    <s v="23"/>
    <s v="02 - Station"/>
    <s v="02"/>
    <s v="PS property - Purchased services - property services"/>
    <s v="4410-000"/>
    <s v="Electric Services"/>
    <n v="55850"/>
    <n v="64312.22"/>
    <n v="61500"/>
    <n v="69773.45"/>
    <n v="71820"/>
    <n v="74910.100000000006"/>
    <n v="71820"/>
    <n v="74910"/>
    <n v="74910"/>
    <n v="74910"/>
    <n v="71820"/>
    <n v="3090"/>
    <n v="3090"/>
    <n v="4.3024227234753548E-2"/>
    <n v="0.15151692032229189"/>
    <n v="0.13452764227642272"/>
    <n v="4.3025619604567057E-2"/>
    <n v="0.10116383169203223"/>
    <n v="8.4917454256749278E-2"/>
    <n v="0.1678048780487805"/>
    <n v="7.3618976845777423E-2"/>
    <n v="0"/>
    <n v="0.28594449418084156"/>
    <n v="4.3024227234753548E-2"/>
    <n v="4.3024227234753548E-2"/>
    <n v="4.3024227234753548E-2"/>
    <n v="0"/>
    <n v="0.34127126230975829"/>
    <n v="0.34127126230975829"/>
    <n v="0.34127126230975829"/>
    <n v="0.28594449418084156"/>
    <x v="38"/>
    <n v="8.9656236580270901E-2"/>
    <n v="-4.6632009345517353E-2"/>
    <s v=""/>
    <x v="0"/>
    <n v="4.0242272347535551E-3"/>
    <n v="74620.98"/>
    <x v="37"/>
  </r>
  <r>
    <x v="14"/>
    <s v="23"/>
    <s v="02 - Station"/>
    <s v="02"/>
    <s v="PS property - Purchased services - property services"/>
    <s v="4411-000"/>
    <s v="Heat &amp; oil Services"/>
    <n v="31320"/>
    <n v="19062.89"/>
    <n v="31320"/>
    <n v="30496"/>
    <n v="20000"/>
    <n v="25932.68"/>
    <n v="20000"/>
    <n v="25933"/>
    <n v="25933"/>
    <n v="25933"/>
    <n v="20000"/>
    <n v="5933"/>
    <n v="5933"/>
    <n v="0.29665000000000002"/>
    <n v="-0.39135089399744571"/>
    <n v="-2.6309067688378034E-2"/>
    <n v="0.29663400000000001"/>
    <n v="0"/>
    <n v="0.59975743447084895"/>
    <n v="-0.36143039591315451"/>
    <n v="-0.14963667366211961"/>
    <n v="0"/>
    <n v="-0.36143039591315451"/>
    <n v="0.29665000000000002"/>
    <n v="0.29665000000000002"/>
    <n v="0.29665000000000002"/>
    <n v="0"/>
    <n v="-0.17199872286079182"/>
    <n v="-0.17199872286079182"/>
    <n v="-0.17199872286079182"/>
    <n v="-0.36143039591315451"/>
    <x v="39"/>
    <n v="-0.12047679863771817"/>
    <n v="0.41712679863771818"/>
    <n v="17590.464027245634"/>
    <x v="39"/>
    <n v="0.25765000000000005"/>
    <n v="20780"/>
    <x v="38"/>
  </r>
  <r>
    <x v="14"/>
    <s v="23"/>
    <s v="02 - Station"/>
    <s v="02"/>
    <s v="PS property - Purchased services - property services"/>
    <s v="4412-000"/>
    <s v="Water Services"/>
    <n v="12000"/>
    <n v="13155.64"/>
    <n v="12000"/>
    <n v="15224.63"/>
    <n v="12000"/>
    <n v="14930.9"/>
    <n v="12000"/>
    <n v="14263"/>
    <n v="14263"/>
    <n v="14263"/>
    <n v="12000"/>
    <n v="2263"/>
    <n v="2263"/>
    <n v="0.18858333333333333"/>
    <n v="9.6303333333333282E-2"/>
    <n v="0.26871916666666662"/>
    <n v="0.24424166666666663"/>
    <n v="0"/>
    <n v="0.15727018981972749"/>
    <n v="0"/>
    <n v="-1.9293079700459032E-2"/>
    <n v="0"/>
    <n v="0"/>
    <n v="0.18858333333333333"/>
    <n v="0.18858333333333333"/>
    <n v="0.18858333333333333"/>
    <n v="0"/>
    <n v="0.18858333333333333"/>
    <n v="0.18858333333333333"/>
    <n v="0.18858333333333333"/>
    <n v="0"/>
    <x v="40"/>
    <n v="0"/>
    <n v="0.18858333333333333"/>
    <n v="12000"/>
    <x v="40"/>
    <n v="0.14958333333333335"/>
    <n v="12467.999999999998"/>
    <x v="39"/>
  </r>
  <r>
    <x v="14"/>
    <s v="23"/>
    <s v="02 - Station"/>
    <s v="02"/>
    <s v="PS property - Purchased services - property services"/>
    <s v="4430-000"/>
    <s v="Repairs &amp; maint Service"/>
    <n v="24700"/>
    <n v="32454.54"/>
    <n v="41700"/>
    <n v="53212.65"/>
    <n v="43150"/>
    <n v="136607.35"/>
    <n v="46150"/>
    <n v="46150"/>
    <n v="46150"/>
    <n v="46150"/>
    <n v="46150"/>
    <n v="0"/>
    <n v="0"/>
    <n v="0"/>
    <n v="0.31394898785425107"/>
    <n v="0.27608273381294968"/>
    <n v="2.1658713789107766"/>
    <n v="0.68825910931174084"/>
    <n v="0.63960573774886353"/>
    <n v="3.4772182254196642E-2"/>
    <n v="1.5671968977301451"/>
    <n v="6.9524913093858637E-2"/>
    <n v="0.86842105263157898"/>
    <n v="0"/>
    <n v="0"/>
    <n v="0"/>
    <n v="0"/>
    <n v="0.86842105263157898"/>
    <n v="0.86842105263157898"/>
    <n v="0.86842105263157898"/>
    <n v="0.86842105263157898"/>
    <x v="35"/>
    <n v="0.26418540155326536"/>
    <n v="-0.26418540155326536"/>
    <s v=""/>
    <x v="0"/>
    <n v="-3.8999999999999993E-2"/>
    <s v=""/>
    <x v="0"/>
  </r>
  <r>
    <x v="14"/>
    <s v="23"/>
    <s v="02 - Station"/>
    <s v="02"/>
    <s v="Supplies - Supplies"/>
    <s v="4610-000"/>
    <s v="General expenses Supplies"/>
    <n v="15000"/>
    <n v="14522.61"/>
    <n v="15000"/>
    <n v="14638.52"/>
    <n v="15000"/>
    <n v="21844.41"/>
    <n v="16500"/>
    <n v="22000"/>
    <n v="22000"/>
    <n v="22000"/>
    <n v="16500"/>
    <n v="5500"/>
    <n v="5500"/>
    <n v="0.33333333333333331"/>
    <n v="-3.1825999999999958E-2"/>
    <n v="-2.4098666666666636E-2"/>
    <n v="0.45629399999999998"/>
    <n v="0"/>
    <n v="7.9813477054055601E-3"/>
    <n v="0"/>
    <n v="0.4922553646133625"/>
    <n v="0.1"/>
    <n v="0.1"/>
    <n v="0.33333333333333331"/>
    <n v="0.33333333333333331"/>
    <n v="0.33333333333333331"/>
    <n v="0"/>
    <n v="0.46666666666666667"/>
    <n v="0.46666666666666667"/>
    <n v="0.46666666666666667"/>
    <n v="0.1"/>
    <x v="8"/>
    <n v="3.3333333333333333E-2"/>
    <n v="0.3"/>
    <n v="17050"/>
    <x v="41"/>
    <n v="0.29433333333333334"/>
    <n v="17143.5"/>
    <x v="40"/>
  </r>
  <r>
    <x v="14"/>
    <s v="23"/>
    <s v="02 - Station"/>
    <s v="02"/>
    <s v="Property - Property"/>
    <s v="4740-000"/>
    <s v="Mach &amp; equip Property"/>
    <n v="1000"/>
    <n v="4915.21"/>
    <n v="4000"/>
    <n v="7782.89"/>
    <n v="4000"/>
    <n v="72250.92"/>
    <n v="7400"/>
    <n v="7400"/>
    <n v="7400"/>
    <n v="7400"/>
    <n v="7400"/>
    <n v="0"/>
    <n v="0"/>
    <n v="0"/>
    <n v="3.9152100000000001"/>
    <n v="0.94572250000000013"/>
    <n v="17.062729999999998"/>
    <n v="3"/>
    <n v="0.58342980259236132"/>
    <n v="0"/>
    <n v="8.2833022180706646"/>
    <n v="0.85"/>
    <n v="6.4"/>
    <n v="0"/>
    <n v="0"/>
    <n v="0"/>
    <n v="0"/>
    <n v="6.4"/>
    <n v="6.4"/>
    <n v="6.4"/>
    <n v="6.4"/>
    <x v="26"/>
    <n v="1.2833333333333334"/>
    <n v="-1.2833333333333334"/>
    <s v=""/>
    <x v="0"/>
    <n v="-3.8999999999999993E-2"/>
    <s v=""/>
    <x v="0"/>
  </r>
  <r>
    <x v="14"/>
    <s v="23"/>
    <s v="22 - Fire Fighting"/>
    <s v="22"/>
    <s v="PS Salaries - Personnel services - salaries"/>
    <s v="4110-000"/>
    <s v="Regular Salaries"/>
    <n v="2816657"/>
    <n v="2542157.2599999998"/>
    <n v="2821057"/>
    <n v="2701603.93"/>
    <n v="3156851"/>
    <n v="2985862.7"/>
    <n v="3312812"/>
    <n v="3383953"/>
    <n v="3383953"/>
    <n v="3383953"/>
    <n v="3383953"/>
    <n v="71141"/>
    <n v="0"/>
    <n v="2.1474505646562496E-2"/>
    <n v="-9.7455863457993008E-2"/>
    <n v="-4.234337342350751E-2"/>
    <n v="-5.4164197169901215E-2"/>
    <n v="1.5621355386900143E-3"/>
    <n v="6.2721009635729782E-2"/>
    <n v="0.11903127090306931"/>
    <n v="0.10521852105834033"/>
    <n v="4.9403978838405742E-2"/>
    <n v="0.17615030868153275"/>
    <n v="2.1474505646562496E-2"/>
    <n v="2.1474505646562496E-2"/>
    <n v="2.1474505646562496E-2"/>
    <n v="2.1474505646562496E-2"/>
    <n v="0.20140755512652056"/>
    <n v="0.20140755512652056"/>
    <n v="0.20140755512652056"/>
    <n v="0.20140755512652056"/>
    <x v="10"/>
    <n v="5.6665795093388351E-2"/>
    <n v="-3.5191289446825855E-2"/>
    <s v=""/>
    <x v="0"/>
    <n v="-1.7525494353437497E-2"/>
    <s v=""/>
    <x v="0"/>
  </r>
  <r>
    <x v="14"/>
    <s v="23"/>
    <s v="22 - Fire Fighting"/>
    <s v="22"/>
    <s v="PS Salaries - Personnel services - salaries"/>
    <s v="4120-000"/>
    <s v="Part-time Salaries"/>
    <n v="20000"/>
    <n v="2566.5"/>
    <n v="20000"/>
    <n v="4106.3"/>
    <n v="20000"/>
    <n v="34.380000000000003"/>
    <n v="20000"/>
    <n v="20000"/>
    <n v="20000"/>
    <n v="20000"/>
    <n v="20000"/>
    <n v="0"/>
    <n v="0"/>
    <n v="0"/>
    <n v="-0.87167499999999998"/>
    <n v="-0.79468500000000009"/>
    <n v="-0.99828099999999997"/>
    <n v="0"/>
    <n v="0.59996103643093712"/>
    <n v="0"/>
    <n v="-0.99162749920853321"/>
    <n v="0"/>
    <n v="0"/>
    <n v="0"/>
    <n v="0"/>
    <n v="0"/>
    <n v="0"/>
    <n v="0"/>
    <n v="0"/>
    <n v="0"/>
    <n v="0"/>
    <x v="11"/>
    <n v="0"/>
    <n v="0"/>
    <s v=""/>
    <x v="0"/>
    <n v="-3.8999999999999993E-2"/>
    <s v=""/>
    <x v="0"/>
  </r>
  <r>
    <x v="14"/>
    <s v="23"/>
    <s v="22 - Fire Fighting"/>
    <s v="22"/>
    <s v="PS Salaries - Personnel services - salaries"/>
    <s v="4140-000"/>
    <s v="Overtime Salaries"/>
    <n v="676177"/>
    <n v="1056477.3400000001"/>
    <n v="723316"/>
    <n v="982088.02"/>
    <n v="845286"/>
    <n v="817401.21"/>
    <n v="1338816"/>
    <n v="1371488"/>
    <n v="1371488"/>
    <n v="1371488"/>
    <n v="1338816"/>
    <n v="32672"/>
    <n v="32672"/>
    <n v="2.4403652182226683E-2"/>
    <n v="0.56242720471119256"/>
    <n v="0.35775790940612406"/>
    <n v="-3.2988586111682955E-2"/>
    <n v="6.971399500426663E-2"/>
    <n v="-7.0412603454419631E-2"/>
    <n v="0.16862616062689059"/>
    <n v="-0.16769047849702928"/>
    <n v="0.5838615569168305"/>
    <n v="0.97997861506676509"/>
    <n v="2.4403652182226683E-2"/>
    <n v="2.4403652182226683E-2"/>
    <n v="2.4403652182226683E-2"/>
    <n v="0"/>
    <n v="1.0282973245171012"/>
    <n v="1.0282973245171012"/>
    <n v="1.0282973245171012"/>
    <n v="0.97997861506676509"/>
    <x v="12"/>
    <n v="0.27406723751599588"/>
    <n v="-0.2496635853337692"/>
    <s v=""/>
    <x v="0"/>
    <n v="-1.459634781777331E-2"/>
    <s v=""/>
    <x v="0"/>
  </r>
  <r>
    <x v="14"/>
    <s v="23"/>
    <s v="22 - Fire Fighting"/>
    <s v="22"/>
    <s v="PS Salaries - Personnel services - salaries"/>
    <s v="4151-000"/>
    <s v="Contractually Mandated Training Overtime"/>
    <n v="0"/>
    <n v="0"/>
    <n v="0"/>
    <n v="0"/>
    <n v="0"/>
    <n v="0"/>
    <n v="46480"/>
    <n v="61513"/>
    <n v="61513"/>
    <n v="61513"/>
    <n v="61513"/>
    <n v="15033"/>
    <n v="0"/>
    <n v="0.32342943201376934"/>
    <s v=""/>
    <s v=""/>
    <s v=""/>
    <s v=""/>
    <s v=""/>
    <s v=""/>
    <s v=""/>
    <s v=""/>
    <s v=""/>
    <n v="0.32342943201376934"/>
    <n v="0.32342943201376934"/>
    <n v="0.32342943201376934"/>
    <n v="0.32342943201376934"/>
    <s v=""/>
    <s v=""/>
    <s v=""/>
    <s v=""/>
    <x v="55"/>
    <n v="0"/>
    <n v="0.32342943201376934"/>
    <s v=""/>
    <x v="0"/>
    <n v="0.28442943201376936"/>
    <s v=""/>
    <x v="0"/>
  </r>
  <r>
    <x v="14"/>
    <s v="23"/>
    <s v="22 - Fire Fighting"/>
    <s v="22"/>
    <s v="PS Salaries - Personnel services - salaries"/>
    <s v="4152-000"/>
    <s v="Concurrent Duty Overtime"/>
    <n v="0"/>
    <n v="0"/>
    <n v="0"/>
    <n v="0"/>
    <n v="0"/>
    <n v="0"/>
    <n v="10752"/>
    <n v="11235"/>
    <n v="11235"/>
    <n v="11235"/>
    <n v="10752"/>
    <n v="483"/>
    <n v="483"/>
    <n v="4.4921875E-2"/>
    <s v=""/>
    <s v=""/>
    <s v=""/>
    <s v=""/>
    <s v=""/>
    <s v=""/>
    <s v=""/>
    <s v=""/>
    <s v=""/>
    <n v="4.4921875E-2"/>
    <n v="4.4921875E-2"/>
    <n v="4.4921875E-2"/>
    <n v="0"/>
    <s v=""/>
    <s v=""/>
    <s v=""/>
    <s v=""/>
    <x v="72"/>
    <n v="0"/>
    <n v="4.4921875E-2"/>
    <s v=""/>
    <x v="0"/>
    <n v="5.921875000000007E-3"/>
    <s v=""/>
    <x v="0"/>
  </r>
  <r>
    <x v="14"/>
    <s v="23"/>
    <s v="22 - Fire Fighting"/>
    <s v="22"/>
    <s v="PS Salaries - Personnel services - salaries"/>
    <s v="4193-000"/>
    <s v="Holiday Salaries"/>
    <n v="138155"/>
    <n v="112953.19"/>
    <n v="139422"/>
    <n v="108930.75"/>
    <n v="145046"/>
    <n v="136709.04"/>
    <n v="163149"/>
    <n v="166652"/>
    <n v="166652"/>
    <n v="166652"/>
    <n v="166652"/>
    <n v="3503"/>
    <n v="0"/>
    <n v="2.147117052510282E-2"/>
    <n v="-0.18241692302124424"/>
    <n v="-0.21869755131901708"/>
    <n v="-5.7478041448919596E-2"/>
    <n v="9.1708588179942822E-3"/>
    <n v="-3.5611566171792071E-2"/>
    <n v="4.0337966748432819E-2"/>
    <n v="0.25500870966187239"/>
    <n v="0.12480868138383686"/>
    <n v="0.18091274293366147"/>
    <n v="2.147117052510282E-2"/>
    <n v="2.147117052510282E-2"/>
    <n v="2.147117052510282E-2"/>
    <n v="2.147117052510282E-2"/>
    <n v="0.20626832181245702"/>
    <n v="0.20626832181245702"/>
    <n v="0.20626832181245702"/>
    <n v="0.20626832181245702"/>
    <x v="60"/>
    <n v="5.8105835650087985E-2"/>
    <n v="-3.6634665124985165E-2"/>
    <s v=""/>
    <x v="0"/>
    <n v="-1.7528829474897173E-2"/>
    <s v=""/>
    <x v="0"/>
  </r>
  <r>
    <x v="14"/>
    <s v="23"/>
    <s v="22 - Fire Fighting"/>
    <s v="22"/>
    <s v="PS Benefits - Personnel services - benefits"/>
    <s v="4215-000"/>
    <s v="Life Ins Benefits"/>
    <n v="0"/>
    <n v="0"/>
    <n v="0"/>
    <n v="0"/>
    <n v="0"/>
    <n v="0"/>
    <n v="0"/>
    <n v="0"/>
    <n v="0"/>
    <n v="0"/>
    <n v="0"/>
    <n v="0"/>
    <n v="0"/>
    <s v=""/>
    <s v=""/>
    <s v=""/>
    <s v=""/>
    <s v=""/>
    <s v=""/>
    <s v=""/>
    <s v=""/>
    <s v=""/>
    <s v=""/>
    <s v=""/>
    <s v=""/>
    <s v=""/>
    <s v=""/>
    <s v=""/>
    <s v=""/>
    <s v=""/>
    <s v=""/>
    <x v="61"/>
    <n v="0"/>
    <n v="0"/>
    <s v=""/>
    <x v="0"/>
    <n v="-3.8999999999999993E-2"/>
    <s v=""/>
    <x v="0"/>
  </r>
  <r>
    <x v="14"/>
    <s v="23"/>
    <s v="22 - Fire Fighting"/>
    <s v="22"/>
    <s v="PS Benefits - Personnel services - benefits"/>
    <s v="4220-000"/>
    <s v="FICA Benefits"/>
    <n v="1240"/>
    <n v="214.85"/>
    <n v="1240"/>
    <n v="410.76"/>
    <n v="1240"/>
    <n v="112.37"/>
    <n v="1240"/>
    <n v="1240"/>
    <n v="1240"/>
    <n v="1240"/>
    <n v="1240"/>
    <n v="0"/>
    <n v="0"/>
    <n v="0"/>
    <n v="-0.82673387096774198"/>
    <n v="-0.66874193548387095"/>
    <n v="-0.9093790322580646"/>
    <n v="0"/>
    <n v="0.91184547358622292"/>
    <n v="0"/>
    <n v="-0.72643392735417278"/>
    <n v="0"/>
    <n v="0"/>
    <n v="0"/>
    <n v="0"/>
    <n v="0"/>
    <n v="0"/>
    <n v="0"/>
    <n v="0"/>
    <n v="0"/>
    <n v="0"/>
    <x v="1"/>
    <n v="0"/>
    <n v="0"/>
    <s v=""/>
    <x v="0"/>
    <n v="-3.8999999999999993E-2"/>
    <s v=""/>
    <x v="0"/>
  </r>
  <r>
    <x v="14"/>
    <s v="23"/>
    <s v="22 - Fire Fighting"/>
    <s v="22"/>
    <s v="PS Benefits - Personnel services - benefits"/>
    <s v="4225-000"/>
    <s v="Medicare Benefits"/>
    <n v="52940"/>
    <n v="53367.93"/>
    <n v="53706"/>
    <n v="54437.77"/>
    <n v="59989"/>
    <n v="56383.32"/>
    <n v="70934"/>
    <n v="72716"/>
    <n v="72716"/>
    <n v="72716"/>
    <n v="72235"/>
    <n v="1782"/>
    <n v="481"/>
    <n v="2.512194434262836E-2"/>
    <n v="8.0833018511522539E-3"/>
    <n v="1.3625479462257416E-2"/>
    <n v="-6.0105686042441119E-2"/>
    <n v="1.4469210426898376E-2"/>
    <n v="2.0046496088568483E-2"/>
    <n v="0.11698879082411649"/>
    <n v="3.5738973143095376E-2"/>
    <n v="0.18245011585457332"/>
    <n v="0.33989421987155272"/>
    <n v="2.512194434262836E-2"/>
    <n v="2.512194434262836E-2"/>
    <n v="2.512194434262836E-2"/>
    <n v="1.834099303577974E-2"/>
    <n v="0.37355496788817527"/>
    <n v="0.37355496788817527"/>
    <n v="0.37355496788817527"/>
    <n v="0.36446921042689839"/>
    <x v="2"/>
    <n v="0.10463603903519607"/>
    <n v="-7.9514094692567705E-2"/>
    <s v=""/>
    <x v="0"/>
    <n v="-1.3878055657371633E-2"/>
    <s v=""/>
    <x v="0"/>
  </r>
  <r>
    <x v="14"/>
    <s v="23"/>
    <s v="22 - Fire Fighting"/>
    <s v="22"/>
    <s v="PS Benefits - Personnel services - benefits"/>
    <s v="4230-000"/>
    <s v="Retirement Benefits"/>
    <n v="1197863"/>
    <n v="1207704.29"/>
    <n v="1118032"/>
    <n v="1149345.95"/>
    <n v="1249568"/>
    <n v="1190265.57"/>
    <n v="1420191"/>
    <n v="1455996"/>
    <n v="1455996"/>
    <n v="1455996"/>
    <n v="1446332"/>
    <n v="35805"/>
    <n v="9664"/>
    <n v="2.5211397621869171E-2"/>
    <n v="8.2157058027504289E-3"/>
    <n v="2.8008098158192211E-2"/>
    <n v="-4.7458345604240774E-2"/>
    <n v="-6.6644516109104296E-2"/>
    <n v="-4.8321712925272528E-2"/>
    <n v="0.11764958426950213"/>
    <n v="3.5602526811009436E-2"/>
    <n v="0.13654559015595791"/>
    <n v="0.18560386287914393"/>
    <n v="2.5211397621869171E-2"/>
    <n v="2.5211397621869171E-2"/>
    <n v="2.5211397621869171E-2"/>
    <n v="1.8406679101613796E-2"/>
    <n v="0.2154945932882141"/>
    <n v="0.2154945932882141"/>
    <n v="0.2154945932882141"/>
    <n v="0.20742689272479406"/>
    <x v="14"/>
    <n v="6.2516886105451919E-2"/>
    <n v="-3.7305488483582748E-2"/>
    <s v=""/>
    <x v="0"/>
    <n v="-1.3788602378130822E-2"/>
    <s v=""/>
    <x v="0"/>
  </r>
  <r>
    <x v="14"/>
    <s v="23"/>
    <s v="22 - Fire Fighting"/>
    <s v="22"/>
    <s v="PS Benefits - Personnel services - benefits"/>
    <s v="4240-000"/>
    <s v="Tuition reimbursement Benefits"/>
    <n v="15000"/>
    <n v="13351"/>
    <n v="15000"/>
    <n v="0"/>
    <n v="15000"/>
    <n v="0"/>
    <n v="15000"/>
    <n v="15000"/>
    <n v="15000"/>
    <n v="15000"/>
    <n v="15000"/>
    <n v="0"/>
    <n v="0"/>
    <n v="0"/>
    <n v="-0.10993333333333333"/>
    <n v="-1"/>
    <n v="-1"/>
    <n v="0"/>
    <n v="-1"/>
    <n v="0"/>
    <s v=""/>
    <n v="0"/>
    <n v="0"/>
    <n v="0"/>
    <n v="0"/>
    <n v="0"/>
    <n v="0"/>
    <n v="0"/>
    <n v="0"/>
    <n v="0"/>
    <n v="0"/>
    <x v="21"/>
    <n v="0"/>
    <n v="0"/>
    <s v=""/>
    <x v="0"/>
    <n v="-3.8999999999999993E-2"/>
    <s v=""/>
    <x v="0"/>
  </r>
  <r>
    <x v="14"/>
    <s v="23"/>
    <s v="22 - Fire Fighting"/>
    <s v="22"/>
    <s v="PS Benefits - Personnel services - benefits"/>
    <s v="4260-000"/>
    <s v="Workers' comp Benefits"/>
    <n v="147869"/>
    <n v="140951.28"/>
    <n v="156595"/>
    <n v="166632.97"/>
    <n v="186989"/>
    <n v="186988.87"/>
    <n v="220933"/>
    <n v="217643"/>
    <n v="217643"/>
    <n v="217643"/>
    <n v="217643"/>
    <n v="-3290"/>
    <n v="0"/>
    <n v="-1.4891392413084509E-2"/>
    <n v="-4.6782760416314448E-2"/>
    <n v="6.4101471949934555E-2"/>
    <n v="-6.9522806156863034E-7"/>
    <n v="5.9011692782124717E-2"/>
    <n v="0.18220260220410914"/>
    <n v="0.19409304256202306"/>
    <n v="0.12216009832868005"/>
    <n v="0.18152939477723287"/>
    <n v="0.49411303248145316"/>
    <n v="-1.4891392413084509E-2"/>
    <n v="-1.4891392413084509E-2"/>
    <n v="-1.4891392413084509E-2"/>
    <n v="-1.4891392413084509E-2"/>
    <n v="0.47186360900526819"/>
    <n v="0.47186360900526819"/>
    <n v="0.47186360900526819"/>
    <n v="0.47186360900526819"/>
    <x v="3"/>
    <n v="0.14487804337379354"/>
    <n v="-0.15976943578687805"/>
    <s v=""/>
    <x v="0"/>
    <n v="-5.38913924130845E-2"/>
    <s v=""/>
    <x v="0"/>
  </r>
  <r>
    <x v="14"/>
    <s v="23"/>
    <s v="22 - Fire Fighting"/>
    <s v="22"/>
    <s v="PS prof - Purchased services - professional &amp; technical"/>
    <s v="4241-000"/>
    <s v="Training Benefits"/>
    <n v="50000"/>
    <n v="73590.05"/>
    <n v="80000"/>
    <n v="46237.55"/>
    <n v="100000"/>
    <n v="98589.69"/>
    <n v="100000"/>
    <n v="140000"/>
    <n v="140000"/>
    <n v="140000"/>
    <n v="100000"/>
    <n v="40000"/>
    <n v="40000"/>
    <n v="0.4"/>
    <n v="0.47180100000000008"/>
    <n v="-0.42203062499999994"/>
    <n v="-1.4103099999999976E-2"/>
    <n v="0.6"/>
    <n v="-0.37168747677165592"/>
    <n v="0.25"/>
    <n v="1.1322429497237634"/>
    <n v="0"/>
    <n v="1"/>
    <n v="0.4"/>
    <n v="0.4"/>
    <n v="0.4"/>
    <n v="0"/>
    <n v="1.8"/>
    <n v="1.8"/>
    <n v="1.8"/>
    <n v="1"/>
    <x v="30"/>
    <n v="0.28333333333333333"/>
    <n v="0.1166666666666667"/>
    <s v=""/>
    <x v="0"/>
    <n v="0.36100000000000004"/>
    <s v=""/>
    <x v="0"/>
  </r>
  <r>
    <x v="14"/>
    <s v="23"/>
    <s v="22 - Fire Fighting"/>
    <s v="22"/>
    <s v="PS prof - Purchased services - professional &amp; technical"/>
    <s v="4290-000"/>
    <s v="Uniforms &amp; cleaning Benefits"/>
    <n v="37800"/>
    <n v="40384.160000000003"/>
    <n v="37800"/>
    <n v="39653.89"/>
    <n v="41000"/>
    <n v="41669.15"/>
    <n v="42500"/>
    <n v="42500"/>
    <n v="42500"/>
    <n v="42500"/>
    <n v="42500"/>
    <n v="0"/>
    <n v="0"/>
    <n v="0"/>
    <n v="6.8364021164021252E-2"/>
    <n v="4.9044708994708981E-2"/>
    <n v="1.6320731707317109E-2"/>
    <n v="0"/>
    <n v="-1.8083080098731878E-2"/>
    <n v="8.4656084656084651E-2"/>
    <n v="5.0821243514822936E-2"/>
    <n v="3.6585365853658534E-2"/>
    <n v="0.12433862433862433"/>
    <n v="0"/>
    <n v="0"/>
    <n v="0"/>
    <n v="0"/>
    <n v="0.12433862433862433"/>
    <n v="0.12433862433862433"/>
    <n v="0.12433862433862433"/>
    <n v="0.12433862433862433"/>
    <x v="57"/>
    <n v="4.0413816836581067E-2"/>
    <n v="-4.0413816836581067E-2"/>
    <s v=""/>
    <x v="0"/>
    <n v="-3.8999999999999993E-2"/>
    <s v=""/>
    <x v="0"/>
  </r>
  <r>
    <x v="14"/>
    <s v="23"/>
    <s v="22 - Fire Fighting"/>
    <s v="22"/>
    <s v="PS prof - Purchased services - professional &amp; technical"/>
    <s v="4330-000"/>
    <s v="MGMT services Services"/>
    <n v="40000"/>
    <n v="39930.54"/>
    <n v="41600"/>
    <n v="42703.18"/>
    <n v="41600"/>
    <n v="49384.71"/>
    <n v="41600"/>
    <n v="43000"/>
    <n v="43000"/>
    <n v="43000"/>
    <n v="41600"/>
    <n v="1400"/>
    <n v="1400"/>
    <n v="3.3653846153846152E-2"/>
    <n v="-1.7364999999999781E-3"/>
    <n v="2.6518750000000008E-2"/>
    <n v="0.1871324519230769"/>
    <n v="0.04"/>
    <n v="6.9436576615292442E-2"/>
    <n v="0"/>
    <n v="0.15646446002382022"/>
    <n v="0"/>
    <n v="0.04"/>
    <n v="3.3653846153846152E-2"/>
    <n v="3.3653846153846152E-2"/>
    <n v="3.3653846153846152E-2"/>
    <n v="0"/>
    <n v="7.4999999999999997E-2"/>
    <n v="7.4999999999999997E-2"/>
    <n v="7.4999999999999997E-2"/>
    <n v="0.04"/>
    <x v="7"/>
    <n v="1.3333333333333334E-2"/>
    <n v="2.0320512820512816E-2"/>
    <n v="42154.666666666672"/>
    <x v="42"/>
    <n v="-5.3461538461538408E-3"/>
    <s v=""/>
    <x v="0"/>
  </r>
  <r>
    <x v="14"/>
    <s v="23"/>
    <s v="22 - Fire Fighting"/>
    <s v="22"/>
    <s v="Supplies - Supplies"/>
    <s v="4610-000"/>
    <s v="General expenses Supplies"/>
    <n v="25000"/>
    <n v="31973.65"/>
    <n v="25000"/>
    <n v="114747.98"/>
    <n v="25000"/>
    <n v="40141.75"/>
    <n v="30000"/>
    <n v="35000"/>
    <n v="35000"/>
    <n v="35000"/>
    <n v="30000"/>
    <n v="5000"/>
    <n v="5000"/>
    <n v="0.16666666666666666"/>
    <n v="0.27894600000000008"/>
    <n v="3.5899191999999998"/>
    <n v="0.60567000000000004"/>
    <n v="0"/>
    <n v="2.5888295518340878"/>
    <n v="0"/>
    <n v="-0.65017466974146298"/>
    <n v="0.2"/>
    <n v="0.2"/>
    <n v="0.16666666666666666"/>
    <n v="0.16666666666666666"/>
    <n v="0.16666666666666666"/>
    <n v="0"/>
    <n v="0.4"/>
    <n v="0.4"/>
    <n v="0.4"/>
    <n v="0.2"/>
    <x v="8"/>
    <n v="6.6666666666666666E-2"/>
    <n v="9.9999999999999992E-2"/>
    <n v="32000"/>
    <x v="43"/>
    <n v="0.12766666666666665"/>
    <n v="31169.999999999996"/>
    <x v="41"/>
  </r>
  <r>
    <x v="14"/>
    <s v="23"/>
    <s v="22 - Fire Fighting"/>
    <s v="22"/>
    <s v="Supplies - Supplies"/>
    <s v="4630-000"/>
    <s v="Maint &amp; repairs Supplies"/>
    <n v="21000"/>
    <n v="22818.97"/>
    <n v="26200"/>
    <n v="27250.52"/>
    <n v="26200"/>
    <n v="28084.12"/>
    <n v="31200"/>
    <n v="31200"/>
    <n v="31200"/>
    <n v="31200"/>
    <n v="31200"/>
    <n v="0"/>
    <n v="0"/>
    <n v="0"/>
    <n v="8.661761904761911E-2"/>
    <n v="4.0096183206106889E-2"/>
    <n v="7.1912977099236608E-2"/>
    <n v="0.24761904761904763"/>
    <n v="0.19420464639727381"/>
    <n v="0"/>
    <n v="3.0590241947676542E-2"/>
    <n v="0.19083969465648856"/>
    <n v="0.48571428571428571"/>
    <n v="0"/>
    <n v="0"/>
    <n v="0"/>
    <n v="0"/>
    <n v="0.48571428571428571"/>
    <n v="0.48571428571428571"/>
    <n v="0.48571428571428571"/>
    <n v="0.48571428571428571"/>
    <x v="32"/>
    <n v="0.14615291409184539"/>
    <n v="-0.14615291409184539"/>
    <s v=""/>
    <x v="0"/>
    <n v="-3.8999999999999993E-2"/>
    <s v=""/>
    <x v="0"/>
  </r>
  <r>
    <x v="14"/>
    <s v="23"/>
    <s v="22 - Fire Fighting"/>
    <s v="22"/>
    <s v="Supplies - Supplies"/>
    <s v="4660-000"/>
    <s v="Vehicle repairs Supplies"/>
    <n v="14000"/>
    <n v="34337.81"/>
    <n v="20000"/>
    <n v="33026.410000000003"/>
    <n v="20000"/>
    <n v="27606.16"/>
    <n v="20000"/>
    <n v="45000"/>
    <n v="45000"/>
    <n v="45000"/>
    <n v="20000"/>
    <n v="25000"/>
    <n v="25000"/>
    <n v="1.25"/>
    <n v="1.452700714285714"/>
    <n v="0.65132050000000019"/>
    <n v="0.38030799999999998"/>
    <n v="0.42857142857142855"/>
    <n v="-3.8191136825557435E-2"/>
    <n v="0"/>
    <n v="-0.16411865534279999"/>
    <n v="0"/>
    <n v="0.42857142857142855"/>
    <n v="1.25"/>
    <n v="1.25"/>
    <n v="1.25"/>
    <n v="0"/>
    <n v="2.2142857142857144"/>
    <n v="2.2142857142857144"/>
    <n v="2.2142857142857144"/>
    <n v="0.42857142857142855"/>
    <x v="43"/>
    <n v="0.14285714285714285"/>
    <n v="1.1071428571428572"/>
    <n v="22857.142857142855"/>
    <x v="44"/>
    <n v="1.2110000000000001"/>
    <n v="20780"/>
    <x v="42"/>
  </r>
  <r>
    <x v="14"/>
    <s v="23"/>
    <s v="22 - Fire Fighting"/>
    <s v="22"/>
    <s v="Supplies - Supplies"/>
    <s v="4680-000"/>
    <s v="Dept. expense Supplies"/>
    <n v="15000"/>
    <n v="30821.48"/>
    <n v="15000"/>
    <n v="19432.919999999998"/>
    <n v="15000"/>
    <n v="59575.31"/>
    <n v="22000"/>
    <n v="30000"/>
    <n v="30000"/>
    <n v="30000"/>
    <n v="22000"/>
    <n v="8000"/>
    <n v="8000"/>
    <n v="0.36363636363636365"/>
    <n v="1.0547653333333333"/>
    <n v="0.2955279999999999"/>
    <n v="2.9716873333333331"/>
    <n v="0"/>
    <n v="-0.36950075077510885"/>
    <n v="0"/>
    <n v="2.0656900764270119"/>
    <n v="0.46666666666666667"/>
    <n v="0.46666666666666667"/>
    <n v="0.36363636363636365"/>
    <n v="0.36363636363636365"/>
    <n v="0.36363636363636365"/>
    <n v="0"/>
    <n v="1"/>
    <n v="1"/>
    <n v="1"/>
    <n v="0.46666666666666667"/>
    <x v="9"/>
    <n v="0.15555555555555556"/>
    <n v="0.20808080808080809"/>
    <n v="25422.222222222219"/>
    <x v="45"/>
    <n v="0.32463636363636367"/>
    <n v="22858"/>
    <x v="43"/>
  </r>
  <r>
    <x v="14"/>
    <s v="23"/>
    <s v="23 - Fire Prevention"/>
    <s v="23"/>
    <s v="PS Salaries - Personnel services - salaries"/>
    <s v="4110-000"/>
    <s v="Regular Salaries"/>
    <n v="102320"/>
    <n v="100634.34"/>
    <n v="102435"/>
    <n v="102439.18"/>
    <n v="106476"/>
    <n v="101275.98"/>
    <n v="107233"/>
    <n v="114422"/>
    <n v="114422"/>
    <n v="114422"/>
    <n v="114422"/>
    <n v="7189"/>
    <n v="0"/>
    <n v="6.7040929564592983E-2"/>
    <n v="-1.6474394057857736E-2"/>
    <n v="4.0806365011890615E-5"/>
    <n v="-4.8837484503550133E-2"/>
    <n v="1.1239249413604378E-3"/>
    <n v="1.7934633446197359E-2"/>
    <n v="3.9449406940986968E-2"/>
    <n v="-1.1355030370215744E-2"/>
    <n v="7.1095833802922725E-3"/>
    <n v="4.8016028146989839E-2"/>
    <n v="6.7040929564592983E-2"/>
    <n v="6.7040929564592983E-2"/>
    <n v="6.7040929564592983E-2"/>
    <n v="6.7040929564592983E-2"/>
    <n v="0.11827599687255669"/>
    <n v="0.11827599687255669"/>
    <n v="0.11827599687255669"/>
    <n v="0.11827599687255669"/>
    <x v="10"/>
    <n v="1.5894305087546561E-2"/>
    <n v="5.1146624477046418E-2"/>
    <s v=""/>
    <x v="0"/>
    <n v="2.804092956459299E-2"/>
    <s v=""/>
    <x v="0"/>
  </r>
  <r>
    <x v="14"/>
    <s v="23"/>
    <s v="23 - Fire Prevention"/>
    <s v="23"/>
    <s v="PS Salaries - Personnel services - salaries"/>
    <s v="4140-000"/>
    <s v="Overtime Salaries"/>
    <n v="2951"/>
    <n v="7527.7"/>
    <n v="3418"/>
    <n v="6636.53"/>
    <n v="4411"/>
    <n v="4756.26"/>
    <n v="6545"/>
    <n v="6545"/>
    <n v="6545"/>
    <n v="6545"/>
    <n v="6545"/>
    <n v="0"/>
    <n v="0"/>
    <n v="0"/>
    <n v="1.5508980006777362"/>
    <n v="0.94164131070801627"/>
    <n v="7.8272500566764949E-2"/>
    <n v="0.15825144018976617"/>
    <n v="-0.11838542981255896"/>
    <n v="0.29052077238150964"/>
    <n v="-0.28332125372747496"/>
    <n v="0.48379052369077308"/>
    <n v="1.2178922399186716"/>
    <n v="0"/>
    <n v="0"/>
    <n v="0"/>
    <n v="0"/>
    <n v="1.2178922399186716"/>
    <n v="1.2178922399186716"/>
    <n v="1.2178922399186716"/>
    <n v="1.2178922399186716"/>
    <x v="12"/>
    <n v="0.31085424542068296"/>
    <n v="-0.31085424542068296"/>
    <s v=""/>
    <x v="0"/>
    <n v="-3.8999999999999993E-2"/>
    <s v=""/>
    <x v="0"/>
  </r>
  <r>
    <x v="14"/>
    <s v="23"/>
    <s v="23 - Fire Prevention"/>
    <s v="23"/>
    <s v="PS Salaries - Personnel services - salaries"/>
    <s v="4193-000"/>
    <s v="Holiday Salaries "/>
    <n v="0"/>
    <n v="0"/>
    <n v="0"/>
    <n v="0"/>
    <n v="0"/>
    <n v="390.24"/>
    <n v="0"/>
    <m/>
    <m/>
    <m/>
    <m/>
    <n v="0"/>
    <n v="0"/>
    <s v=""/>
    <s v=""/>
    <s v=""/>
    <s v=""/>
    <s v=""/>
    <s v=""/>
    <s v=""/>
    <s v=""/>
    <s v=""/>
    <s v=""/>
    <s v=""/>
    <s v=""/>
    <s v=""/>
    <s v=""/>
    <s v=""/>
    <s v=""/>
    <s v=""/>
    <s v=""/>
    <x v="60"/>
    <n v="0"/>
    <n v="0"/>
    <s v=""/>
    <x v="0"/>
    <n v="-3.8999999999999993E-2"/>
    <s v=""/>
    <x v="0"/>
  </r>
  <r>
    <x v="14"/>
    <s v="23"/>
    <s v="23 - Fire Prevention"/>
    <s v="23"/>
    <s v="PS Benefits - Personnel services - benefits"/>
    <s v="4220-000"/>
    <s v="FICA Benefits"/>
    <n v="6527"/>
    <n v="6399.45"/>
    <n v="6563"/>
    <n v="6423.1"/>
    <n v="6875"/>
    <n v="6396.16"/>
    <n v="7055"/>
    <n v="7500"/>
    <n v="7500"/>
    <n v="7500"/>
    <n v="7500"/>
    <n v="445"/>
    <n v="0"/>
    <n v="6.3075832742735649E-2"/>
    <n v="-1.9541902865022245E-2"/>
    <n v="-2.131647112600939E-2"/>
    <n v="-6.964945454545457E-2"/>
    <n v="5.5155507890301825E-3"/>
    <n v="3.6956300932112205E-3"/>
    <n v="4.7539235105896693E-2"/>
    <n v="-4.1942364278931528E-3"/>
    <n v="2.6181818181818181E-2"/>
    <n v="8.0894744905776014E-2"/>
    <n v="6.3075832742735649E-2"/>
    <n v="6.3075832742735649E-2"/>
    <n v="6.3075832742735649E-2"/>
    <n v="6.3075832742735649E-2"/>
    <n v="0.14907308104795464"/>
    <n v="0.14907308104795464"/>
    <n v="0.14907308104795464"/>
    <n v="0.14907308104795464"/>
    <x v="1"/>
    <n v="2.6412201358915019E-2"/>
    <n v="3.666363138382063E-2"/>
    <s v=""/>
    <x v="0"/>
    <n v="2.4075832742735656E-2"/>
    <s v=""/>
    <x v="0"/>
  </r>
  <r>
    <x v="14"/>
    <s v="23"/>
    <s v="23 - Fire Prevention"/>
    <s v="23"/>
    <s v="PS Benefits - Personnel services - benefits"/>
    <s v="4225-000"/>
    <s v="Medicare Benefits"/>
    <n v="1527"/>
    <n v="1496.63"/>
    <n v="1535"/>
    <n v="1502.18"/>
    <n v="1608"/>
    <n v="1495.88"/>
    <n v="1650"/>
    <n v="1755"/>
    <n v="1755"/>
    <n v="1755"/>
    <n v="1755"/>
    <n v="105"/>
    <n v="0"/>
    <n v="6.363636363636363E-2"/>
    <n v="-1.988867059593968E-2"/>
    <n v="-2.1381107491856635E-2"/>
    <n v="-6.9726368159203911E-2"/>
    <n v="5.2390307793058286E-3"/>
    <n v="3.7083313845105029E-3"/>
    <n v="4.7557003257328992E-2"/>
    <n v="-4.1939048582726136E-3"/>
    <n v="2.6119402985074626E-2"/>
    <n v="8.0550098231827114E-2"/>
    <n v="6.363636363636363E-2"/>
    <n v="6.363636363636363E-2"/>
    <n v="6.363636363636363E-2"/>
    <n v="6.363636363636363E-2"/>
    <n v="0.14931237721021612"/>
    <n v="0.14931237721021612"/>
    <n v="0.14931237721021612"/>
    <n v="0.14931237721021612"/>
    <x v="2"/>
    <n v="2.6305145673903147E-2"/>
    <n v="3.7331217962460486E-2"/>
    <s v=""/>
    <x v="0"/>
    <n v="2.4636363636363637E-2"/>
    <s v=""/>
    <x v="0"/>
  </r>
  <r>
    <x v="14"/>
    <s v="23"/>
    <s v="23 - Fire Prevention"/>
    <s v="23"/>
    <s v="PS Benefits - Personnel services - benefits"/>
    <s v="4230-000"/>
    <s v="Retirement Benefits"/>
    <n v="15360"/>
    <n v="15176.74"/>
    <n v="14322"/>
    <n v="14723.87"/>
    <n v="15003"/>
    <n v="14793.64"/>
    <n v="14507"/>
    <n v="15424"/>
    <n v="15424"/>
    <n v="15424"/>
    <n v="15424"/>
    <n v="917"/>
    <n v="0"/>
    <n v="6.3210863720962296E-2"/>
    <n v="-1.1930989583333348E-2"/>
    <n v="2.8059628543499568E-2"/>
    <n v="-1.3954542424848403E-2"/>
    <n v="-6.7578125000000003E-2"/>
    <n v="-2.9839741604586953E-2"/>
    <n v="4.7549224968579808E-2"/>
    <n v="4.7385639780844722E-3"/>
    <n v="-3.306005465573552E-2"/>
    <n v="-5.5533854166666667E-2"/>
    <n v="6.3210863720962296E-2"/>
    <n v="6.3210863720962296E-2"/>
    <n v="6.3210863720962296E-2"/>
    <n v="6.3210863720962296E-2"/>
    <n v="4.1666666666666666E-3"/>
    <n v="4.1666666666666666E-3"/>
    <n v="4.1666666666666666E-3"/>
    <n v="4.1666666666666666E-3"/>
    <x v="14"/>
    <n v="-1.7696318229051905E-2"/>
    <n v="8.0907181950014201E-2"/>
    <s v=""/>
    <x v="0"/>
    <n v="2.4210863720962303E-2"/>
    <s v=""/>
    <x v="0"/>
  </r>
  <r>
    <x v="14"/>
    <s v="23"/>
    <s v="23 - Fire Prevention"/>
    <s v="23"/>
    <s v="PS Benefits - Personnel services - benefits"/>
    <s v="4260-000"/>
    <s v="Workers' comp Benefits"/>
    <n v="322"/>
    <n v="306.52999999999997"/>
    <n v="341"/>
    <n v="362.88"/>
    <n v="407"/>
    <n v="406.65"/>
    <n v="480"/>
    <n v="473"/>
    <n v="473"/>
    <n v="473"/>
    <n v="473"/>
    <n v="-7"/>
    <n v="0"/>
    <n v="-1.4583333333333334E-2"/>
    <n v="-4.8043478260869653E-2"/>
    <n v="6.4164222873900278E-2"/>
    <n v="-8.5995085995091577E-4"/>
    <n v="5.9006211180124224E-2"/>
    <n v="0.18383192509705421"/>
    <n v="0.19354838709677419"/>
    <n v="0.12061838624338619"/>
    <n v="0.17936117936117937"/>
    <n v="0.49068322981366458"/>
    <n v="-1.4583333333333334E-2"/>
    <n v="-1.4583333333333334E-2"/>
    <n v="-1.4583333333333334E-2"/>
    <n v="-1.4583333333333334E-2"/>
    <n v="0.46894409937888198"/>
    <n v="0.46894409937888198"/>
    <n v="0.46894409937888198"/>
    <n v="0.46894409937888198"/>
    <x v="3"/>
    <n v="0.14397192587935925"/>
    <n v="-0.15855525921269259"/>
    <s v=""/>
    <x v="0"/>
    <n v="-5.358333333333333E-2"/>
    <s v=""/>
    <x v="0"/>
  </r>
  <r>
    <x v="14"/>
    <s v="23"/>
    <s v="23 - Fire Prevention"/>
    <s v="23"/>
    <s v="PS prof - Purchased services - professional &amp; technical"/>
    <s v="4241-000"/>
    <s v="Training Benefits"/>
    <n v="1200"/>
    <n v="505"/>
    <n v="1200"/>
    <n v="891.99"/>
    <n v="750"/>
    <n v="1074.47"/>
    <n v="750"/>
    <n v="750"/>
    <n v="750"/>
    <n v="750"/>
    <n v="750"/>
    <n v="0"/>
    <n v="0"/>
    <n v="0"/>
    <n v="-0.57916666666666672"/>
    <n v="-0.25667499999999999"/>
    <n v="0.43262666666666671"/>
    <n v="0"/>
    <n v="0.76631683168316833"/>
    <n v="-0.375"/>
    <n v="0.20457628448749426"/>
    <n v="0"/>
    <n v="-0.375"/>
    <n v="0"/>
    <n v="0"/>
    <n v="0"/>
    <n v="0"/>
    <n v="-0.375"/>
    <n v="-0.375"/>
    <n v="-0.375"/>
    <n v="-0.375"/>
    <x v="30"/>
    <n v="-0.125"/>
    <n v="0.125"/>
    <s v=""/>
    <x v="0"/>
    <n v="-3.8999999999999993E-2"/>
    <s v=""/>
    <x v="0"/>
  </r>
  <r>
    <x v="14"/>
    <s v="23"/>
    <s v="23 - Fire Prevention"/>
    <s v="23"/>
    <s v="PS property - Purchased services - property services"/>
    <s v="4490-000"/>
    <s v="Clothing allowance Services"/>
    <n v="800"/>
    <n v="800"/>
    <n v="800"/>
    <n v="544"/>
    <n v="800"/>
    <n v="800"/>
    <n v="800"/>
    <n v="800"/>
    <n v="800"/>
    <n v="800"/>
    <n v="800"/>
    <n v="0"/>
    <n v="0"/>
    <n v="0"/>
    <n v="0"/>
    <n v="-0.32"/>
    <n v="0"/>
    <n v="0"/>
    <n v="-0.32"/>
    <n v="0"/>
    <n v="0.47058823529411764"/>
    <n v="0"/>
    <n v="0"/>
    <n v="0"/>
    <n v="0"/>
    <n v="0"/>
    <n v="0"/>
    <n v="0"/>
    <n v="0"/>
    <n v="0"/>
    <n v="0"/>
    <x v="31"/>
    <n v="0"/>
    <n v="0"/>
    <s v=""/>
    <x v="0"/>
    <n v="-3.8999999999999993E-2"/>
    <s v=""/>
    <x v="0"/>
  </r>
  <r>
    <x v="14"/>
    <s v="23"/>
    <s v="23 - Fire Prevention"/>
    <s v="23"/>
    <s v="PS other - Purchased services - other"/>
    <s v="4560-000"/>
    <s v="Dues &amp; subs Services"/>
    <n v="2000"/>
    <n v="976.49"/>
    <n v="2000"/>
    <n v="998.57"/>
    <n v="2000"/>
    <n v="1548.69"/>
    <n v="2000"/>
    <n v="2000"/>
    <n v="2000"/>
    <n v="2000"/>
    <n v="2000"/>
    <n v="0"/>
    <n v="0"/>
    <n v="0"/>
    <n v="-0.51175499999999996"/>
    <n v="-0.50071500000000002"/>
    <n v="-0.22565499999999997"/>
    <n v="0"/>
    <n v="2.2611598685086422E-2"/>
    <n v="0"/>
    <n v="0.55090779815135638"/>
    <n v="0"/>
    <n v="0"/>
    <n v="0"/>
    <n v="0"/>
    <n v="0"/>
    <n v="0"/>
    <n v="0"/>
    <n v="0"/>
    <n v="0"/>
    <n v="0"/>
    <x v="15"/>
    <n v="0"/>
    <n v="0"/>
    <s v=""/>
    <x v="0"/>
    <n v="-3.8999999999999993E-2"/>
    <s v=""/>
    <x v="0"/>
  </r>
  <r>
    <x v="14"/>
    <s v="23"/>
    <s v="23 - Fire Prevention"/>
    <s v="23"/>
    <s v="Supplies - Supplies"/>
    <s v="4680-000"/>
    <s v="Dept. expense Supplies"/>
    <n v="26000"/>
    <n v="26780.09"/>
    <n v="26000"/>
    <n v="26521.78"/>
    <n v="26000"/>
    <n v="26519.87"/>
    <n v="3000"/>
    <n v="2500"/>
    <n v="2500"/>
    <n v="2500"/>
    <n v="3000"/>
    <n v="-500"/>
    <n v="-500"/>
    <n v="-0.16666666666666666"/>
    <n v="3.0003461538461545E-2"/>
    <n v="2.0068461538461493E-2"/>
    <n v="1.9994999999999961E-2"/>
    <n v="0"/>
    <n v="-9.6455986518343036E-3"/>
    <n v="0"/>
    <n v="-7.2016282466706786E-5"/>
    <n v="-0.88461538461538458"/>
    <n v="-0.88461538461538458"/>
    <n v="-0.16666666666666666"/>
    <n v="-0.16666666666666666"/>
    <n v="-0.16666666666666666"/>
    <n v="0"/>
    <n v="-0.90384615384615385"/>
    <n v="-0.90384615384615385"/>
    <n v="-0.90384615384615385"/>
    <n v="-0.88461538461538458"/>
    <x v="9"/>
    <n v="-0.29487179487179488"/>
    <n v="0.12820512820512822"/>
    <n v="2115.3846153846152"/>
    <x v="46"/>
    <n v="-0.20566666666666666"/>
    <s v=""/>
    <x v="0"/>
  </r>
  <r>
    <x v="14"/>
    <s v="23"/>
    <s v="24 - Fire Communications"/>
    <s v="24"/>
    <s v="PS Salaries - Personnel services - salaries"/>
    <s v="4110-000"/>
    <s v="Regular Salaries"/>
    <n v="267229"/>
    <n v="207881"/>
    <n v="261018"/>
    <n v="246881.6"/>
    <n v="271468"/>
    <n v="252715.51"/>
    <n v="269399"/>
    <n v="272082"/>
    <n v="272082"/>
    <n v="272082"/>
    <n v="272082"/>
    <n v="2683"/>
    <n v="0"/>
    <n v="9.9592054907405008E-3"/>
    <n v="-0.22208667472467433"/>
    <n v="-5.4158717023347028E-2"/>
    <n v="-6.9078086551637732E-2"/>
    <n v="-2.3242237930763503E-2"/>
    <n v="0.18761021930816191"/>
    <n v="4.0035553103617373E-2"/>
    <n v="2.363039610890404E-2"/>
    <n v="-7.6215244522374647E-3"/>
    <n v="8.1203761567793919E-3"/>
    <n v="9.9592054907405008E-3"/>
    <n v="9.9592054907405008E-3"/>
    <n v="9.9592054907405008E-3"/>
    <n v="9.9592054907405008E-3"/>
    <n v="1.8160454142327368E-2"/>
    <n v="1.8160454142327368E-2"/>
    <n v="1.8160454142327368E-2"/>
    <n v="1.8160454142327368E-2"/>
    <x v="10"/>
    <n v="3.0572635735388021E-3"/>
    <n v="6.9019419172016983E-3"/>
    <s v=""/>
    <x v="0"/>
    <n v="-2.904079450925949E-2"/>
    <s v=""/>
    <x v="0"/>
  </r>
  <r>
    <x v="14"/>
    <s v="23"/>
    <s v="24 - Fire Communications"/>
    <s v="24"/>
    <s v="PS Salaries - Personnel services - salaries"/>
    <s v="4120-000"/>
    <s v="Part-time Salaries"/>
    <n v="20000"/>
    <n v="21818.6"/>
    <n v="25000"/>
    <n v="0"/>
    <n v="25000"/>
    <n v="358.56"/>
    <n v="25000"/>
    <n v="25000"/>
    <n v="25000"/>
    <n v="25000"/>
    <n v="25000"/>
    <n v="0"/>
    <n v="0"/>
    <n v="0"/>
    <n v="9.0929999999999928E-2"/>
    <n v="-1"/>
    <n v="-0.98565759999999991"/>
    <n v="0.25"/>
    <n v="-1"/>
    <n v="0"/>
    <s v=""/>
    <n v="0"/>
    <n v="0.25"/>
    <n v="0"/>
    <n v="0"/>
    <n v="0"/>
    <n v="0"/>
    <n v="0.25"/>
    <n v="0.25"/>
    <n v="0.25"/>
    <n v="0.25"/>
    <x v="11"/>
    <n v="8.3333333333333329E-2"/>
    <n v="-8.3333333333333329E-2"/>
    <s v=""/>
    <x v="0"/>
    <n v="-3.8999999999999993E-2"/>
    <s v=""/>
    <x v="0"/>
  </r>
  <r>
    <x v="14"/>
    <s v="23"/>
    <s v="24 - Fire Communications"/>
    <s v="24"/>
    <s v="PS Salaries - Personnel services - salaries"/>
    <s v="4140-000"/>
    <s v="Overtime Salaries"/>
    <n v="77962"/>
    <n v="82137.97"/>
    <n v="72397"/>
    <n v="73228.679999999993"/>
    <n v="73831"/>
    <n v="67125.53"/>
    <n v="76055"/>
    <n v="77154"/>
    <n v="77154"/>
    <n v="77154"/>
    <n v="76055"/>
    <n v="1099"/>
    <n v="1099"/>
    <n v="1.4450069028992176E-2"/>
    <n v="5.3564172289063919E-2"/>
    <n v="1.148776883020005E-2"/>
    <n v="-9.0821876989340536E-2"/>
    <n v="-7.1380929170621582E-2"/>
    <n v="-0.10846737507635029"/>
    <n v="1.9807450584968991E-2"/>
    <n v="-8.3343711780684768E-2"/>
    <n v="3.0122848126125881E-2"/>
    <n v="-2.4460634668171673E-2"/>
    <n v="1.4450069028992176E-2"/>
    <n v="1.4450069028992176E-2"/>
    <n v="1.4450069028992176E-2"/>
    <n v="0"/>
    <n v="-1.0364023498627537E-2"/>
    <n v="-1.0364023498627537E-2"/>
    <n v="-1.0364023498627537E-2"/>
    <n v="-2.4460634668171673E-2"/>
    <x v="12"/>
    <n v="-7.1502101531755692E-3"/>
    <n v="2.1600279182167746E-2"/>
    <s v=""/>
    <x v="0"/>
    <n v="-2.4549930971007817E-2"/>
    <s v=""/>
    <x v="0"/>
  </r>
  <r>
    <x v="14"/>
    <s v="23"/>
    <s v="24 - Fire Communications"/>
    <s v="24"/>
    <s v="PS Salaries - Personnel services - salaries"/>
    <s v="4193-000"/>
    <s v="Holiday Salaries"/>
    <n v="12124"/>
    <n v="8471.6"/>
    <n v="11967"/>
    <n v="9712.76"/>
    <n v="12312"/>
    <n v="10680"/>
    <n v="12212"/>
    <n v="12336"/>
    <n v="12336"/>
    <n v="12336"/>
    <n v="12336"/>
    <n v="124"/>
    <n v="0"/>
    <n v="1.0153946937438586E-2"/>
    <n v="-0.30125371164632131"/>
    <n v="-0.18837135455836884"/>
    <n v="-0.13255360623781676"/>
    <n v="-1.2949521610029694E-2"/>
    <n v="0.14650833372680483"/>
    <n v="2.8829280521433943E-2"/>
    <n v="9.9584464148192664E-2"/>
    <n v="-8.1221572449642621E-3"/>
    <n v="7.2583305839656878E-3"/>
    <n v="1.0153946937438586E-2"/>
    <n v="1.0153946937438586E-2"/>
    <n v="1.0153946937438586E-2"/>
    <n v="1.0153946937438586E-2"/>
    <n v="1.7485978225008247E-2"/>
    <n v="1.7485978225008247E-2"/>
    <n v="1.7485978225008247E-2"/>
    <n v="1.7485978225008247E-2"/>
    <x v="60"/>
    <n v="2.585867222146663E-3"/>
    <n v="7.568079715291923E-3"/>
    <s v=""/>
    <x v="0"/>
    <n v="-2.8846053062561407E-2"/>
    <s v=""/>
    <x v="0"/>
  </r>
  <r>
    <x v="14"/>
    <s v="23"/>
    <s v="24 - Fire Communications"/>
    <s v="24"/>
    <s v="PS Benefits - Personnel services - benefits"/>
    <s v="4220-000"/>
    <s v="FICA Benefits"/>
    <n v="23443"/>
    <n v="19509.169999999998"/>
    <n v="22956"/>
    <n v="19421.77"/>
    <n v="23722"/>
    <n v="19771.98"/>
    <n v="23725"/>
    <n v="23968"/>
    <n v="23968"/>
    <n v="23968"/>
    <n v="23900"/>
    <n v="243"/>
    <n v="68"/>
    <n v="1.0242360379346682E-2"/>
    <n v="-0.16780403531971172"/>
    <n v="-0.15395669977347967"/>
    <n v="-0.16651294157322319"/>
    <n v="-2.0773791750202619E-2"/>
    <n v="-4.4799445594045171E-3"/>
    <n v="3.3368182610210836E-2"/>
    <n v="1.8031827171261894E-2"/>
    <n v="1.2646488491695472E-4"/>
    <n v="1.202917715309474E-2"/>
    <n v="1.0242360379346682E-2"/>
    <n v="1.0242360379346682E-2"/>
    <n v="1.0242360379346682E-2"/>
    <n v="7.3761854583772393E-3"/>
    <n v="2.2394744699910422E-2"/>
    <n v="2.2394744699910422E-2"/>
    <n v="2.2394744699910422E-2"/>
    <n v="1.949409205306488E-2"/>
    <x v="1"/>
    <n v="4.2402852483083911E-3"/>
    <n v="6.0020751310382904E-3"/>
    <s v=""/>
    <x v="0"/>
    <n v="-2.8757639620653312E-2"/>
    <s v=""/>
    <x v="0"/>
  </r>
  <r>
    <x v="14"/>
    <s v="23"/>
    <s v="24 - Fire Communications"/>
    <s v="24"/>
    <s v="PS Benefits - Personnel services - benefits"/>
    <s v="4225-000"/>
    <s v="Medicare Benefits"/>
    <n v="5483"/>
    <n v="4562.67"/>
    <n v="5369"/>
    <n v="4542.1899999999996"/>
    <n v="5548"/>
    <n v="4624.09"/>
    <n v="5549"/>
    <n v="5606"/>
    <n v="5606"/>
    <n v="5606"/>
    <n v="5590"/>
    <n v="57"/>
    <n v="16"/>
    <n v="1.0272121102901424E-2"/>
    <n v="-0.16785154112712017"/>
    <n v="-0.15399701992922341"/>
    <n v="-0.16653028118240804"/>
    <n v="-2.0791537479482036E-2"/>
    <n v="-4.4885998768266107E-3"/>
    <n v="3.3339541814118086E-2"/>
    <n v="1.803094982816671E-2"/>
    <n v="1.8024513338139869E-4"/>
    <n v="1.203720590917381E-2"/>
    <n v="1.0272121102901424E-2"/>
    <n v="1.0272121102901424E-2"/>
    <n v="1.0272121102901424E-2"/>
    <n v="7.3887186880519009E-3"/>
    <n v="2.2432974648914826E-2"/>
    <n v="2.2432974648914826E-2"/>
    <n v="2.2432974648914826E-2"/>
    <n v="1.9514864125478752E-2"/>
    <x v="2"/>
    <n v="4.2427498226724827E-3"/>
    <n v="6.0293712802289411E-3"/>
    <s v=""/>
    <x v="0"/>
    <n v="-2.8727878897098567E-2"/>
    <s v=""/>
    <x v="0"/>
  </r>
  <r>
    <x v="14"/>
    <s v="23"/>
    <s v="24 - Fire Communications"/>
    <s v="24"/>
    <s v="PS Benefits - Personnel services - benefits"/>
    <s v="4230-000"/>
    <s v="Retirement Benefits"/>
    <n v="65857"/>
    <n v="41818.54"/>
    <n v="46712"/>
    <n v="43944.19"/>
    <n v="48385"/>
    <n v="44204.97"/>
    <n v="45603"/>
    <n v="46101"/>
    <n v="46101"/>
    <n v="46101"/>
    <n v="45961"/>
    <n v="498"/>
    <n v="140"/>
    <n v="1.0920334188540227E-2"/>
    <n v="-0.36500994579163942"/>
    <n v="-5.9252654564137648E-2"/>
    <n v="-8.6391030277978689E-2"/>
    <n v="-0.29070561975188669"/>
    <n v="5.0830325496777302E-2"/>
    <n v="3.5815208083575953E-2"/>
    <n v="5.9343453594206379E-3"/>
    <n v="-5.7497158210189109E-2"/>
    <n v="-0.3075451356727455"/>
    <n v="1.0920334188540227E-2"/>
    <n v="1.0920334188540227E-2"/>
    <n v="1.0920334188540227E-2"/>
    <n v="7.8503607218823324E-3"/>
    <n v="-0.29998329714381161"/>
    <n v="-0.29998329714381161"/>
    <n v="-0.29998329714381161"/>
    <n v="-0.30210911520415445"/>
    <x v="14"/>
    <n v="-0.10412918995949993"/>
    <n v="0.11504952414804016"/>
    <s v=""/>
    <x v="0"/>
    <n v="-2.8079665811459764E-2"/>
    <s v=""/>
    <x v="0"/>
  </r>
  <r>
    <x v="14"/>
    <s v="23"/>
    <s v="24 - Fire Communications"/>
    <s v="24"/>
    <s v="PS Benefits - Personnel services - benefits"/>
    <s v="4260-000"/>
    <s v="Workers' comp Benefits"/>
    <n v="1147"/>
    <n v="1094.76"/>
    <n v="1216"/>
    <n v="1295.99"/>
    <n v="1452"/>
    <n v="1452.32"/>
    <n v="1716"/>
    <n v="1690"/>
    <n v="1690"/>
    <n v="1690"/>
    <n v="1690"/>
    <n v="-26"/>
    <n v="0"/>
    <n v="-1.5151515151515152E-2"/>
    <n v="-4.5544899738448136E-2"/>
    <n v="6.5781250000000013E-2"/>
    <n v="2.2038567493108563E-4"/>
    <n v="6.015693112467306E-2"/>
    <n v="0.18381197705433155"/>
    <n v="0.19407894736842105"/>
    <n v="0.12062593075563849"/>
    <n v="0.18181818181818182"/>
    <n v="0.49607672188317348"/>
    <n v="-1.5151515151515152E-2"/>
    <n v="-1.5151515151515152E-2"/>
    <n v="-1.5151515151515152E-2"/>
    <n v="-1.5151515151515152E-2"/>
    <n v="0.47340889276373149"/>
    <n v="0.47340889276373149"/>
    <n v="0.47340889276373149"/>
    <n v="0.47340889276373149"/>
    <x v="3"/>
    <n v="0.14535135343709196"/>
    <n v="-0.16050286858860713"/>
    <s v=""/>
    <x v="0"/>
    <n v="-5.4151515151515145E-2"/>
    <s v=""/>
    <x v="0"/>
  </r>
  <r>
    <x v="14"/>
    <s v="23"/>
    <s v="24 - Fire Communications"/>
    <s v="24"/>
    <s v="PS prof - Purchased services - professional &amp; technical"/>
    <s v="4241-000"/>
    <s v="Training Benefits"/>
    <n v="3000"/>
    <n v="0"/>
    <n v="3000"/>
    <n v="1931"/>
    <n v="3000"/>
    <n v="3831"/>
    <n v="3000"/>
    <n v="7000"/>
    <n v="7000"/>
    <n v="7000"/>
    <n v="3000"/>
    <n v="4000"/>
    <n v="4000"/>
    <n v="1.3333333333333333"/>
    <n v="-1"/>
    <n v="-0.35633333333333334"/>
    <n v="0.27700000000000002"/>
    <n v="0"/>
    <s v=""/>
    <n v="0"/>
    <n v="0.98394614189539098"/>
    <n v="0"/>
    <n v="0"/>
    <n v="1.3333333333333333"/>
    <n v="1.3333333333333333"/>
    <n v="1.3333333333333333"/>
    <n v="0"/>
    <n v="1.3333333333333333"/>
    <n v="1.3333333333333333"/>
    <n v="1.3333333333333333"/>
    <n v="0"/>
    <x v="30"/>
    <n v="0"/>
    <n v="1.3333333333333333"/>
    <s v=""/>
    <x v="0"/>
    <n v="1.2943333333333333"/>
    <s v=""/>
    <x v="0"/>
  </r>
  <r>
    <x v="14"/>
    <s v="23"/>
    <s v="24 - Fire Communications"/>
    <s v="24"/>
    <s v="PS prof - Purchased services - professional &amp; technical"/>
    <s v="4440-000"/>
    <s v="Rental and leases Services"/>
    <n v="0"/>
    <m/>
    <n v="21800"/>
    <n v="21684.94"/>
    <n v="21800"/>
    <n v="22335.56"/>
    <n v="24000"/>
    <n v="27200"/>
    <n v="27200"/>
    <n v="27200"/>
    <n v="27200"/>
    <n v="3200"/>
    <n v="0"/>
    <n v="0.13333333333333333"/>
    <s v=""/>
    <n v="-5.2779816513762066E-3"/>
    <n v="2.456697247706428E-2"/>
    <s v=""/>
    <s v=""/>
    <n v="0"/>
    <n v="3.000331105366225E-2"/>
    <n v="0.10091743119266056"/>
    <s v=""/>
    <n v="0.13333333333333333"/>
    <n v="0.13333333333333333"/>
    <n v="0.13333333333333333"/>
    <n v="0.13333333333333333"/>
    <s v=""/>
    <s v=""/>
    <s v=""/>
    <s v=""/>
    <x v="25"/>
    <n v="5.0458715596330278E-2"/>
    <n v="8.2874617737003053E-2"/>
    <n v="25211.009174311926"/>
    <x v="47"/>
    <n v="9.4333333333333338E-2"/>
    <n v="24935.999999999996"/>
    <x v="44"/>
  </r>
  <r>
    <x v="14"/>
    <s v="23"/>
    <s v="24 - Fire Communications"/>
    <s v="24"/>
    <s v="PS property - Purchased services - property services"/>
    <s v="4490-000"/>
    <s v="Clothing allowance Services"/>
    <n v="4000"/>
    <n v="2933.33"/>
    <n v="4000"/>
    <n v="368.99"/>
    <n v="4000"/>
    <n v="3200"/>
    <n v="4000"/>
    <n v="4000"/>
    <n v="4000"/>
    <n v="4000"/>
    <n v="4000"/>
    <n v="0"/>
    <n v="0"/>
    <n v="0"/>
    <n v="-0.2666675"/>
    <n v="-0.90775250000000007"/>
    <n v="-0.2"/>
    <n v="0"/>
    <n v="-0.874207811599786"/>
    <n v="0"/>
    <n v="7.6723217431366706"/>
    <n v="0"/>
    <n v="0"/>
    <n v="0"/>
    <n v="0"/>
    <n v="0"/>
    <n v="0"/>
    <n v="0"/>
    <n v="0"/>
    <n v="0"/>
    <n v="0"/>
    <x v="31"/>
    <n v="0"/>
    <n v="0"/>
    <s v=""/>
    <x v="0"/>
    <n v="-3.8999999999999993E-2"/>
    <s v=""/>
    <x v="0"/>
  </r>
  <r>
    <x v="14"/>
    <s v="23"/>
    <s v="24 - Fire Communications"/>
    <s v="24"/>
    <s v="Supplies - Supplies"/>
    <s v="4630-000"/>
    <s v="Maint &amp; repairs Supplies"/>
    <n v="12000"/>
    <n v="9274.17"/>
    <n v="12000"/>
    <n v="6365.48"/>
    <n v="12000"/>
    <n v="40994.769999999997"/>
    <n v="17800"/>
    <n v="17800"/>
    <n v="17800"/>
    <n v="17800"/>
    <n v="17800"/>
    <n v="0"/>
    <n v="0"/>
    <n v="0"/>
    <n v="-0.22715250000000001"/>
    <n v="-0.46954333333333337"/>
    <n v="2.4162308333333331"/>
    <n v="0"/>
    <n v="-0.31363345722582187"/>
    <n v="0"/>
    <n v="5.4401694766144884"/>
    <n v="0.48333333333333334"/>
    <n v="0.48333333333333334"/>
    <n v="0"/>
    <n v="0"/>
    <n v="0"/>
    <n v="0"/>
    <n v="0.48333333333333334"/>
    <n v="0.48333333333333334"/>
    <n v="0.48333333333333334"/>
    <n v="0.48333333333333334"/>
    <x v="32"/>
    <n v="0.16111111111111112"/>
    <n v="-0.16111111111111112"/>
    <s v=""/>
    <x v="0"/>
    <n v="-3.8999999999999993E-2"/>
    <s v=""/>
    <x v="0"/>
  </r>
  <r>
    <x v="14"/>
    <s v="23"/>
    <s v="24 - Fire Communications"/>
    <s v="24"/>
    <s v="Property - Property"/>
    <s v="4740-000"/>
    <s v="Mach &amp; equip Property"/>
    <n v="29368"/>
    <n v="31817.53"/>
    <n v="29368"/>
    <n v="30633.599999999999"/>
    <n v="29368"/>
    <n v="109955.25"/>
    <n v="29368"/>
    <n v="44500"/>
    <n v="44500"/>
    <n v="44500"/>
    <n v="29368"/>
    <n v="15132"/>
    <n v="15132"/>
    <n v="0.51525469899210019"/>
    <n v="8.3408131299373425E-2"/>
    <n v="4.3094524652683146E-2"/>
    <n v="2.744049645873059"/>
    <n v="0"/>
    <n v="-3.7209990844669596E-2"/>
    <n v="0"/>
    <n v="2.5893675571921029"/>
    <n v="0"/>
    <n v="0"/>
    <n v="0.51525469899210019"/>
    <n v="0.51525469899210019"/>
    <n v="0.51525469899210019"/>
    <n v="0"/>
    <n v="0.51525469899210019"/>
    <n v="0.51525469899210019"/>
    <n v="0.51525469899210019"/>
    <n v="0"/>
    <x v="26"/>
    <n v="0"/>
    <n v="0.51525469899210019"/>
    <n v="29368"/>
    <x v="48"/>
    <n v="0.47625469899210021"/>
    <n v="30513.351999999999"/>
    <x v="45"/>
  </r>
  <r>
    <x v="14"/>
    <s v="23"/>
    <s v="25 - Emergency Management"/>
    <s v="25"/>
    <s v="Supplies - Supplies"/>
    <s v="4614-000"/>
    <s v="Civil defense exp Supplies"/>
    <n v="1000"/>
    <n v="2420.44"/>
    <n v="1000"/>
    <n v="386.01"/>
    <n v="1000"/>
    <n v="1081.54"/>
    <n v="1000"/>
    <n v="1000"/>
    <n v="1000"/>
    <n v="1000"/>
    <n v="1000"/>
    <n v="0"/>
    <n v="0"/>
    <n v="0"/>
    <n v="1.4204400000000001"/>
    <n v="-0.61399000000000004"/>
    <n v="8.153999999999996E-2"/>
    <n v="0"/>
    <n v="-0.84052073176777775"/>
    <n v="0"/>
    <n v="1.8018445118002124"/>
    <n v="0"/>
    <n v="0"/>
    <n v="0"/>
    <n v="0"/>
    <n v="0"/>
    <n v="0"/>
    <n v="0"/>
    <n v="0"/>
    <n v="0"/>
    <n v="0"/>
    <x v="73"/>
    <n v="0"/>
    <n v="0"/>
    <s v=""/>
    <x v="0"/>
    <n v="-3.8999999999999993E-2"/>
    <s v=""/>
    <x v="0"/>
  </r>
  <r>
    <x v="14"/>
    <s v="23"/>
    <s v="25 - Emergency Management"/>
    <s v="25"/>
    <s v="Supplies - Supplies"/>
    <s v="4615-000"/>
    <s v="Forest fire exp Supplies"/>
    <n v="0"/>
    <n v="0"/>
    <n v="0"/>
    <n v="0"/>
    <n v="0"/>
    <n v="0"/>
    <n v="0"/>
    <n v="0"/>
    <n v="0"/>
    <n v="0"/>
    <n v="0"/>
    <n v="0"/>
    <n v="0"/>
    <s v=""/>
    <s v=""/>
    <s v=""/>
    <s v=""/>
    <s v=""/>
    <s v=""/>
    <s v=""/>
    <s v=""/>
    <s v=""/>
    <s v=""/>
    <s v=""/>
    <s v=""/>
    <s v=""/>
    <s v=""/>
    <s v=""/>
    <s v=""/>
    <s v=""/>
    <s v=""/>
    <x v="74"/>
    <n v="0"/>
    <n v="0"/>
    <s v=""/>
    <x v="0"/>
    <n v="-3.8999999999999993E-2"/>
    <s v=""/>
    <x v="0"/>
  </r>
  <r>
    <x v="14"/>
    <s v="23"/>
    <s v="25 - Emergency Management"/>
    <s v="25"/>
    <s v="Supplies - Supplies"/>
    <s v="4690-000"/>
    <s v="Other misc Supplies"/>
    <n v="0"/>
    <n v="0"/>
    <n v="0"/>
    <n v="0"/>
    <n v="0"/>
    <n v="0"/>
    <n v="0"/>
    <n v="0"/>
    <n v="0"/>
    <n v="0"/>
    <n v="0"/>
    <n v="0"/>
    <n v="0"/>
    <s v=""/>
    <s v=""/>
    <s v=""/>
    <s v=""/>
    <s v=""/>
    <s v=""/>
    <s v=""/>
    <s v=""/>
    <s v=""/>
    <s v=""/>
    <s v=""/>
    <s v=""/>
    <s v=""/>
    <s v=""/>
    <s v=""/>
    <s v=""/>
    <s v=""/>
    <s v=""/>
    <x v="54"/>
    <n v="0"/>
    <n v="0"/>
    <s v=""/>
    <x v="0"/>
    <n v="-3.8999999999999993E-2"/>
    <s v=""/>
    <x v="0"/>
  </r>
  <r>
    <x v="15"/>
    <s v="24"/>
    <s v="00 - Non-Divisional"/>
    <s v="00"/>
    <s v="PS Salaries - Personnel services - salaries"/>
    <s v="4110-000"/>
    <s v="Regular Salaries"/>
    <n v="217957"/>
    <n v="217601.83"/>
    <n v="223760"/>
    <n v="213954.38"/>
    <n v="232187"/>
    <n v="229525.02"/>
    <n v="242585"/>
    <n v="262608"/>
    <n v="262608"/>
    <n v="262608"/>
    <n v="262608"/>
    <n v="20023"/>
    <n v="0"/>
    <n v="8.2540140569284992E-2"/>
    <n v="-1.629541606830764E-3"/>
    <n v="-4.3822041473006772E-2"/>
    <n v="-1.1464810691382422E-2"/>
    <n v="2.6624517680092861E-2"/>
    <n v="-1.6762037341321912E-2"/>
    <n v="3.7660886664283161E-2"/>
    <n v="7.2775514107259617E-2"/>
    <n v="4.4782868980606148E-2"/>
    <n v="0.11299476502245856"/>
    <n v="8.2540140569284992E-2"/>
    <n v="8.2540140569284992E-2"/>
    <n v="8.2540140569284992E-2"/>
    <n v="8.2540140569284992E-2"/>
    <n v="0.2048615093802906"/>
    <n v="0.2048615093802906"/>
    <n v="0.2048615093802906"/>
    <n v="0.2048615093802906"/>
    <x v="10"/>
    <n v="3.6356091108327389E-2"/>
    <n v="4.6184049460957603E-2"/>
    <s v=""/>
    <x v="0"/>
    <n v="4.3540140569284999E-2"/>
    <s v=""/>
    <x v="0"/>
  </r>
  <r>
    <x v="15"/>
    <s v="24"/>
    <s v="00 - Non-Divisional"/>
    <s v="00"/>
    <s v="PS Salaries - Personnel services - salaries"/>
    <s v="4120-000"/>
    <s v="Part-time Salaries"/>
    <n v="81652"/>
    <n v="81186.23"/>
    <n v="83318"/>
    <n v="60855.56"/>
    <n v="86295"/>
    <n v="58654.63"/>
    <n v="102523"/>
    <n v="107682"/>
    <n v="107682"/>
    <n v="107682"/>
    <n v="107682"/>
    <n v="5159"/>
    <n v="0"/>
    <n v="5.0320415906674597E-2"/>
    <n v="-5.7043305736540935E-3"/>
    <n v="-0.26959888619505989"/>
    <n v="-0.32030094443478768"/>
    <n v="2.0403664331553422E-2"/>
    <n v="-0.25042017593377597"/>
    <n v="3.5730574425694328E-2"/>
    <n v="-3.6166457099400619E-2"/>
    <n v="0.18805261023234254"/>
    <n v="0.25560917062656152"/>
    <n v="5.0320415906674597E-2"/>
    <n v="5.0320415906674597E-2"/>
    <n v="5.0320415906674597E-2"/>
    <n v="5.0320415906674597E-2"/>
    <n v="0.31879194630872482"/>
    <n v="0.31879194630872482"/>
    <n v="0.31879194630872482"/>
    <n v="0.31879194630872482"/>
    <x v="11"/>
    <n v="8.1395616329863432E-2"/>
    <n v="-3.1075200423188835E-2"/>
    <s v=""/>
    <x v="0"/>
    <n v="1.1320415906674604E-2"/>
    <s v=""/>
    <x v="0"/>
  </r>
  <r>
    <x v="15"/>
    <s v="24"/>
    <s v="00 - Non-Divisional"/>
    <s v="00"/>
    <s v="PS Salaries - Personnel services - salaries"/>
    <s v="4140-000"/>
    <s v="Overtime Salaries"/>
    <n v="7000"/>
    <n v="713.97"/>
    <n v="7000"/>
    <n v="1159.48"/>
    <n v="7000"/>
    <n v="3522.84"/>
    <n v="7000"/>
    <n v="7000"/>
    <n v="7000"/>
    <n v="7000"/>
    <n v="7000"/>
    <n v="0"/>
    <n v="0"/>
    <n v="0"/>
    <n v="-0.8980042857142857"/>
    <n v="-0.8343600000000001"/>
    <n v="-0.49673714285714282"/>
    <n v="0"/>
    <n v="0.62398980349314392"/>
    <n v="0"/>
    <n v="2.038293027909063"/>
    <n v="0"/>
    <n v="0"/>
    <n v="0"/>
    <n v="0"/>
    <n v="0"/>
    <n v="0"/>
    <n v="0"/>
    <n v="0"/>
    <n v="0"/>
    <n v="0"/>
    <x v="12"/>
    <n v="0"/>
    <n v="0"/>
    <s v=""/>
    <x v="0"/>
    <n v="-3.8999999999999993E-2"/>
    <s v=""/>
    <x v="0"/>
  </r>
  <r>
    <x v="15"/>
    <s v="24"/>
    <s v="00 - Non-Divisional"/>
    <s v="00"/>
    <s v="PS Benefits - Personnel services - benefits"/>
    <s v="4215-000"/>
    <s v="STD, LTD, &amp; Life  Benefits"/>
    <n v="2821"/>
    <n v="2522.2800000000002"/>
    <n v="2765"/>
    <n v="2463.1799999999998"/>
    <n v="2794"/>
    <n v="2221.2399999999998"/>
    <n v="1700"/>
    <n v="2187"/>
    <n v="2187"/>
    <n v="2187"/>
    <n v="2187"/>
    <n v="487"/>
    <n v="0"/>
    <n v="0.28647058823529414"/>
    <n v="-0.10589152782701163"/>
    <n v="-0.10915732368896931"/>
    <n v="-0.20499642090193279"/>
    <n v="-1.9851116625310174E-2"/>
    <n v="-2.3431181312146297E-2"/>
    <n v="1.0488245931283906E-2"/>
    <n v="-9.8222622788427999E-2"/>
    <n v="-0.39155332856120256"/>
    <n v="-0.39737681673165542"/>
    <n v="0.28647058823529414"/>
    <n v="0.28647058823529414"/>
    <n v="0.28647058823529414"/>
    <n v="0.28647058823529414"/>
    <n v="-0.22474299893654731"/>
    <n v="-0.22474299893654731"/>
    <n v="-0.22474299893654731"/>
    <n v="-0.22474299893654731"/>
    <x v="13"/>
    <n v="-0.13363873308507626"/>
    <n v="0.42010932132037038"/>
    <s v=""/>
    <x v="0"/>
    <n v="0.24747058823529416"/>
    <s v=""/>
    <x v="0"/>
  </r>
  <r>
    <x v="15"/>
    <s v="24"/>
    <s v="00 - Non-Divisional"/>
    <s v="00"/>
    <s v="PS Benefits - Personnel services - benefits"/>
    <s v="4220-000"/>
    <s v="FICA Benefits"/>
    <n v="20070"/>
    <n v="17155.689999999999"/>
    <n v="19010"/>
    <n v="17760.82"/>
    <n v="20180"/>
    <n v="17626"/>
    <n v="21834"/>
    <n v="23392"/>
    <n v="23392"/>
    <n v="23392"/>
    <n v="23392"/>
    <n v="1558"/>
    <n v="0"/>
    <n v="7.1356599798479442E-2"/>
    <n v="-0.14520727453911317"/>
    <n v="-6.5711730668069457E-2"/>
    <n v="-0.12656095143706642"/>
    <n v="-5.2815146985550572E-2"/>
    <n v="3.5272845335862391E-2"/>
    <n v="6.1546554445028934E-2"/>
    <n v="-7.5908657370549167E-3"/>
    <n v="8.1962338949454899E-2"/>
    <n v="8.7892376681614356E-2"/>
    <n v="7.1356599798479442E-2"/>
    <n v="7.1356599798479442E-2"/>
    <n v="7.1356599798479442E-2"/>
    <n v="7.1356599798479442E-2"/>
    <n v="0.16552067762830094"/>
    <n v="0.16552067762830094"/>
    <n v="0.16552067762830094"/>
    <n v="0.16552067762830094"/>
    <x v="1"/>
    <n v="3.0231248802977756E-2"/>
    <n v="4.1125350995501686E-2"/>
    <s v=""/>
    <x v="0"/>
    <n v="3.2356599798479449E-2"/>
    <s v=""/>
    <x v="0"/>
  </r>
  <r>
    <x v="15"/>
    <s v="24"/>
    <s v="00 - Non-Divisional"/>
    <s v="00"/>
    <s v="PS Benefits - Personnel services - benefits"/>
    <s v="4225-000"/>
    <s v="Medicare Benefits"/>
    <n v="4694"/>
    <n v="4012.24"/>
    <n v="4446"/>
    <n v="4153.72"/>
    <n v="4720"/>
    <n v="4122.1899999999996"/>
    <n v="5107"/>
    <n v="5471"/>
    <n v="5471"/>
    <n v="5471"/>
    <n v="5471"/>
    <n v="364"/>
    <n v="0"/>
    <n v="7.1274720971215982E-2"/>
    <n v="-0.14524073285044742"/>
    <n v="-6.573999100314884E-2"/>
    <n v="-0.12665466101694925"/>
    <n v="-5.2833404345973584E-2"/>
    <n v="3.5262097980180769E-2"/>
    <n v="6.162843004948268E-2"/>
    <n v="-7.5907860905406847E-3"/>
    <n v="8.1991525423728812E-2"/>
    <n v="8.7984661269706013E-2"/>
    <n v="7.1274720971215982E-2"/>
    <n v="7.1274720971215982E-2"/>
    <n v="7.1274720971215982E-2"/>
    <n v="7.1274720971215982E-2"/>
    <n v="0.16553046442266722"/>
    <n v="0.16553046442266722"/>
    <n v="0.16553046442266722"/>
    <n v="0.16553046442266722"/>
    <x v="2"/>
    <n v="3.0262183709079304E-2"/>
    <n v="4.1012537262136675E-2"/>
    <s v=""/>
    <x v="0"/>
    <n v="3.2274720971215989E-2"/>
    <s v=""/>
    <x v="0"/>
  </r>
  <r>
    <x v="15"/>
    <s v="24"/>
    <s v="00 - Non-Divisional"/>
    <s v="00"/>
    <s v="PS Benefits - Personnel services - benefits"/>
    <s v="4230-000"/>
    <s v="Retirement Benefits"/>
    <n v="35019"/>
    <n v="28884.43"/>
    <n v="31629"/>
    <n v="31225.24"/>
    <n v="32362"/>
    <n v="31211.759999999998"/>
    <n v="31877"/>
    <n v="34430"/>
    <n v="34430"/>
    <n v="34430"/>
    <n v="34430"/>
    <n v="2553"/>
    <n v="0"/>
    <n v="8.0089092449101229E-2"/>
    <n v="-0.17517833176275735"/>
    <n v="-1.2765500015808227E-2"/>
    <n v="-3.5542920709474124E-2"/>
    <n v="-9.680459179302664E-2"/>
    <n v="8.1040546758236229E-2"/>
    <n v="2.3174934395649563E-2"/>
    <n v="-4.3170204616532011E-4"/>
    <n v="-1.498671281132192E-2"/>
    <n v="-8.9722721950940915E-2"/>
    <n v="8.0089092449101229E-2"/>
    <n v="8.0089092449101229E-2"/>
    <n v="8.0089092449101229E-2"/>
    <n v="8.0089092449101229E-2"/>
    <n v="-1.6819440874953597E-2"/>
    <n v="-1.6819440874953597E-2"/>
    <n v="-1.6819440874953597E-2"/>
    <n v="-1.6819440874953597E-2"/>
    <x v="14"/>
    <n v="-2.9538790069566334E-2"/>
    <n v="0.10962788251866756"/>
    <s v=""/>
    <x v="0"/>
    <n v="4.1089092449101236E-2"/>
    <s v=""/>
    <x v="0"/>
  </r>
  <r>
    <x v="15"/>
    <s v="24"/>
    <s v="00 - Non-Divisional"/>
    <s v="00"/>
    <s v="PS Benefits - Personnel services - benefits"/>
    <s v="4260-000"/>
    <s v="Workers' comp Benefits"/>
    <n v="5636"/>
    <n v="3842.75"/>
    <n v="5853"/>
    <n v="5581.12"/>
    <n v="7403"/>
    <n v="7402.71"/>
    <n v="8747"/>
    <n v="8616"/>
    <n v="8616"/>
    <n v="8616"/>
    <n v="8616"/>
    <n v="-131"/>
    <n v="0"/>
    <n v="-1.497656339316337E-2"/>
    <n v="-0.31817778566359117"/>
    <n v="-4.6451392448317121E-2"/>
    <n v="-3.917330811832549E-5"/>
    <n v="3.8502484031227822E-2"/>
    <n v="0.45237655324962589"/>
    <n v="0.26482145908081328"/>
    <n v="0.32638430995929135"/>
    <n v="0.18154802107253817"/>
    <n v="0.55198722498225694"/>
    <n v="-1.497656339316337E-2"/>
    <n v="-1.497656339316337E-2"/>
    <n v="-1.497656339316337E-2"/>
    <n v="-1.497656339316337E-2"/>
    <n v="0.5287437899219305"/>
    <n v="0.5287437899219305"/>
    <n v="0.5287437899219305"/>
    <n v="0.5287437899219305"/>
    <x v="3"/>
    <n v="0.16162398806152642"/>
    <n v="-0.17660055145468978"/>
    <s v=""/>
    <x v="0"/>
    <n v="-5.3976563393163361E-2"/>
    <s v=""/>
    <x v="0"/>
  </r>
  <r>
    <x v="15"/>
    <s v="24"/>
    <s v="00 - Non-Divisional"/>
    <s v="00"/>
    <s v="PS prof - Purchased services - professional &amp; technical"/>
    <s v="4330-000"/>
    <s v="MGMT services Services"/>
    <n v="3500"/>
    <n v="277.5"/>
    <n v="3500"/>
    <n v="1727.41"/>
    <n v="2300"/>
    <n v="2531.8000000000002"/>
    <n v="2300"/>
    <n v="2300"/>
    <n v="2300"/>
    <n v="2300"/>
    <n v="2300"/>
    <n v="0"/>
    <n v="0"/>
    <n v="0"/>
    <n v="-0.92071428571428571"/>
    <n v="-0.50645428571428575"/>
    <n v="0.10078260869565225"/>
    <n v="0"/>
    <n v="5.2249009009009013"/>
    <n v="-0.34285714285714286"/>
    <n v="0.46566246577245707"/>
    <n v="0"/>
    <n v="-0.34285714285714286"/>
    <n v="0"/>
    <n v="0"/>
    <n v="0"/>
    <n v="0"/>
    <n v="-0.34285714285714286"/>
    <n v="-0.34285714285714286"/>
    <n v="-0.34285714285714286"/>
    <n v="-0.34285714285714286"/>
    <x v="7"/>
    <n v="-0.11428571428571428"/>
    <n v="0.11428571428571428"/>
    <n v="2037.1428571428571"/>
    <x v="49"/>
    <n v="-3.8999999999999993E-2"/>
    <s v=""/>
    <x v="0"/>
  </r>
  <r>
    <x v="15"/>
    <s v="24"/>
    <s v="00 - Non-Divisional"/>
    <s v="00"/>
    <s v="PS prof - Purchased services - professional &amp; technical"/>
    <s v="4341-000"/>
    <s v="Telephone Services"/>
    <n v="1500"/>
    <n v="1816.24"/>
    <n v="1500"/>
    <n v="1095.8499999999999"/>
    <n v="1700"/>
    <n v="888.53"/>
    <n v="1575"/>
    <n v="1900"/>
    <n v="1900"/>
    <n v="1900"/>
    <n v="1575"/>
    <n v="325"/>
    <n v="325"/>
    <n v="0.20634920634920634"/>
    <n v="0.21082666666666666"/>
    <n v="-0.26943333333333341"/>
    <n v="-0.47733529411764708"/>
    <n v="0"/>
    <n v="-0.39663810950094708"/>
    <n v="0.13333333333333333"/>
    <n v="-0.18918647625131171"/>
    <n v="-7.3529411764705885E-2"/>
    <n v="0.05"/>
    <n v="0.20634920634920634"/>
    <n v="0.20634920634920634"/>
    <n v="0.20634920634920634"/>
    <n v="0"/>
    <n v="0.26666666666666666"/>
    <n v="0.26666666666666666"/>
    <n v="0.26666666666666666"/>
    <n v="0.05"/>
    <x v="34"/>
    <n v="1.9934640522875816E-2"/>
    <n v="0.18641456582633054"/>
    <n v="1606.3970588235293"/>
    <x v="50"/>
    <n v="0.16734920634920636"/>
    <n v="1636.425"/>
    <x v="46"/>
  </r>
  <r>
    <x v="15"/>
    <s v="24"/>
    <s v="00 - Non-Divisional"/>
    <s v="00"/>
    <s v="PS prof - Purchased services - professional &amp; technical"/>
    <s v="4580-000"/>
    <s v="Mosquito Control"/>
    <n v="37000"/>
    <n v="37000"/>
    <n v="38510"/>
    <n v="38510"/>
    <n v="38510"/>
    <n v="41099.4"/>
    <n v="38510"/>
    <n v="45975"/>
    <n v="45975"/>
    <n v="45975"/>
    <n v="45975"/>
    <n v="7465"/>
    <n v="0"/>
    <n v="0.19384575434951962"/>
    <n v="0"/>
    <n v="0"/>
    <n v="6.7239678005712844E-2"/>
    <n v="4.081081081081081E-2"/>
    <n v="4.081081081081081E-2"/>
    <n v="0"/>
    <n v="6.7239678005712844E-2"/>
    <n v="0"/>
    <n v="4.081081081081081E-2"/>
    <n v="0.19384575434951962"/>
    <n v="0.19384575434951962"/>
    <n v="0.19384575434951962"/>
    <n v="0.19384575434951962"/>
    <n v="0.24256756756756756"/>
    <n v="0.24256756756756756"/>
    <n v="0.24256756756756756"/>
    <n v="0.24256756756756756"/>
    <x v="75"/>
    <n v="1.3603603603603603E-2"/>
    <n v="0.18024215074591601"/>
    <n v="39033.874774774777"/>
    <x v="51"/>
    <n v="0.15484575434951964"/>
    <n v="40011.89"/>
    <x v="47"/>
  </r>
  <r>
    <x v="15"/>
    <s v="24"/>
    <s v="00 - Non-Divisional"/>
    <s v="00"/>
    <s v="PS other - Purchased services - other"/>
    <s v="4550-000"/>
    <s v="Printing Services"/>
    <n v="700"/>
    <n v="149.44999999999999"/>
    <n v="700"/>
    <n v="297.29000000000002"/>
    <n v="700"/>
    <n v="592.47"/>
    <n v="700"/>
    <n v="700"/>
    <n v="700"/>
    <n v="700"/>
    <n v="700"/>
    <n v="0"/>
    <n v="0"/>
    <n v="0"/>
    <n v="-0.78649999999999998"/>
    <n v="-0.57529999999999992"/>
    <n v="-0.15361428571428568"/>
    <n v="0"/>
    <n v="0.98922716627634688"/>
    <n v="0"/>
    <n v="0.99290255306266606"/>
    <n v="0"/>
    <n v="0"/>
    <n v="0"/>
    <n v="0"/>
    <n v="0"/>
    <n v="0"/>
    <n v="0"/>
    <n v="0"/>
    <n v="0"/>
    <n v="0"/>
    <x v="4"/>
    <n v="0"/>
    <n v="0"/>
    <s v=""/>
    <x v="0"/>
    <n v="-3.8999999999999993E-2"/>
    <s v=""/>
    <x v="0"/>
  </r>
  <r>
    <x v="15"/>
    <s v="24"/>
    <s v="00 - Non-Divisional"/>
    <s v="00"/>
    <s v="PS other - Purchased services - other"/>
    <s v="4560-000"/>
    <s v="Dues &amp; subs Services"/>
    <n v="1395"/>
    <n v="571"/>
    <n v="1395"/>
    <n v="473.97"/>
    <n v="1395"/>
    <n v="490"/>
    <n v="1255"/>
    <n v="750"/>
    <n v="750"/>
    <n v="750"/>
    <n v="1255"/>
    <n v="-505"/>
    <n v="-505"/>
    <n v="-0.40239043824701193"/>
    <n v="-0.59068100358422937"/>
    <n v="-0.66023655913978496"/>
    <n v="-0.64874551971326166"/>
    <n v="0"/>
    <n v="-0.16992994746059539"/>
    <n v="0"/>
    <n v="3.3820705951853436E-2"/>
    <n v="-0.1003584229390681"/>
    <n v="-0.1003584229390681"/>
    <n v="-0.40239043824701193"/>
    <n v="-0.40239043824701193"/>
    <n v="-0.40239043824701193"/>
    <n v="0"/>
    <n v="-0.46236559139784944"/>
    <n v="-0.46236559139784944"/>
    <n v="-0.46236559139784944"/>
    <n v="-0.1003584229390681"/>
    <x v="15"/>
    <n v="-3.3452807646356032E-2"/>
    <n v="-0.36893763060065587"/>
    <s v=""/>
    <x v="0"/>
    <n v="-0.44139043824701191"/>
    <s v=""/>
    <x v="0"/>
  </r>
  <r>
    <x v="15"/>
    <s v="24"/>
    <s v="00 - Non-Divisional"/>
    <s v="00"/>
    <s v="PS other - Purchased services - other"/>
    <s v="4570-000"/>
    <s v="Sem &amp; workshops Services"/>
    <n v="3400"/>
    <n v="620"/>
    <n v="3400"/>
    <n v="1500"/>
    <n v="3400"/>
    <n v="2865.64"/>
    <n v="2400"/>
    <n v="2400"/>
    <n v="2400"/>
    <n v="2400"/>
    <n v="2400"/>
    <n v="0"/>
    <n v="0"/>
    <n v="0"/>
    <n v="-0.81764705882352939"/>
    <n v="-0.55882352941176472"/>
    <n v="-0.15716470588235298"/>
    <n v="0"/>
    <n v="1.4193548387096775"/>
    <n v="0"/>
    <n v="0.91042666666666661"/>
    <n v="-0.29411764705882354"/>
    <n v="-0.29411764705882354"/>
    <n v="0"/>
    <n v="0"/>
    <n v="0"/>
    <n v="0"/>
    <n v="-0.29411764705882354"/>
    <n v="-0.29411764705882354"/>
    <n v="-0.29411764705882354"/>
    <n v="-0.29411764705882354"/>
    <x v="5"/>
    <n v="-9.8039215686274508E-2"/>
    <n v="9.8039215686274508E-2"/>
    <n v="2164.705882352941"/>
    <x v="52"/>
    <n v="-3.8999999999999993E-2"/>
    <s v=""/>
    <x v="0"/>
  </r>
  <r>
    <x v="15"/>
    <s v="24"/>
    <s v="00 - Non-Divisional"/>
    <s v="00"/>
    <s v="PS other - Purchased services - other"/>
    <s v="4575-000"/>
    <s v="Travel &amp; mileage Services"/>
    <n v="250"/>
    <n v="0"/>
    <n v="250"/>
    <n v="0"/>
    <n v="250"/>
    <n v="0"/>
    <n v="175"/>
    <n v="125"/>
    <n v="125"/>
    <n v="125"/>
    <n v="175"/>
    <n v="-50"/>
    <n v="-50"/>
    <n v="-0.2857142857142857"/>
    <n v="-1"/>
    <n v="-1"/>
    <n v="-1"/>
    <n v="0"/>
    <s v=""/>
    <n v="0"/>
    <s v=""/>
    <n v="-0.3"/>
    <n v="-0.3"/>
    <n v="-0.2857142857142857"/>
    <n v="-0.2857142857142857"/>
    <n v="-0.2857142857142857"/>
    <n v="0"/>
    <n v="-0.5"/>
    <n v="-0.5"/>
    <n v="-0.5"/>
    <n v="-0.3"/>
    <x v="6"/>
    <n v="-9.9999999999999992E-2"/>
    <n v="-0.18571428571428572"/>
    <s v=""/>
    <x v="0"/>
    <n v="-0.32471428571428568"/>
    <s v=""/>
    <x v="0"/>
  </r>
  <r>
    <x v="15"/>
    <s v="24"/>
    <s v="00 - Non-Divisional"/>
    <s v="00"/>
    <s v="Supplies - Supplies"/>
    <s v="4620-000"/>
    <s v="Office supplies Supplies"/>
    <n v="450"/>
    <n v="1116.08"/>
    <n v="450"/>
    <n v="428.37"/>
    <n v="450"/>
    <n v="1354.31"/>
    <n v="450"/>
    <n v="450"/>
    <n v="450"/>
    <n v="450"/>
    <n v="450"/>
    <n v="0"/>
    <n v="0"/>
    <n v="0"/>
    <n v="1.4801777777777776"/>
    <n v="-4.8066666666666653E-2"/>
    <n v="2.0095777777777775"/>
    <n v="0"/>
    <n v="-0.6161834277112751"/>
    <n v="0"/>
    <n v="2.1615425916847584"/>
    <n v="0"/>
    <n v="0"/>
    <n v="0"/>
    <n v="0"/>
    <n v="0"/>
    <n v="0"/>
    <n v="0"/>
    <n v="0"/>
    <n v="0"/>
    <n v="0"/>
    <x v="16"/>
    <n v="0"/>
    <n v="0"/>
    <s v=""/>
    <x v="0"/>
    <n v="-3.8999999999999993E-2"/>
    <s v=""/>
    <x v="0"/>
  </r>
  <r>
    <x v="15"/>
    <s v="24"/>
    <s v="00 - Non-Divisional"/>
    <s v="00"/>
    <s v="Supplies - Supplies"/>
    <s v="4625-000"/>
    <s v="Postage Supplies"/>
    <n v="500"/>
    <n v="614.29999999999995"/>
    <n v="500"/>
    <n v="688.81"/>
    <n v="500"/>
    <n v="389.22"/>
    <n v="500"/>
    <n v="500"/>
    <n v="500"/>
    <n v="500"/>
    <n v="500"/>
    <n v="0"/>
    <n v="0"/>
    <n v="0"/>
    <n v="0.22859999999999991"/>
    <n v="0.3776199999999999"/>
    <n v="-0.22155999999999995"/>
    <n v="0"/>
    <n v="0.1212925280807423"/>
    <n v="0"/>
    <n v="-0.43493851715277065"/>
    <n v="0"/>
    <n v="0"/>
    <n v="0"/>
    <n v="0"/>
    <n v="0"/>
    <n v="0"/>
    <n v="0"/>
    <n v="0"/>
    <n v="0"/>
    <n v="0"/>
    <x v="17"/>
    <n v="0"/>
    <n v="0"/>
    <s v=""/>
    <x v="0"/>
    <n v="-3.8999999999999993E-2"/>
    <s v=""/>
    <x v="0"/>
  </r>
  <r>
    <x v="16"/>
    <s v="26"/>
    <s v="01 - Administration"/>
    <s v="01"/>
    <s v="PS Salaries - Personnel services - salaries"/>
    <s v="4110-000"/>
    <s v="Regular Salaries"/>
    <n v="1190113"/>
    <n v="1064322.04"/>
    <n v="1225569"/>
    <n v="1027209.93"/>
    <n v="1262806"/>
    <n v="1082171.77"/>
    <n v="1296251"/>
    <n v="1538496"/>
    <n v="1538496"/>
    <n v="1538496"/>
    <n v="1507660"/>
    <n v="242245"/>
    <n v="30836"/>
    <n v="0.18688124445034179"/>
    <n v="-0.10569665233469423"/>
    <n v="-0.16185059347943687"/>
    <n v="-0.14304194785263927"/>
    <n v="2.9792128982710046E-2"/>
    <n v="-3.4869248784888437E-2"/>
    <n v="3.0383438223388484E-2"/>
    <n v="5.3505946929465496E-2"/>
    <n v="2.6484669854276905E-2"/>
    <n v="8.9183127988686786E-2"/>
    <n v="0.18688124445034179"/>
    <n v="0.18688124445034179"/>
    <n v="0.18688124445034179"/>
    <n v="0.16309264178002564"/>
    <n v="0.29273102638152848"/>
    <n v="0.29273102638152848"/>
    <n v="0.29273102638152848"/>
    <n v="0.26682088171459351"/>
    <x v="10"/>
    <n v="2.8886745686791809E-2"/>
    <n v="0.15799449876354998"/>
    <s v=""/>
    <x v="0"/>
    <n v="0.14788124445034179"/>
    <s v=""/>
    <x v="0"/>
  </r>
  <r>
    <x v="16"/>
    <s v="26"/>
    <s v="01 - Administration"/>
    <s v="01"/>
    <s v="PS Salaries - Personnel services - salaries"/>
    <s v="4120-000"/>
    <s v="Part-time Salaries"/>
    <n v="54325"/>
    <n v="37927.56"/>
    <n v="63890"/>
    <n v="33685.19"/>
    <n v="69839"/>
    <n v="30352.34"/>
    <n v="69839"/>
    <n v="49920"/>
    <n v="49920"/>
    <n v="49920"/>
    <n v="74589"/>
    <n v="-19919"/>
    <n v="-24669"/>
    <n v="-0.28521313306318818"/>
    <n v="-0.30183966866083761"/>
    <n v="-0.47276271717013613"/>
    <n v="-0.56539555262818775"/>
    <n v="0.17606994937873907"/>
    <n v="-0.11185454587640216"/>
    <n v="9.3113163249334788E-2"/>
    <n v="-9.8941107353112803E-2"/>
    <n v="0"/>
    <n v="0.28557754256787848"/>
    <n v="-0.28521313306318818"/>
    <n v="-0.28521313306318818"/>
    <n v="-0.28521313306318818"/>
    <n v="6.8013574077521149E-2"/>
    <n v="-8.1086056143580304E-2"/>
    <n v="-8.1086056143580304E-2"/>
    <n v="-8.1086056143580304E-2"/>
    <n v="0.3730142659917165"/>
    <x v="11"/>
    <n v="8.9727704209357953E-2"/>
    <n v="-0.37494083727254612"/>
    <s v=""/>
    <x v="0"/>
    <n v="-0.32421313306318816"/>
    <s v=""/>
    <x v="0"/>
  </r>
  <r>
    <x v="16"/>
    <s v="26"/>
    <s v="01 - Administration"/>
    <s v="01"/>
    <s v="PS Salaries - Personnel services - salaries"/>
    <s v="4140-000"/>
    <s v="Overtime Salaries"/>
    <n v="179785"/>
    <n v="200536.67"/>
    <n v="185326"/>
    <n v="155268.04999999999"/>
    <n v="188720"/>
    <n v="156608.04"/>
    <n v="190160"/>
    <n v="217038"/>
    <n v="217038"/>
    <n v="217038"/>
    <n v="217038"/>
    <n v="26878"/>
    <n v="0"/>
    <n v="0.14134413125788808"/>
    <n v="0.1154249242150347"/>
    <n v="-0.16218960102737884"/>
    <n v="-0.17015663416701987"/>
    <n v="3.0820146285841423E-2"/>
    <n v="-0.22573736763455793"/>
    <n v="1.831367428207591E-2"/>
    <n v="8.6301721442371433E-3"/>
    <n v="7.6303518440016954E-3"/>
    <n v="5.7707817671107157E-2"/>
    <n v="0.14134413125788808"/>
    <n v="0.14134413125788808"/>
    <n v="0.14134413125788808"/>
    <n v="0.14134413125788808"/>
    <n v="0.20720861028450649"/>
    <n v="0.20720861028450649"/>
    <n v="0.20720861028450649"/>
    <n v="0.20720861028450649"/>
    <x v="12"/>
    <n v="1.8921390803973009E-2"/>
    <n v="0.12242274045391507"/>
    <s v=""/>
    <x v="0"/>
    <n v="0.10234413125788809"/>
    <s v=""/>
    <x v="0"/>
  </r>
  <r>
    <x v="16"/>
    <s v="26"/>
    <s v="01 - Administration"/>
    <s v="01"/>
    <s v="PS Salaries - Personnel services - salaries"/>
    <s v="4145-000"/>
    <s v="Snow overtime Salaries"/>
    <n v="157027"/>
    <n v="151109.4"/>
    <n v="157027"/>
    <n v="106529.58"/>
    <n v="157027"/>
    <n v="104841.11"/>
    <n v="157027"/>
    <n v="157027"/>
    <n v="157027"/>
    <n v="157027"/>
    <n v="157027"/>
    <n v="0"/>
    <n v="0"/>
    <n v="0"/>
    <n v="-3.7685238844275222E-2"/>
    <n v="-0.32158431352569938"/>
    <n v="-0.33233705031618765"/>
    <n v="0"/>
    <n v="-0.29501685533792071"/>
    <n v="0"/>
    <n v="-1.584977618422978E-2"/>
    <n v="0"/>
    <n v="0"/>
    <n v="0"/>
    <n v="0"/>
    <n v="0"/>
    <n v="0"/>
    <n v="0"/>
    <n v="0"/>
    <n v="0"/>
    <n v="0"/>
    <x v="76"/>
    <n v="0"/>
    <n v="0"/>
    <s v=""/>
    <x v="0"/>
    <n v="-3.8999999999999993E-2"/>
    <s v=""/>
    <x v="0"/>
  </r>
  <r>
    <x v="16"/>
    <s v="26"/>
    <s v="01 - Administration"/>
    <s v="01"/>
    <s v="PS Benefits - Personnel services - benefits"/>
    <s v="4215-000"/>
    <s v="STD, LTD, &amp; Life  Benefits"/>
    <n v="14863"/>
    <n v="12161.71"/>
    <n v="16471"/>
    <n v="13253.77"/>
    <n v="14954"/>
    <n v="9998.59"/>
    <n v="9000"/>
    <n v="12292"/>
    <n v="12292"/>
    <n v="12292"/>
    <n v="11989"/>
    <n v="3292"/>
    <n v="303"/>
    <n v="0.36577777777777776"/>
    <n v="-0.18174594630962798"/>
    <n v="-0.19532693825511502"/>
    <n v="-0.33137688912665508"/>
    <n v="0.10818811814573101"/>
    <n v="8.9794938376264635E-2"/>
    <n v="-9.2101268896849012E-2"/>
    <n v="-0.24560408095206121"/>
    <n v="-0.3981543399759262"/>
    <n v="-0.39446948799031151"/>
    <n v="0.36577777777777776"/>
    <n v="0.36577777777777776"/>
    <n v="0.36577777777777776"/>
    <n v="0.33211111111111113"/>
    <n v="-0.17297988293076769"/>
    <n v="-0.17297988293076769"/>
    <n v="-0.17297988293076769"/>
    <n v="-0.19336607683509385"/>
    <x v="13"/>
    <n v="-0.12735583024234806"/>
    <n v="0.49313360802012585"/>
    <s v=""/>
    <x v="0"/>
    <n v="0.32677777777777778"/>
    <s v=""/>
    <x v="0"/>
  </r>
  <r>
    <x v="16"/>
    <s v="26"/>
    <s v="01 - Administration"/>
    <s v="01"/>
    <s v="PS Benefits - Personnel services - benefits"/>
    <s v="4220-000"/>
    <s v="FICA Benefits"/>
    <n v="88303"/>
    <n v="87385.17"/>
    <n v="91518"/>
    <n v="81132.28"/>
    <n v="94325"/>
    <n v="81388.09"/>
    <n v="96490"/>
    <n v="121674"/>
    <n v="121674"/>
    <n v="121674"/>
    <n v="121292"/>
    <n v="25184"/>
    <n v="382"/>
    <n v="0.2610011400145093"/>
    <n v="-1.0394097595778192E-2"/>
    <n v="-0.11348281212439085"/>
    <n v="-0.13715250463821896"/>
    <n v="3.6408729035253613E-2"/>
    <n v="-7.1555505356343641E-2"/>
    <n v="3.0671561878537555E-2"/>
    <n v="3.152999028253584E-3"/>
    <n v="2.2952557646435199E-2"/>
    <n v="9.2714856799882228E-2"/>
    <n v="0.2610011400145093"/>
    <n v="0.2610011400145093"/>
    <n v="0.2610011400145093"/>
    <n v="0.25704218053684319"/>
    <n v="0.37791468013544272"/>
    <n v="0.37791468013544272"/>
    <n v="0.37791468013544272"/>
    <n v="0.37358866629672832"/>
    <x v="1"/>
    <n v="3.0010949520075453E-2"/>
    <n v="0.23099019049443384"/>
    <s v=""/>
    <x v="0"/>
    <n v="0.22200114001450932"/>
    <s v=""/>
    <x v="0"/>
  </r>
  <r>
    <x v="16"/>
    <s v="26"/>
    <s v="01 - Administration"/>
    <s v="01"/>
    <s v="PS Benefits - Personnel services - benefits"/>
    <s v="4225-000"/>
    <s v="Medicare Benefits"/>
    <n v="20652"/>
    <n v="20437.03"/>
    <n v="21385"/>
    <n v="18974.63"/>
    <n v="22060"/>
    <n v="19034.43"/>
    <n v="22568"/>
    <n v="28456"/>
    <n v="28456"/>
    <n v="28456"/>
    <n v="28367"/>
    <n v="5888"/>
    <n v="89"/>
    <n v="0.26090038993264802"/>
    <n v="-1.040916134030608E-2"/>
    <n v="-0.11271311667056343"/>
    <n v="-0.13715185856754306"/>
    <n v="3.5492930466782875E-2"/>
    <n v="-7.1556385639204814E-2"/>
    <n v="3.1564180500350716E-2"/>
    <n v="3.1515766051827768E-3"/>
    <n v="2.3028105167724387E-2"/>
    <n v="9.2775518109626184E-2"/>
    <n v="0.26090038993264802"/>
    <n v="0.26090038993264802"/>
    <n v="0.26090038993264802"/>
    <n v="0.25695675292449488"/>
    <n v="0.3778810768932791"/>
    <n v="0.3778810768932791"/>
    <n v="0.3778810768932791"/>
    <n v="0.37357156691845828"/>
    <x v="2"/>
    <n v="3.0028405378285994E-2"/>
    <n v="0.23087198455436203"/>
    <s v=""/>
    <x v="0"/>
    <n v="0.22190038993264805"/>
    <s v=""/>
    <x v="0"/>
  </r>
  <r>
    <x v="16"/>
    <s v="26"/>
    <s v="01 - Administration"/>
    <s v="01"/>
    <s v="PS Benefits - Personnel services - benefits"/>
    <s v="4230-000"/>
    <s v="Retirement Benefits"/>
    <n v="198094"/>
    <n v="196247.91"/>
    <n v="196973"/>
    <n v="175718.86"/>
    <n v="196392"/>
    <n v="174543.73"/>
    <n v="189520"/>
    <n v="243852"/>
    <n v="243852"/>
    <n v="243852"/>
    <n v="239920"/>
    <n v="54332"/>
    <n v="3932"/>
    <n v="0.28668214436471084"/>
    <n v="-9.3192625723141371E-3"/>
    <n v="-0.10790382438202198"/>
    <n v="-0.11124826876858522"/>
    <n v="-5.6589295990792246E-3"/>
    <n v="-0.10460773824291947"/>
    <n v="-2.9496428444507625E-3"/>
    <n v="-6.6875576133374392E-3"/>
    <n v="-3.4991242005784351E-2"/>
    <n v="-4.3282482053974378E-2"/>
    <n v="0.28668214436471084"/>
    <n v="0.28668214436471084"/>
    <n v="0.28668214436471084"/>
    <n v="0.26593499366821444"/>
    <n v="0.23099134754207598"/>
    <n v="0.23099134754207598"/>
    <n v="0.23099134754207598"/>
    <n v="0.21114218502327178"/>
    <x v="14"/>
    <n v="-1.4533271483104779E-2"/>
    <n v="0.30121541584781564"/>
    <s v=""/>
    <x v="0"/>
    <n v="0.24768214436471087"/>
    <s v=""/>
    <x v="0"/>
  </r>
  <r>
    <x v="16"/>
    <s v="26"/>
    <s v="01 - Administration"/>
    <s v="01"/>
    <s v="PS Benefits - Personnel services - benefits"/>
    <s v="4260-000"/>
    <s v="Workers' comp Benefits"/>
    <n v="33047"/>
    <n v="31500.79"/>
    <n v="34995"/>
    <n v="37287.440000000002"/>
    <n v="41785"/>
    <n v="41785.449999999997"/>
    <n v="49371"/>
    <n v="48635"/>
    <n v="48635"/>
    <n v="48635"/>
    <n v="48635"/>
    <n v="-736"/>
    <n v="0"/>
    <n v="-1.4907536813108911E-2"/>
    <n v="-4.6788210730172156E-2"/>
    <n v="6.5507643949135663E-2"/>
    <n v="1.0769414861722857E-5"/>
    <n v="5.894634913910491E-2"/>
    <n v="0.18369856755973427"/>
    <n v="0.19402771824546364"/>
    <n v="0.12063070031088201"/>
    <n v="0.18154840253679549"/>
    <n v="0.49396314340182162"/>
    <n v="-1.4907536813108911E-2"/>
    <n v="-1.4907536813108911E-2"/>
    <n v="-1.4907536813108911E-2"/>
    <n v="-1.4907536813108911E-2"/>
    <n v="0.47169183284413108"/>
    <n v="0.47169183284413108"/>
    <n v="0.47169183284413108"/>
    <n v="0.47169183284413108"/>
    <x v="3"/>
    <n v="0.14484082330712136"/>
    <n v="-0.15974836012023028"/>
    <s v=""/>
    <x v="0"/>
    <n v="-5.3907536813108906E-2"/>
    <s v=""/>
    <x v="0"/>
  </r>
  <r>
    <x v="16"/>
    <s v="26"/>
    <s v="01 - Administration"/>
    <s v="01"/>
    <s v="PS prof - Purchased services - professional &amp; technical"/>
    <s v="4241-000"/>
    <s v="Training Benefits"/>
    <n v="5000"/>
    <n v="5565"/>
    <n v="5000"/>
    <n v="720"/>
    <n v="5000"/>
    <n v="235"/>
    <n v="5000"/>
    <n v="5000"/>
    <n v="5000"/>
    <n v="5000"/>
    <n v="5000"/>
    <n v="0"/>
    <n v="0"/>
    <n v="0"/>
    <n v="0.113"/>
    <n v="-0.85599999999999998"/>
    <n v="-0.95299999999999996"/>
    <n v="0"/>
    <n v="-0.87061994609164417"/>
    <n v="0"/>
    <n v="-0.67361111111111116"/>
    <n v="0"/>
    <n v="0"/>
    <n v="0"/>
    <n v="0"/>
    <n v="0"/>
    <n v="0"/>
    <n v="0"/>
    <n v="0"/>
    <n v="0"/>
    <n v="0"/>
    <x v="30"/>
    <n v="0"/>
    <n v="0"/>
    <s v=""/>
    <x v="0"/>
    <n v="-3.8999999999999993E-2"/>
    <s v=""/>
    <x v="0"/>
  </r>
  <r>
    <x v="16"/>
    <s v="26"/>
    <s v="01 - Administration"/>
    <s v="01"/>
    <s v="PS prof - Purchased services - professional &amp; technical"/>
    <s v="4241-001"/>
    <s v="CDL Training"/>
    <n v="0"/>
    <n v="0"/>
    <n v="0"/>
    <n v="0"/>
    <n v="0"/>
    <n v="0"/>
    <n v="8000"/>
    <n v="8000"/>
    <n v="8000"/>
    <n v="8000"/>
    <n v="8000"/>
    <n v="0"/>
    <n v="0"/>
    <n v="0"/>
    <s v=""/>
    <s v=""/>
    <s v=""/>
    <s v=""/>
    <s v=""/>
    <s v=""/>
    <s v=""/>
    <s v=""/>
    <s v=""/>
    <n v="0"/>
    <n v="0"/>
    <n v="0"/>
    <n v="0"/>
    <s v=""/>
    <s v=""/>
    <s v=""/>
    <s v=""/>
    <x v="77"/>
    <n v="0"/>
    <n v="0"/>
    <s v=""/>
    <x v="0"/>
    <n v="-3.8999999999999993E-2"/>
    <s v=""/>
    <x v="0"/>
  </r>
  <r>
    <x v="16"/>
    <s v="26"/>
    <s v="01 - Administration"/>
    <s v="01"/>
    <s v="PS prof - Purchased services - professional &amp; technical"/>
    <s v="4311-000"/>
    <s v="Engineering Services"/>
    <n v="50000"/>
    <n v="69874.100000000006"/>
    <n v="96290"/>
    <n v="96290"/>
    <n v="96290"/>
    <n v="96290"/>
    <n v="96290"/>
    <n v="96290"/>
    <n v="96290"/>
    <n v="96290"/>
    <n v="96290"/>
    <n v="0"/>
    <n v="0"/>
    <n v="0"/>
    <n v="0.39748200000000011"/>
    <n v="0"/>
    <n v="0"/>
    <n v="0.92579999999999996"/>
    <n v="0.378049949838352"/>
    <n v="0"/>
    <n v="0"/>
    <n v="0"/>
    <n v="0.92579999999999996"/>
    <n v="0"/>
    <n v="0"/>
    <n v="0"/>
    <n v="0"/>
    <n v="0.92579999999999996"/>
    <n v="0.92579999999999996"/>
    <n v="0.92579999999999996"/>
    <n v="0.92579999999999996"/>
    <x v="78"/>
    <n v="0.30859999999999999"/>
    <n v="-0.30859999999999999"/>
    <s v=""/>
    <x v="0"/>
    <n v="-3.8999999999999993E-2"/>
    <s v=""/>
    <x v="0"/>
  </r>
  <r>
    <x v="16"/>
    <s v="26"/>
    <s v="01 - Administration"/>
    <s v="01"/>
    <s v="PS prof - Purchased services - professional &amp; technical"/>
    <s v="4330-000"/>
    <s v="MGMT services Services"/>
    <n v="60000"/>
    <n v="105215"/>
    <n v="90000"/>
    <n v="152398"/>
    <n v="130000"/>
    <n v="130250"/>
    <n v="130000"/>
    <n v="130000"/>
    <n v="130000"/>
    <n v="130000"/>
    <n v="130000"/>
    <n v="0"/>
    <n v="0"/>
    <n v="0"/>
    <n v="0.75358333333333338"/>
    <n v="0.6933111111111111"/>
    <n v="1.9230769230769232E-3"/>
    <n v="0.5"/>
    <n v="0.44844366297581145"/>
    <n v="0.44444444444444442"/>
    <n v="-0.14532999120723369"/>
    <n v="0"/>
    <n v="1.1666666666666667"/>
    <n v="0"/>
    <n v="0"/>
    <n v="0"/>
    <n v="0"/>
    <n v="1.1666666666666667"/>
    <n v="1.1666666666666667"/>
    <n v="1.1666666666666667"/>
    <n v="1.1666666666666667"/>
    <x v="7"/>
    <n v="0.31481481481481483"/>
    <n v="-0.31481481481481483"/>
    <s v=""/>
    <x v="0"/>
    <n v="-3.8999999999999993E-2"/>
    <s v=""/>
    <x v="0"/>
  </r>
  <r>
    <x v="16"/>
    <s v="26"/>
    <s v="01 - Administration"/>
    <s v="01"/>
    <s v="PS prof - Purchased services - professional &amp; technical"/>
    <s v="4333-000"/>
    <s v="Work Zone Safety - Services"/>
    <n v="0"/>
    <n v="0"/>
    <n v="0"/>
    <n v="0"/>
    <n v="0"/>
    <n v="0"/>
    <n v="64000"/>
    <n v="64000"/>
    <n v="64000"/>
    <n v="64000"/>
    <n v="64000"/>
    <n v="0"/>
    <n v="0"/>
    <n v="0"/>
    <s v=""/>
    <s v=""/>
    <s v=""/>
    <s v=""/>
    <s v=""/>
    <s v=""/>
    <s v=""/>
    <s v=""/>
    <s v=""/>
    <n v="0"/>
    <n v="0"/>
    <n v="0"/>
    <n v="0"/>
    <s v=""/>
    <s v=""/>
    <s v=""/>
    <s v=""/>
    <x v="79"/>
    <n v="0"/>
    <n v="0"/>
    <s v=""/>
    <x v="0"/>
    <n v="-3.8999999999999993E-2"/>
    <s v=""/>
    <x v="0"/>
  </r>
  <r>
    <x v="16"/>
    <s v="26"/>
    <s v="01 - Administration"/>
    <s v="01"/>
    <s v="PS prof - Purchased services - professional &amp; technical"/>
    <s v="4341-000"/>
    <s v="Telephone Services"/>
    <n v="2500"/>
    <n v="1232.27"/>
    <n v="2500"/>
    <n v="1309.55"/>
    <n v="2500"/>
    <n v="1333.56"/>
    <n v="2500"/>
    <n v="2000"/>
    <n v="2000"/>
    <n v="2000"/>
    <n v="2500"/>
    <n v="-500"/>
    <n v="-500"/>
    <n v="-0.2"/>
    <n v="-0.50709199999999999"/>
    <n v="-0.47617999999999999"/>
    <n v="-0.46657600000000005"/>
    <n v="0"/>
    <n v="6.2713528690952453E-2"/>
    <n v="0"/>
    <n v="1.8334542400061084E-2"/>
    <n v="0"/>
    <n v="0"/>
    <n v="-0.2"/>
    <n v="-0.2"/>
    <n v="-0.2"/>
    <n v="0"/>
    <n v="-0.2"/>
    <n v="-0.2"/>
    <n v="-0.2"/>
    <n v="0"/>
    <x v="34"/>
    <n v="0"/>
    <n v="-0.2"/>
    <s v=""/>
    <x v="0"/>
    <n v="-0.23899999999999999"/>
    <s v=""/>
    <x v="0"/>
  </r>
  <r>
    <x v="16"/>
    <s v="26"/>
    <s v="01 - Administration"/>
    <s v="01"/>
    <s v="PS prof - Purchased services - professional &amp; technical"/>
    <s v="4440-000"/>
    <s v="Rental and leases Services"/>
    <n v="1290"/>
    <n v="385.93"/>
    <n v="0"/>
    <n v="0"/>
    <n v="0"/>
    <n v="0"/>
    <m/>
    <n v="0"/>
    <n v="0"/>
    <n v="0"/>
    <n v="0"/>
    <n v="0"/>
    <n v="0"/>
    <s v=""/>
    <n v="-0.70082945736434099"/>
    <s v=""/>
    <s v=""/>
    <n v="-1"/>
    <n v="-1"/>
    <s v=""/>
    <s v=""/>
    <s v=""/>
    <n v="-1"/>
    <s v=""/>
    <s v=""/>
    <s v=""/>
    <s v=""/>
    <n v="-1"/>
    <n v="-1"/>
    <n v="-1"/>
    <n v="-1"/>
    <x v="25"/>
    <n v="-1"/>
    <n v="1"/>
    <n v="0"/>
    <x v="9"/>
    <n v="-3.8999999999999993E-2"/>
    <s v=""/>
    <x v="0"/>
  </r>
  <r>
    <x v="16"/>
    <s v="26"/>
    <s v="01 - Administration"/>
    <s v="01"/>
    <s v="PS property - Purchased services - property services"/>
    <s v="4410-000"/>
    <s v="Electric Services"/>
    <n v="8000"/>
    <n v="10273.969999999999"/>
    <n v="8800"/>
    <n v="12047.25"/>
    <n v="8800"/>
    <n v="9927.4599999999991"/>
    <n v="10950"/>
    <n v="10950"/>
    <n v="10950"/>
    <n v="10950"/>
    <n v="10950"/>
    <n v="0"/>
    <n v="0"/>
    <n v="0"/>
    <n v="0.28424624999999992"/>
    <n v="0.36900568181818183"/>
    <n v="0.12812045454545445"/>
    <n v="0.1"/>
    <n v="0.17259929705848867"/>
    <n v="0"/>
    <n v="-0.17595633858349424"/>
    <n v="0.24431818181818182"/>
    <n v="0.36875000000000002"/>
    <n v="0"/>
    <n v="0"/>
    <n v="0"/>
    <n v="0"/>
    <n v="0.36875000000000002"/>
    <n v="0.36875000000000002"/>
    <n v="0.36875000000000002"/>
    <n v="0.36875000000000002"/>
    <x v="38"/>
    <n v="0.11477272727272729"/>
    <n v="-0.11477272727272729"/>
    <s v=""/>
    <x v="0"/>
    <n v="-3.8999999999999993E-2"/>
    <s v=""/>
    <x v="0"/>
  </r>
  <r>
    <x v="16"/>
    <s v="26"/>
    <s v="01 - Administration"/>
    <s v="01"/>
    <s v="PS property - Purchased services - property services"/>
    <s v="4490-000"/>
    <s v="Clothing allowance Services"/>
    <n v="15200"/>
    <n v="14121.23"/>
    <n v="15200"/>
    <n v="12384.27"/>
    <n v="15200"/>
    <n v="12134.81"/>
    <n v="15200"/>
    <n v="15400"/>
    <n v="15400"/>
    <n v="15400"/>
    <n v="15200"/>
    <n v="200"/>
    <n v="200"/>
    <n v="1.3157894736842105E-2"/>
    <n v="-7.0971710526315818E-2"/>
    <n v="-0.18524539473684207"/>
    <n v="-0.20165723684210529"/>
    <n v="0"/>
    <n v="-0.12300344941623351"/>
    <n v="0"/>
    <n v="-2.014329467946039E-2"/>
    <n v="0"/>
    <n v="0"/>
    <n v="1.3157894736842105E-2"/>
    <n v="1.3157894736842105E-2"/>
    <n v="1.3157894736842105E-2"/>
    <n v="0"/>
    <n v="1.3157894736842105E-2"/>
    <n v="1.3157894736842105E-2"/>
    <n v="1.3157894736842105E-2"/>
    <n v="0"/>
    <x v="31"/>
    <n v="0"/>
    <n v="1.3157894736842105E-2"/>
    <n v="15200"/>
    <x v="53"/>
    <n v="-2.5842105263157888E-2"/>
    <s v=""/>
    <x v="0"/>
  </r>
  <r>
    <x v="16"/>
    <s v="26"/>
    <s v="01 - Administration"/>
    <s v="01"/>
    <s v="PS other - Purchased services - other"/>
    <s v="4550-000"/>
    <s v="Printing Services"/>
    <n v="1500"/>
    <n v="1800.57"/>
    <n v="1500"/>
    <n v="2036"/>
    <n v="1500"/>
    <n v="3640.8"/>
    <n v="1500"/>
    <n v="3000"/>
    <n v="3000"/>
    <n v="3000"/>
    <n v="1500"/>
    <n v="1500"/>
    <n v="1500"/>
    <n v="1"/>
    <n v="0.20037999999999995"/>
    <n v="0.35733333333333334"/>
    <n v="1.4272"/>
    <n v="0"/>
    <n v="0.13075303931532797"/>
    <n v="0"/>
    <n v="0.78821218074656196"/>
    <n v="0"/>
    <n v="0"/>
    <n v="1"/>
    <n v="1"/>
    <n v="1"/>
    <n v="0"/>
    <n v="1"/>
    <n v="1"/>
    <n v="1"/>
    <n v="0"/>
    <x v="4"/>
    <n v="0"/>
    <n v="1"/>
    <n v="1500"/>
    <x v="54"/>
    <n v="0.96099999999999997"/>
    <n v="1558.4999999999998"/>
    <x v="48"/>
  </r>
  <r>
    <x v="16"/>
    <s v="26"/>
    <s v="01 - Administration"/>
    <s v="01"/>
    <s v="PS other - Purchased services - other"/>
    <s v="4560-000"/>
    <s v="Dues &amp; subs Services"/>
    <n v="1100"/>
    <n v="966.25"/>
    <n v="1100"/>
    <n v="536"/>
    <n v="1100"/>
    <n v="601"/>
    <n v="1100"/>
    <n v="5000"/>
    <n v="5000"/>
    <n v="5000"/>
    <n v="4550"/>
    <n v="3900"/>
    <n v="450"/>
    <n v="3.5454545454545454"/>
    <n v="-0.1215909090909091"/>
    <n v="-0.5127272727272727"/>
    <n v="-0.45363636363636362"/>
    <n v="0"/>
    <n v="-0.44527813712807246"/>
    <n v="0"/>
    <n v="0.12126865671641791"/>
    <n v="0"/>
    <n v="0"/>
    <n v="3.5454545454545454"/>
    <n v="3.5454545454545454"/>
    <n v="3.5454545454545454"/>
    <n v="3.1363636363636362"/>
    <n v="3.5454545454545454"/>
    <n v="3.5454545454545454"/>
    <n v="3.5454545454545454"/>
    <n v="3.1363636363636362"/>
    <x v="15"/>
    <n v="0"/>
    <n v="3.5454545454545454"/>
    <n v="1100"/>
    <x v="55"/>
    <n v="3.5064545454545453"/>
    <n v="1142.8999999999999"/>
    <x v="49"/>
  </r>
  <r>
    <x v="16"/>
    <s v="26"/>
    <s v="01 - Administration"/>
    <s v="01"/>
    <s v="PS other - Purchased services - other"/>
    <s v="4575-000"/>
    <s v="Travel &amp; mileage Services"/>
    <n v="500"/>
    <n v="0"/>
    <n v="500"/>
    <n v="0"/>
    <n v="500"/>
    <n v="0"/>
    <n v="500"/>
    <n v="500"/>
    <n v="500"/>
    <n v="500"/>
    <n v="500"/>
    <n v="0"/>
    <n v="0"/>
    <n v="0"/>
    <n v="-1"/>
    <n v="-1"/>
    <n v="-1"/>
    <n v="0"/>
    <s v=""/>
    <n v="0"/>
    <s v=""/>
    <n v="0"/>
    <n v="0"/>
    <n v="0"/>
    <n v="0"/>
    <n v="0"/>
    <n v="0"/>
    <n v="0"/>
    <n v="0"/>
    <n v="0"/>
    <n v="0"/>
    <x v="6"/>
    <n v="0"/>
    <n v="0"/>
    <s v=""/>
    <x v="0"/>
    <n v="-3.8999999999999993E-2"/>
    <s v=""/>
    <x v="0"/>
  </r>
  <r>
    <x v="16"/>
    <s v="26"/>
    <s v="01 - Administration"/>
    <s v="01"/>
    <s v="Supplies - Supplies"/>
    <s v="4620-000"/>
    <s v="Office supplies Supplies"/>
    <n v="2000"/>
    <n v="1577.31"/>
    <n v="2000"/>
    <n v="2223.15"/>
    <n v="2000"/>
    <n v="3791.71"/>
    <n v="2000"/>
    <n v="4000"/>
    <n v="4000"/>
    <n v="4000"/>
    <n v="2000"/>
    <n v="2000"/>
    <n v="2000"/>
    <n v="1"/>
    <n v="-0.21134500000000003"/>
    <n v="0.11157500000000005"/>
    <n v="0.89585500000000007"/>
    <n v="0"/>
    <n v="0.40945660650094157"/>
    <n v="0"/>
    <n v="0.70555742977306968"/>
    <n v="0"/>
    <n v="0"/>
    <n v="1"/>
    <n v="1"/>
    <n v="1"/>
    <n v="0"/>
    <n v="1"/>
    <n v="1"/>
    <n v="1"/>
    <n v="0"/>
    <x v="16"/>
    <n v="0"/>
    <n v="1"/>
    <n v="2000"/>
    <x v="56"/>
    <n v="0.96099999999999997"/>
    <n v="2078"/>
    <x v="50"/>
  </r>
  <r>
    <x v="16"/>
    <s v="26"/>
    <s v="01 - Administration"/>
    <s v="01"/>
    <s v="Supplies - Supplies"/>
    <s v="4625-000"/>
    <s v="Postage Supplies"/>
    <n v="350"/>
    <n v="210.41"/>
    <n v="350"/>
    <n v="315.36"/>
    <n v="350"/>
    <n v="476.28"/>
    <n v="350"/>
    <n v="475"/>
    <n v="475"/>
    <n v="475"/>
    <n v="350"/>
    <n v="125"/>
    <n v="125"/>
    <n v="0.35714285714285715"/>
    <n v="-0.39882857142857142"/>
    <n v="-9.897142857142853E-2"/>
    <n v="0.3607999999999999"/>
    <n v="0"/>
    <n v="0.49878808041442907"/>
    <n v="0"/>
    <n v="0.51027397260273955"/>
    <n v="0"/>
    <n v="0"/>
    <n v="0.35714285714285715"/>
    <n v="0.35714285714285715"/>
    <n v="0.35714285714285715"/>
    <n v="0"/>
    <n v="0.35714285714285715"/>
    <n v="0.35714285714285715"/>
    <n v="0.35714285714285715"/>
    <n v="0"/>
    <x v="17"/>
    <n v="0"/>
    <n v="0.35714285714285715"/>
    <n v="350"/>
    <x v="57"/>
    <n v="0.31814285714285717"/>
    <n v="363.65"/>
    <x v="51"/>
  </r>
  <r>
    <x v="16"/>
    <s v="26"/>
    <s v="01 - Administration"/>
    <s v="01"/>
    <s v="Supplies - Supplies"/>
    <s v="4630-000"/>
    <s v="Maint &amp; repairs Supplies"/>
    <n v="50000"/>
    <n v="112478.13"/>
    <n v="100000"/>
    <n v="84040.59"/>
    <n v="100000"/>
    <n v="138586.5"/>
    <n v="100000"/>
    <n v="100000"/>
    <n v="100000"/>
    <n v="100000"/>
    <n v="100000"/>
    <n v="0"/>
    <n v="0"/>
    <n v="0"/>
    <n v="1.2495626000000002"/>
    <n v="-0.15959410000000004"/>
    <n v="0.38586500000000001"/>
    <n v="1"/>
    <n v="-0.25282728295714024"/>
    <n v="0"/>
    <n v="0.64904244484718643"/>
    <n v="0"/>
    <n v="1"/>
    <n v="0"/>
    <n v="0"/>
    <n v="0"/>
    <n v="0"/>
    <n v="1"/>
    <n v="1"/>
    <n v="1"/>
    <n v="1"/>
    <x v="32"/>
    <n v="0.33333333333333331"/>
    <n v="-0.33333333333333331"/>
    <s v=""/>
    <x v="0"/>
    <n v="-3.8999999999999993E-2"/>
    <s v=""/>
    <x v="0"/>
  </r>
  <r>
    <x v="16"/>
    <s v="26"/>
    <s v="01 - Administration"/>
    <s v="01"/>
    <s v="Supplies - Supplies"/>
    <s v="4635-000"/>
    <s v="Gasoline Supplies"/>
    <n v="90000"/>
    <n v="105610.21"/>
    <n v="90000"/>
    <n v="63533.7"/>
    <n v="90000"/>
    <n v="84327.75"/>
    <n v="90000"/>
    <n v="90000"/>
    <n v="90000"/>
    <n v="90000"/>
    <n v="90000"/>
    <n v="0"/>
    <n v="0"/>
    <n v="0"/>
    <n v="0.17344677777777784"/>
    <n v="-0.29407000000000005"/>
    <n v="-6.3024999999999998E-2"/>
    <n v="0"/>
    <n v="-0.39841327841313834"/>
    <n v="0"/>
    <n v="0.32729165781309766"/>
    <n v="0"/>
    <n v="0"/>
    <n v="0"/>
    <n v="0"/>
    <n v="0"/>
    <n v="0"/>
    <n v="0"/>
    <n v="0"/>
    <n v="0"/>
    <n v="0"/>
    <x v="42"/>
    <n v="0"/>
    <n v="0"/>
    <s v=""/>
    <x v="0"/>
    <n v="-3.8999999999999993E-2"/>
    <s v=""/>
    <x v="0"/>
  </r>
  <r>
    <x v="16"/>
    <s v="26"/>
    <s v="01 - Administration"/>
    <s v="01"/>
    <s v="Supplies - Supplies"/>
    <s v="4680-000"/>
    <s v="Dept. expense Supplies"/>
    <n v="27000"/>
    <n v="54460.13"/>
    <n v="27000"/>
    <n v="32584.240000000002"/>
    <n v="27000"/>
    <n v="30294.12"/>
    <n v="31000"/>
    <n v="31000"/>
    <n v="31000"/>
    <n v="31000"/>
    <n v="31000"/>
    <n v="0"/>
    <n v="0"/>
    <n v="0"/>
    <n v="1.0170418518518518"/>
    <n v="0.20682370370370376"/>
    <n v="0.1220044444444444"/>
    <n v="0"/>
    <n v="-0.40168633457173158"/>
    <n v="0"/>
    <n v="-7.0283057085265832E-2"/>
    <n v="0.14814814814814814"/>
    <n v="0.14814814814814814"/>
    <n v="0"/>
    <n v="0"/>
    <n v="0"/>
    <n v="0"/>
    <n v="0.14814814814814814"/>
    <n v="0.14814814814814814"/>
    <n v="0.14814814814814814"/>
    <n v="0.14814814814814814"/>
    <x v="9"/>
    <n v="4.9382716049382713E-2"/>
    <n v="-4.9382716049382713E-2"/>
    <s v=""/>
    <x v="0"/>
    <n v="-3.8999999999999993E-2"/>
    <s v=""/>
    <x v="0"/>
  </r>
  <r>
    <x v="16"/>
    <s v="26"/>
    <s v="01 - Administration"/>
    <s v="01"/>
    <s v="Property - Property"/>
    <s v="4740-000"/>
    <s v="Mach &amp; equip Property"/>
    <m/>
    <m/>
    <m/>
    <m/>
    <m/>
    <n v="15619.5"/>
    <m/>
    <n v="57465"/>
    <n v="47465"/>
    <n v="47465"/>
    <n v="0"/>
    <n v="47465"/>
    <n v="47465"/>
    <s v=""/>
    <s v=""/>
    <s v=""/>
    <s v=""/>
    <s v=""/>
    <s v=""/>
    <s v=""/>
    <s v=""/>
    <s v=""/>
    <s v=""/>
    <s v=""/>
    <s v=""/>
    <s v=""/>
    <s v=""/>
    <s v=""/>
    <s v=""/>
    <s v=""/>
    <s v=""/>
    <x v="26"/>
    <n v="0"/>
    <n v="0"/>
    <s v=""/>
    <x v="0"/>
    <n v="-3.8999999999999993E-2"/>
    <s v=""/>
    <x v="0"/>
  </r>
  <r>
    <x v="16"/>
    <s v="26"/>
    <s v="01 - Administration"/>
    <s v="01"/>
    <s v="Property - Property"/>
    <s v="4744-000"/>
    <s v="Capital leases Property"/>
    <n v="183797"/>
    <n v="183797"/>
    <n v="301674"/>
    <n v="254883.89"/>
    <n v="391674"/>
    <n v="364116.38"/>
    <n v="462281"/>
    <n v="462281"/>
    <n v="462281"/>
    <n v="462281"/>
    <n v="462281"/>
    <n v="0"/>
    <n v="0"/>
    <n v="0"/>
    <n v="0"/>
    <n v="-0.15510156659175131"/>
    <n v="-7.0358563499236595E-2"/>
    <n v="0.64134343868507104"/>
    <n v="0.38676850002992441"/>
    <n v="0.29833528908689511"/>
    <n v="0.42855784255332885"/>
    <n v="0.18026981622471749"/>
    <n v="1.5151716295695794"/>
    <n v="0"/>
    <n v="0"/>
    <n v="0"/>
    <n v="0"/>
    <n v="1.5151716295695794"/>
    <n v="1.5151716295695794"/>
    <n v="1.5151716295695794"/>
    <n v="1.5151716295695794"/>
    <x v="67"/>
    <n v="0.37331618133222788"/>
    <n v="-0.37331618133222788"/>
    <s v=""/>
    <x v="0"/>
    <n v="-3.8999999999999993E-2"/>
    <s v=""/>
    <x v="0"/>
  </r>
  <r>
    <x v="16"/>
    <s v="26"/>
    <s v="31 - Highways and Streets"/>
    <s v="31"/>
    <s v="PS prof - Purchased services - professional &amp; technical"/>
    <s v="4395-000"/>
    <s v="Snow removal Services"/>
    <n v="35000"/>
    <n v="1495"/>
    <n v="35000"/>
    <n v="69345"/>
    <n v="35000"/>
    <n v="87365"/>
    <n v="50000"/>
    <n v="83925"/>
    <n v="83925"/>
    <n v="83925"/>
    <n v="50000"/>
    <n v="33925"/>
    <n v="33925"/>
    <n v="0.67849999999999999"/>
    <n v="-0.9572857142857143"/>
    <n v="0.98128571428571432"/>
    <n v="1.4961428571428572"/>
    <n v="0"/>
    <n v="45.384615384615387"/>
    <n v="0"/>
    <n v="0.25986011969139811"/>
    <n v="0.42857142857142855"/>
    <n v="0.42857142857142855"/>
    <n v="0.67849999999999999"/>
    <n v="0.67849999999999999"/>
    <n v="0.67849999999999999"/>
    <n v="0"/>
    <n v="1.3978571428571429"/>
    <n v="1.3978571428571429"/>
    <n v="1.3978571428571429"/>
    <n v="0.42857142857142855"/>
    <x v="80"/>
    <n v="0.14285714285714285"/>
    <n v="0.53564285714285709"/>
    <n v="57142.857142857138"/>
    <x v="58"/>
    <n v="0.63949999999999996"/>
    <n v="51949.999999999993"/>
    <x v="52"/>
  </r>
  <r>
    <x v="16"/>
    <s v="26"/>
    <s v="31 - Highways and Streets"/>
    <s v="31"/>
    <s v="PS property - Purchased services - property services"/>
    <s v="4414-000"/>
    <s v="Hydrants Services"/>
    <n v="541000"/>
    <n v="474063.33"/>
    <n v="541000"/>
    <n v="547096.89"/>
    <n v="541000"/>
    <n v="590621.36"/>
    <n v="660716"/>
    <n v="692000"/>
    <n v="692000"/>
    <n v="692000"/>
    <n v="692000"/>
    <n v="31284"/>
    <n v="0"/>
    <n v="4.7348633906247162E-2"/>
    <n v="-0.12372767097966725"/>
    <n v="1.1269667282809637E-2"/>
    <n v="9.172155268022178E-2"/>
    <n v="0"/>
    <n v="0.15405865709967484"/>
    <n v="0"/>
    <n v="7.9555323372428544E-2"/>
    <n v="0.22128650646950093"/>
    <n v="0.22128650646950093"/>
    <n v="4.7348633906247162E-2"/>
    <n v="4.7348633906247162E-2"/>
    <n v="4.7348633906247162E-2"/>
    <n v="4.7348633906247162E-2"/>
    <n v="0.27911275415896486"/>
    <n v="0.27911275415896486"/>
    <n v="0.27911275415896486"/>
    <n v="0.27911275415896486"/>
    <x v="81"/>
    <n v="7.3762168823166982E-2"/>
    <n v="-2.641353491691982E-2"/>
    <s v=""/>
    <x v="0"/>
    <n v="8.3486339062471687E-3"/>
    <n v="686483.924"/>
    <x v="53"/>
  </r>
  <r>
    <x v="16"/>
    <s v="26"/>
    <s v="31 - Highways and Streets"/>
    <s v="31"/>
    <s v="PS property - Purchased services - property services"/>
    <s v="4415-000"/>
    <s v="Street lighting Service"/>
    <n v="40000"/>
    <n v="24865.07"/>
    <n v="25000"/>
    <n v="21524.06"/>
    <n v="25000"/>
    <n v="21633.35"/>
    <n v="25000"/>
    <n v="25000"/>
    <n v="25000"/>
    <n v="25000"/>
    <n v="25000"/>
    <n v="0"/>
    <n v="0"/>
    <n v="0"/>
    <n v="-0.37837324999999999"/>
    <n v="-0.13903759999999996"/>
    <n v="-0.13466600000000006"/>
    <n v="-0.375"/>
    <n v="-0.13436559800555553"/>
    <n v="0"/>
    <n v="5.0775736547843311E-3"/>
    <n v="0"/>
    <n v="-0.375"/>
    <n v="0"/>
    <n v="0"/>
    <n v="0"/>
    <n v="0"/>
    <n v="-0.375"/>
    <n v="-0.375"/>
    <n v="-0.375"/>
    <n v="-0.375"/>
    <x v="82"/>
    <n v="-0.125"/>
    <n v="0.125"/>
    <n v="21875"/>
    <x v="59"/>
    <n v="-3.8999999999999993E-2"/>
    <s v=""/>
    <x v="0"/>
  </r>
  <r>
    <x v="16"/>
    <s v="26"/>
    <s v="31 - Highways and Streets"/>
    <s v="31"/>
    <s v="PS property - Purchased services - property services"/>
    <s v="4436-000"/>
    <s v="Road Maintenance Services"/>
    <n v="1792523"/>
    <n v="1793363.94"/>
    <n v="1226773"/>
    <n v="1227670.32"/>
    <n v="1000000"/>
    <n v="1022896.06"/>
    <n v="1000000"/>
    <n v="1000000"/>
    <n v="1000000"/>
    <n v="1000000"/>
    <n v="1000000"/>
    <n v="0"/>
    <n v="0"/>
    <n v="0"/>
    <n v="4.6913763449615105E-4"/>
    <n v="7.3144746420084658E-4"/>
    <n v="2.2896060000000055E-2"/>
    <n v="-0.3156165918094217"/>
    <n v="-0.3154371554944948"/>
    <n v="-0.18485326951277864"/>
    <n v="-0.1667990637747111"/>
    <n v="0"/>
    <n v="-0.44212710241374864"/>
    <n v="0"/>
    <n v="0"/>
    <n v="0"/>
    <n v="0"/>
    <n v="-0.44212710241374864"/>
    <n v="-0.44212710241374864"/>
    <n v="-0.44212710241374864"/>
    <n v="-0.44212710241374864"/>
    <x v="83"/>
    <n v="-0.1668232871074001"/>
    <n v="0.1668232871074001"/>
    <n v="833176.71289259987"/>
    <x v="60"/>
    <n v="-3.8999999999999993E-2"/>
    <s v=""/>
    <x v="0"/>
  </r>
  <r>
    <x v="16"/>
    <s v="26"/>
    <s v="31 - Highways and Streets"/>
    <s v="31"/>
    <s v="PS property - Purchased services - property services"/>
    <s v="4438-000"/>
    <s v="Storm drain const Services"/>
    <n v="72700"/>
    <n v="72700"/>
    <n v="72700"/>
    <n v="72700"/>
    <n v="72700"/>
    <n v="72700"/>
    <n v="72700"/>
    <n v="72700"/>
    <n v="72700"/>
    <n v="72700"/>
    <n v="72700"/>
    <n v="0"/>
    <n v="0"/>
    <n v="0"/>
    <n v="0"/>
    <n v="0"/>
    <n v="0"/>
    <n v="0"/>
    <n v="0"/>
    <n v="0"/>
    <n v="0"/>
    <n v="0"/>
    <n v="0"/>
    <n v="0"/>
    <n v="0"/>
    <n v="0"/>
    <n v="0"/>
    <n v="0"/>
    <n v="0"/>
    <n v="0"/>
    <n v="0"/>
    <x v="84"/>
    <n v="0"/>
    <n v="0"/>
    <s v=""/>
    <x v="0"/>
    <n v="-3.8999999999999993E-2"/>
    <s v=""/>
    <x v="0"/>
  </r>
  <r>
    <x v="16"/>
    <s v="26"/>
    <s v="31 - Highways and Streets"/>
    <s v="31"/>
    <s v="Supplies - Supplies"/>
    <s v="4695-000"/>
    <s v="Gravel Supplies"/>
    <n v="5000"/>
    <n v="4950.8999999999996"/>
    <n v="5000"/>
    <n v="7601.44"/>
    <n v="5000"/>
    <n v="5000"/>
    <n v="7000"/>
    <n v="7000"/>
    <n v="7000"/>
    <n v="7000"/>
    <n v="7000"/>
    <n v="0"/>
    <n v="0"/>
    <n v="0"/>
    <n v="-9.8200000000000735E-3"/>
    <n v="0.52028799999999997"/>
    <n v="0"/>
    <n v="0"/>
    <n v="0.5353652871195137"/>
    <n v="0"/>
    <n v="-0.34222989328337783"/>
    <n v="0.4"/>
    <n v="0.4"/>
    <n v="0"/>
    <n v="0"/>
    <n v="0"/>
    <n v="0"/>
    <n v="0.4"/>
    <n v="0.4"/>
    <n v="0.4"/>
    <n v="0.4"/>
    <x v="85"/>
    <n v="0.13333333333333333"/>
    <n v="-0.13333333333333333"/>
    <s v=""/>
    <x v="0"/>
    <n v="-3.8999999999999993E-2"/>
    <s v=""/>
    <x v="0"/>
  </r>
  <r>
    <x v="16"/>
    <s v="26"/>
    <s v="31 - Highways and Streets"/>
    <s v="31"/>
    <s v="Supplies - Supplies"/>
    <s v="4696-000"/>
    <s v="Street signs Supplies"/>
    <n v="8000"/>
    <n v="11552.21"/>
    <n v="8000"/>
    <n v="13177.34"/>
    <n v="10000"/>
    <n v="12242.87"/>
    <n v="10000"/>
    <n v="10000"/>
    <n v="10000"/>
    <n v="10000"/>
    <n v="10000"/>
    <n v="0"/>
    <n v="0"/>
    <n v="0"/>
    <n v="0.4440262499999999"/>
    <n v="0.64716750000000001"/>
    <n v="0.22428700000000007"/>
    <n v="0"/>
    <n v="0.14067697869065757"/>
    <n v="0.25"/>
    <n v="-7.0914919095963175E-2"/>
    <n v="0"/>
    <n v="0.25"/>
    <n v="0"/>
    <n v="0"/>
    <n v="0"/>
    <n v="0"/>
    <n v="0.25"/>
    <n v="0.25"/>
    <n v="0.25"/>
    <n v="0.25"/>
    <x v="86"/>
    <n v="8.3333333333333329E-2"/>
    <n v="-8.3333333333333329E-2"/>
    <s v=""/>
    <x v="0"/>
    <n v="-3.8999999999999993E-2"/>
    <s v=""/>
    <x v="0"/>
  </r>
  <r>
    <x v="16"/>
    <s v="26"/>
    <s v="31 - Highways and Streets"/>
    <s v="31"/>
    <s v="Supplies - Supplies"/>
    <s v="4697-000"/>
    <s v="Salt Supplies"/>
    <n v="240000"/>
    <n v="241403.59"/>
    <n v="290000"/>
    <n v="200709.5"/>
    <n v="290000"/>
    <n v="306749.88"/>
    <n v="290000"/>
    <n v="290772"/>
    <n v="290772"/>
    <n v="290772"/>
    <n v="290000"/>
    <n v="772"/>
    <n v="772"/>
    <n v="2.6620689655172413E-3"/>
    <n v="5.8482916666666518E-3"/>
    <n v="-0.30789827586206897"/>
    <n v="5.7758206896551742E-2"/>
    <n v="0.20833333333333334"/>
    <n v="-0.1685728451677127"/>
    <n v="0"/>
    <n v="0.52832765763454148"/>
    <n v="0"/>
    <n v="0.20833333333333334"/>
    <n v="2.6620689655172413E-3"/>
    <n v="2.6620689655172413E-3"/>
    <n v="2.6620689655172413E-3"/>
    <n v="0"/>
    <n v="0.21154999999999999"/>
    <n v="0.21154999999999999"/>
    <n v="0.21154999999999999"/>
    <n v="0.20833333333333334"/>
    <x v="87"/>
    <n v="6.9444444444444448E-2"/>
    <n v="-6.6782375478927208E-2"/>
    <s v=""/>
    <x v="0"/>
    <n v="-3.6337931034482754E-2"/>
    <s v=""/>
    <x v="0"/>
  </r>
  <r>
    <x v="16"/>
    <s v="26"/>
    <s v="31 - Highways and Streets"/>
    <s v="31"/>
    <s v="Supplies - Supplies"/>
    <s v="4698-000"/>
    <s v="Sand Supplies"/>
    <n v="25000"/>
    <n v="0"/>
    <n v="25000"/>
    <n v="25000"/>
    <n v="30000"/>
    <n v="30205.94"/>
    <n v="37500"/>
    <n v="37518"/>
    <n v="37518"/>
    <n v="37518"/>
    <n v="37500"/>
    <n v="18"/>
    <n v="18"/>
    <n v="4.8000000000000001E-4"/>
    <n v="-1"/>
    <n v="0"/>
    <n v="6.8646666666666231E-3"/>
    <n v="0"/>
    <s v=""/>
    <n v="0.2"/>
    <n v="0.20823759999999994"/>
    <n v="0.25"/>
    <n v="0.5"/>
    <n v="4.8000000000000001E-4"/>
    <n v="4.8000000000000001E-4"/>
    <n v="4.8000000000000001E-4"/>
    <n v="0"/>
    <n v="0.50072000000000005"/>
    <n v="0.50072000000000005"/>
    <n v="0.50072000000000005"/>
    <n v="0.5"/>
    <x v="88"/>
    <n v="0.15"/>
    <n v="-0.14951999999999999"/>
    <s v=""/>
    <x v="0"/>
    <n v="-3.8519999999999992E-2"/>
    <s v=""/>
    <x v="0"/>
  </r>
  <r>
    <x v="17"/>
    <s v="27"/>
    <s v="01 - Administration"/>
    <s v="01"/>
    <s v="PS Salaries - Personnel services - salaries"/>
    <s v="4120-000"/>
    <s v="Part-time Salaries"/>
    <n v="19030"/>
    <n v="9438.35"/>
    <n v="22026"/>
    <n v="9257.26"/>
    <n v="22026"/>
    <n v="15059.36"/>
    <n v="35319"/>
    <n v="48048"/>
    <n v="48048"/>
    <n v="48048"/>
    <n v="48048"/>
    <n v="12729"/>
    <n v="0"/>
    <n v="0.36040091735326596"/>
    <n v="-0.50402785076195478"/>
    <n v="-0.57971215835830381"/>
    <n v="-0.31629165531644415"/>
    <n v="0.15743562795585916"/>
    <n v="-1.9186616304756671E-2"/>
    <n v="0"/>
    <n v="0.62676213047921314"/>
    <n v="0.60351402887496597"/>
    <n v="0.85596426694692596"/>
    <n v="0.36040091735326596"/>
    <n v="0.36040091735326596"/>
    <n v="0.36040091735326596"/>
    <n v="0.36040091735326596"/>
    <n v="1.5248554913294798"/>
    <n v="1.5248554913294798"/>
    <n v="1.5248554913294798"/>
    <n v="1.5248554913294798"/>
    <x v="11"/>
    <n v="0.25364988561027507"/>
    <n v="0.10675103174299089"/>
    <s v=""/>
    <x v="0"/>
    <n v="0.32140091735326598"/>
    <s v=""/>
    <x v="0"/>
  </r>
  <r>
    <x v="17"/>
    <s v="27"/>
    <s v="01 - Administration"/>
    <s v="01"/>
    <s v="PS Benefits - Personnel services - benefits"/>
    <s v="4220-000"/>
    <s v="FICA Benefits"/>
    <n v="1180"/>
    <n v="589.23"/>
    <n v="1366"/>
    <n v="547.54"/>
    <n v="1366"/>
    <n v="932.27"/>
    <n v="2190"/>
    <n v="2979"/>
    <n v="2979"/>
    <n v="2979"/>
    <n v="2979"/>
    <n v="789"/>
    <n v="0"/>
    <n v="0.36027397260273974"/>
    <n v="-0.50065254237288137"/>
    <n v="-0.59916544655929727"/>
    <n v="-0.31751830161054173"/>
    <n v="0.15762711864406781"/>
    <n v="-7.0753356074877469E-2"/>
    <n v="0"/>
    <n v="0.70265186105124744"/>
    <n v="0.60322108345534409"/>
    <n v="0.85593220338983056"/>
    <n v="0.36027397260273974"/>
    <n v="0.36027397260273974"/>
    <n v="0.36027397260273974"/>
    <n v="0.36027397260273974"/>
    <n v="1.5245762711864406"/>
    <n v="1.5245762711864406"/>
    <n v="1.5245762711864406"/>
    <n v="1.5245762711864406"/>
    <x v="1"/>
    <n v="0.25361606736647063"/>
    <n v="0.10665790523626911"/>
    <s v=""/>
    <x v="0"/>
    <n v="0.32127397260273977"/>
    <s v=""/>
    <x v="0"/>
  </r>
  <r>
    <x v="17"/>
    <s v="27"/>
    <s v="01 - Administration"/>
    <s v="01"/>
    <s v="PS Benefits - Personnel services - benefits"/>
    <s v="4225-000"/>
    <s v="Medicare Benefits"/>
    <n v="276"/>
    <n v="137.80000000000001"/>
    <n v="319"/>
    <n v="128.04"/>
    <n v="319"/>
    <n v="218"/>
    <n v="513"/>
    <n v="697"/>
    <n v="697"/>
    <n v="697"/>
    <n v="697"/>
    <n v="184"/>
    <n v="0"/>
    <n v="0.35867446393762181"/>
    <n v="-0.50072463768115938"/>
    <n v="-0.59862068965517246"/>
    <n v="-0.31661442006269591"/>
    <n v="0.15579710144927536"/>
    <n v="-7.0827285921625682E-2"/>
    <n v="0"/>
    <n v="0.70259293970634185"/>
    <n v="0.60815047021943569"/>
    <n v="0.85869565217391308"/>
    <n v="0.35867446393762181"/>
    <n v="0.35867446393762181"/>
    <n v="0.35867446393762181"/>
    <n v="0.35867446393762181"/>
    <n v="1.5253623188405796"/>
    <n v="1.5253623188405796"/>
    <n v="1.5253623188405796"/>
    <n v="1.5253623188405796"/>
    <x v="2"/>
    <n v="0.25464919055623703"/>
    <n v="0.10402527338138479"/>
    <s v=""/>
    <x v="0"/>
    <n v="0.31967446393762183"/>
    <s v=""/>
    <x v="0"/>
  </r>
  <r>
    <x v="17"/>
    <s v="27"/>
    <s v="01 - Administration"/>
    <s v="01"/>
    <s v="PS Benefits - Personnel services - benefits"/>
    <s v="4260-000"/>
    <s v="Workers' comp Benefits"/>
    <n v="202"/>
    <n v="193.93"/>
    <n v="216"/>
    <n v="229.58"/>
    <n v="257"/>
    <n v="257.27"/>
    <n v="304"/>
    <n v="299"/>
    <n v="299"/>
    <n v="299"/>
    <n v="299"/>
    <n v="-5"/>
    <n v="0"/>
    <n v="-1.6447368421052631E-2"/>
    <n v="-3.9950495049504917E-2"/>
    <n v="6.2870370370370424E-2"/>
    <n v="1.0505836575874779E-3"/>
    <n v="6.9306930693069313E-2"/>
    <n v="0.18382921672768526"/>
    <n v="0.18981481481481483"/>
    <n v="0.12061155152887869"/>
    <n v="0.1828793774319066"/>
    <n v="0.50495049504950495"/>
    <n v="-1.6447368421052631E-2"/>
    <n v="-1.6447368421052631E-2"/>
    <n v="-1.6447368421052631E-2"/>
    <n v="-1.6447368421052631E-2"/>
    <n v="0.48019801980198018"/>
    <n v="0.48019801980198018"/>
    <n v="0.48019801980198018"/>
    <n v="0.48019801980198018"/>
    <x v="3"/>
    <n v="0.14733370764659692"/>
    <n v="-0.16378107606764955"/>
    <s v=""/>
    <x v="0"/>
    <n v="-5.544736842105262E-2"/>
    <s v=""/>
    <x v="0"/>
  </r>
  <r>
    <x v="17"/>
    <s v="27"/>
    <s v="01 - Administration"/>
    <s v="01"/>
    <s v="PS prof - Purchased services - professional &amp; technical"/>
    <s v="4335-000"/>
    <s v="Waste collection Services"/>
    <n v="1610293"/>
    <n v="1717890.55"/>
    <n v="1816402"/>
    <n v="1836482.91"/>
    <n v="1924908"/>
    <n v="1928343.88"/>
    <n v="2052980"/>
    <n v="2243747"/>
    <n v="2243747"/>
    <n v="2243747"/>
    <n v="2243747"/>
    <n v="190767"/>
    <n v="0"/>
    <n v="9.2921996317548147E-2"/>
    <n v="6.681861623940491E-2"/>
    <n v="1.1055322555249287E-2"/>
    <n v="1.7849580343579476E-3"/>
    <n v="0.12799471897350359"/>
    <n v="6.9033711140677662E-2"/>
    <n v="5.9736776330349781E-2"/>
    <n v="5.0020051643170464E-2"/>
    <n v="6.6534088901911162E-2"/>
    <n v="0.27491083920752313"/>
    <n v="9.2921996317548147E-2"/>
    <n v="9.2921996317548147E-2"/>
    <n v="9.2921996317548147E-2"/>
    <n v="9.2921996317548147E-2"/>
    <n v="0.39337809951356678"/>
    <n v="0.39337809951356678"/>
    <n v="0.39337809951356678"/>
    <n v="0.39337809951356678"/>
    <x v="89"/>
    <n v="8.4755194735254835E-2"/>
    <n v="8.1668015822933121E-3"/>
    <n v="2226980.7196875839"/>
    <x v="61"/>
    <n v="5.3921996317548154E-2"/>
    <n v="2133046.2199999997"/>
    <x v="54"/>
  </r>
  <r>
    <x v="17"/>
    <s v="27"/>
    <s v="01 - Administration"/>
    <s v="01"/>
    <s v="PS prof - Purchased services - professional &amp; technical"/>
    <s v="4336-000"/>
    <s v="Recycling Services"/>
    <n v="668053"/>
    <n v="634830.12"/>
    <n v="757482"/>
    <n v="668873.76"/>
    <n v="812487"/>
    <n v="811701.52"/>
    <n v="855945"/>
    <n v="1098108"/>
    <n v="1098108"/>
    <n v="1098108"/>
    <n v="1098108"/>
    <n v="242163"/>
    <n v="0"/>
    <n v="0.28291887913358921"/>
    <n v="-4.9730904583917747E-2"/>
    <n v="-0.11697735391732079"/>
    <n v="-9.6676008354592917E-4"/>
    <n v="0.13386512746743148"/>
    <n v="5.3626378030078366E-2"/>
    <n v="7.2615586905035362E-2"/>
    <n v="0.21353470346930639"/>
    <n v="5.3487625032769756E-2"/>
    <n v="0.2812531341076232"/>
    <n v="0.28291887913358921"/>
    <n v="0.28291887913358921"/>
    <n v="0.28291887913358921"/>
    <n v="0.28291887913358921"/>
    <n v="0.64374383469575014"/>
    <n v="0.64374383469575014"/>
    <n v="0.64374383469575014"/>
    <n v="0.64374383469575014"/>
    <x v="90"/>
    <n v="8.6656113135078872E-2"/>
    <n v="0.19626276599851034"/>
    <n v="930117.86675740511"/>
    <x v="62"/>
    <n v="0.24391887913358923"/>
    <n v="889326.85499999998"/>
    <x v="55"/>
  </r>
  <r>
    <x v="17"/>
    <s v="27"/>
    <s v="01 - Administration"/>
    <s v="01"/>
    <s v="PS prof - Purchased services - professional &amp; technical"/>
    <s v="4341-000"/>
    <s v="Telephone Services"/>
    <n v="348"/>
    <n v="53.94"/>
    <n v="348"/>
    <n v="0"/>
    <n v="348"/>
    <n v="0"/>
    <n v="348"/>
    <n v="348"/>
    <n v="348"/>
    <n v="348"/>
    <n v="348"/>
    <n v="0"/>
    <n v="0"/>
    <n v="0"/>
    <n v="-0.84499999999999997"/>
    <n v="-1"/>
    <n v="-1"/>
    <n v="0"/>
    <n v="-1"/>
    <n v="0"/>
    <s v=""/>
    <n v="0"/>
    <n v="0"/>
    <n v="0"/>
    <n v="0"/>
    <n v="0"/>
    <n v="0"/>
    <n v="0"/>
    <n v="0"/>
    <n v="0"/>
    <n v="0"/>
    <x v="34"/>
    <n v="0"/>
    <n v="0"/>
    <s v=""/>
    <x v="0"/>
    <n v="-3.8999999999999993E-2"/>
    <s v=""/>
    <x v="0"/>
  </r>
  <r>
    <x v="17"/>
    <s v="27"/>
    <s v="01 - Administration"/>
    <s v="01"/>
    <s v="PS property - Purchased services - property services"/>
    <s v="4410-000"/>
    <s v="Electric Services"/>
    <n v="285"/>
    <n v="345.31"/>
    <n v="285"/>
    <n v="266.92"/>
    <n v="285"/>
    <n v="312.56"/>
    <n v="285"/>
    <n v="313"/>
    <n v="313"/>
    <n v="313"/>
    <n v="285"/>
    <n v="28"/>
    <n v="28"/>
    <n v="9.8245614035087719E-2"/>
    <n v="0.21161403508771931"/>
    <n v="-6.3438596491228016E-2"/>
    <n v="9.6701754385964914E-2"/>
    <n v="0"/>
    <n v="-0.22701340824186958"/>
    <n v="0"/>
    <n v="0.17098756181627447"/>
    <n v="0"/>
    <n v="0"/>
    <n v="9.8245614035087719E-2"/>
    <n v="9.8245614035087719E-2"/>
    <n v="9.8245614035087719E-2"/>
    <n v="0"/>
    <n v="9.8245614035087719E-2"/>
    <n v="9.8245614035087719E-2"/>
    <n v="9.8245614035087719E-2"/>
    <n v="0"/>
    <x v="38"/>
    <n v="0"/>
    <n v="9.8245614035087719E-2"/>
    <n v="285"/>
    <x v="63"/>
    <n v="5.9245614035087726E-2"/>
    <n v="296.11499999999995"/>
    <x v="56"/>
  </r>
  <r>
    <x v="17"/>
    <s v="27"/>
    <s v="01 - Administration"/>
    <s v="01"/>
    <s v="PS other - Purchased services - other"/>
    <s v="4550-000"/>
    <s v="Printing Services"/>
    <n v="1500"/>
    <n v="1246.8800000000001"/>
    <n v="1500"/>
    <n v="664.21"/>
    <n v="1500"/>
    <n v="460.7"/>
    <n v="1500"/>
    <n v="1500"/>
    <n v="1500"/>
    <n v="1500"/>
    <n v="1500"/>
    <n v="0"/>
    <n v="0"/>
    <n v="0"/>
    <n v="-0.1687466666666666"/>
    <n v="-0.55719333333333332"/>
    <n v="-0.69286666666666663"/>
    <n v="0"/>
    <n v="-0.46730238675734637"/>
    <n v="0"/>
    <n v="-0.30639406211890824"/>
    <n v="0"/>
    <n v="0"/>
    <n v="0"/>
    <n v="0"/>
    <n v="0"/>
    <n v="0"/>
    <n v="0"/>
    <n v="0"/>
    <n v="0"/>
    <n v="0"/>
    <x v="4"/>
    <n v="0"/>
    <n v="0"/>
    <s v=""/>
    <x v="0"/>
    <n v="-3.8999999999999993E-2"/>
    <s v=""/>
    <x v="0"/>
  </r>
  <r>
    <x v="17"/>
    <s v="27"/>
    <s v="01 - Administration"/>
    <s v="01"/>
    <s v="PS other - Purchased services - other"/>
    <s v="4560-000"/>
    <s v="Dues &amp; subs Services"/>
    <n v="2360"/>
    <n v="2700"/>
    <n v="2360"/>
    <n v="2600"/>
    <n v="2360"/>
    <n v="601.25"/>
    <n v="2360"/>
    <n v="2500"/>
    <n v="2500"/>
    <n v="2500"/>
    <n v="2500"/>
    <n v="140"/>
    <n v="0"/>
    <n v="5.9322033898305086E-2"/>
    <n v="0.1440677966101695"/>
    <n v="0.10169491525423729"/>
    <n v="-0.74523305084745761"/>
    <n v="0"/>
    <n v="-3.7037037037037035E-2"/>
    <n v="0"/>
    <n v="-0.76875000000000004"/>
    <n v="0"/>
    <n v="0"/>
    <n v="5.9322033898305086E-2"/>
    <n v="5.9322033898305086E-2"/>
    <n v="5.9322033898305086E-2"/>
    <n v="5.9322033898305086E-2"/>
    <n v="5.9322033898305086E-2"/>
    <n v="5.9322033898305086E-2"/>
    <n v="5.9322033898305086E-2"/>
    <n v="5.9322033898305086E-2"/>
    <x v="15"/>
    <n v="0"/>
    <n v="5.9322033898305086E-2"/>
    <n v="2360"/>
    <x v="16"/>
    <n v="2.0322033898305093E-2"/>
    <n v="2452.04"/>
    <x v="57"/>
  </r>
  <r>
    <x v="17"/>
    <s v="27"/>
    <s v="01 - Administration"/>
    <s v="01"/>
    <s v="PS other - Purchased services - other"/>
    <s v="4570-000"/>
    <s v="Sem &amp; workshops Services"/>
    <n v="800"/>
    <n v="0"/>
    <n v="800"/>
    <n v="410"/>
    <n v="800"/>
    <n v="440"/>
    <n v="800"/>
    <n v="440"/>
    <n v="440"/>
    <n v="440"/>
    <n v="800"/>
    <n v="-360"/>
    <n v="-360"/>
    <n v="-0.45"/>
    <n v="-1"/>
    <n v="-0.48749999999999999"/>
    <n v="-0.45"/>
    <n v="0"/>
    <s v=""/>
    <n v="0"/>
    <n v="7.3170731707317069E-2"/>
    <n v="0"/>
    <n v="0"/>
    <n v="-0.45"/>
    <n v="-0.45"/>
    <n v="-0.45"/>
    <n v="0"/>
    <n v="-0.45"/>
    <n v="-0.45"/>
    <n v="-0.45"/>
    <n v="0"/>
    <x v="5"/>
    <n v="0"/>
    <n v="-0.45"/>
    <s v=""/>
    <x v="0"/>
    <n v="-0.48899999999999999"/>
    <s v=""/>
    <x v="0"/>
  </r>
  <r>
    <x v="17"/>
    <s v="27"/>
    <s v="01 - Administration"/>
    <s v="01"/>
    <s v="PS other - Purchased services - other"/>
    <s v="4575-000"/>
    <s v="Travel &amp; mileage Services"/>
    <n v="250"/>
    <n v="0"/>
    <n v="250"/>
    <n v="0"/>
    <n v="250"/>
    <n v="0"/>
    <n v="250"/>
    <n v="250"/>
    <n v="250"/>
    <n v="250"/>
    <n v="250"/>
    <n v="0"/>
    <n v="0"/>
    <n v="0"/>
    <n v="-1"/>
    <n v="-1"/>
    <n v="-1"/>
    <n v="0"/>
    <s v=""/>
    <n v="0"/>
    <s v=""/>
    <n v="0"/>
    <n v="0"/>
    <n v="0"/>
    <n v="0"/>
    <n v="0"/>
    <n v="0"/>
    <n v="0"/>
    <n v="0"/>
    <n v="0"/>
    <n v="0"/>
    <x v="6"/>
    <n v="0"/>
    <n v="0"/>
    <s v=""/>
    <x v="0"/>
    <n v="-3.8999999999999993E-2"/>
    <s v=""/>
    <x v="0"/>
  </r>
  <r>
    <x v="17"/>
    <s v="27"/>
    <s v="01 - Administration"/>
    <s v="01"/>
    <s v="Supplies - Supplies"/>
    <s v="4610-000"/>
    <s v="General expenses Supplies"/>
    <n v="930"/>
    <n v="2602.44"/>
    <n v="930"/>
    <n v="1113.42"/>
    <n v="930"/>
    <n v="827.62"/>
    <n v="930"/>
    <n v="930"/>
    <n v="930"/>
    <n v="930"/>
    <n v="930"/>
    <n v="0"/>
    <n v="0"/>
    <n v="0"/>
    <n v="1.7983225806451613"/>
    <n v="0.19722580645161297"/>
    <n v="-0.11008602150537634"/>
    <n v="0"/>
    <n v="-0.57216304698667397"/>
    <n v="0"/>
    <n v="-0.25668660523432313"/>
    <n v="0"/>
    <n v="0"/>
    <n v="0"/>
    <n v="0"/>
    <n v="0"/>
    <n v="0"/>
    <n v="0"/>
    <n v="0"/>
    <n v="0"/>
    <n v="0"/>
    <x v="8"/>
    <n v="0"/>
    <n v="0"/>
    <s v=""/>
    <x v="0"/>
    <n v="-3.8999999999999993E-2"/>
    <s v=""/>
    <x v="0"/>
  </r>
  <r>
    <x v="17"/>
    <s v="27"/>
    <s v="01 - Administration"/>
    <s v="01"/>
    <s v="Supplies - Supplies"/>
    <s v="4620-000"/>
    <s v="Office supplies Supplies"/>
    <n v="270"/>
    <n v="201.57"/>
    <n v="270"/>
    <n v="34.49"/>
    <n v="270"/>
    <n v="309.61"/>
    <n v="270"/>
    <n v="310"/>
    <n v="310"/>
    <n v="310"/>
    <n v="270"/>
    <n v="40"/>
    <n v="40"/>
    <n v="0.14814814814814814"/>
    <n v="-0.25344444444444447"/>
    <n v="-0.87225925925925918"/>
    <n v="0.14670370370370375"/>
    <n v="0"/>
    <n v="-0.82889318847050653"/>
    <n v="0"/>
    <n v="7.9768048709770945"/>
    <n v="0"/>
    <n v="0"/>
    <n v="0.14814814814814814"/>
    <n v="0.14814814814814814"/>
    <n v="0.14814814814814814"/>
    <n v="0"/>
    <n v="0.14814814814814814"/>
    <n v="0.14814814814814814"/>
    <n v="0.14814814814814814"/>
    <n v="0"/>
    <x v="16"/>
    <n v="0"/>
    <n v="0.14814814814814814"/>
    <n v="270"/>
    <x v="64"/>
    <n v="0.10914814814814815"/>
    <n v="280.52999999999997"/>
    <x v="58"/>
  </r>
  <r>
    <x v="17"/>
    <s v="27"/>
    <s v="01 - Administration"/>
    <s v="01"/>
    <s v="Supplies - Supplies"/>
    <s v="4625-000"/>
    <s v="Postage Supplies"/>
    <n v="425"/>
    <n v="786.28"/>
    <n v="425"/>
    <n v="723.49"/>
    <n v="425"/>
    <n v="708.52"/>
    <n v="425"/>
    <n v="800"/>
    <n v="800"/>
    <n v="800"/>
    <n v="425"/>
    <n v="375"/>
    <n v="375"/>
    <n v="0.88235294117647056"/>
    <n v="0.85007058823529402"/>
    <n v="0.70232941176470587"/>
    <n v="0.6671058823529411"/>
    <n v="0"/>
    <n v="-7.9857048379712012E-2"/>
    <n v="0"/>
    <n v="-2.0691370993379352E-2"/>
    <n v="0"/>
    <n v="0"/>
    <n v="0.88235294117647056"/>
    <n v="0.88235294117647056"/>
    <n v="0.88235294117647056"/>
    <n v="0"/>
    <n v="0.88235294117647056"/>
    <n v="0.88235294117647056"/>
    <n v="0.88235294117647056"/>
    <n v="0"/>
    <x v="17"/>
    <n v="0"/>
    <n v="0.88235294117647056"/>
    <n v="425"/>
    <x v="65"/>
    <n v="0.84335294117647053"/>
    <n v="441.57499999999999"/>
    <x v="59"/>
  </r>
  <r>
    <x v="17"/>
    <s v="27"/>
    <s v="01 - Administration"/>
    <s v="01"/>
    <s v="Supplies - Supplies"/>
    <s v="4690-000"/>
    <s v="Other misc Supplies"/>
    <n v="110"/>
    <n v="0"/>
    <n v="110"/>
    <n v="0"/>
    <n v="110"/>
    <n v="0"/>
    <n v="110"/>
    <n v="110"/>
    <n v="110"/>
    <n v="110"/>
    <n v="110"/>
    <n v="0"/>
    <n v="0"/>
    <n v="0"/>
    <n v="-1"/>
    <n v="-1"/>
    <n v="-1"/>
    <n v="0"/>
    <s v=""/>
    <n v="0"/>
    <s v=""/>
    <n v="0"/>
    <n v="0"/>
    <n v="0"/>
    <n v="0"/>
    <n v="0"/>
    <n v="0"/>
    <n v="0"/>
    <n v="0"/>
    <n v="0"/>
    <n v="0"/>
    <x v="54"/>
    <n v="0"/>
    <n v="0"/>
    <s v=""/>
    <x v="0"/>
    <n v="-3.8999999999999993E-2"/>
    <s v=""/>
    <x v="0"/>
  </r>
  <r>
    <x v="18"/>
    <s v="28"/>
    <s v="00 - Non-Divisional"/>
    <s v="00"/>
    <s v="Other - Other objects"/>
    <s v="4830-000"/>
    <s v="Social service agencies Other"/>
    <n v="50000"/>
    <n v="50000"/>
    <n v="50000"/>
    <n v="47983"/>
    <n v="50000"/>
    <n v="48154.400000000001"/>
    <n v="50000"/>
    <n v="50000"/>
    <n v="50000"/>
    <n v="50000"/>
    <n v="50000"/>
    <n v="0"/>
    <n v="0"/>
    <n v="0"/>
    <n v="0"/>
    <n v="-4.0340000000000001E-2"/>
    <n v="-3.6911999999999973E-2"/>
    <n v="0"/>
    <n v="-4.0340000000000001E-2"/>
    <n v="0"/>
    <n v="3.5720984515349489E-3"/>
    <n v="0"/>
    <n v="0"/>
    <n v="0"/>
    <n v="0"/>
    <n v="0"/>
    <n v="0"/>
    <n v="0"/>
    <n v="0"/>
    <n v="0"/>
    <n v="0"/>
    <x v="91"/>
    <n v="0"/>
    <n v="0"/>
    <s v=""/>
    <x v="0"/>
    <n v="-3.8999999999999993E-2"/>
    <s v=""/>
    <x v="0"/>
  </r>
  <r>
    <x v="18"/>
    <s v="28"/>
    <s v="41 - General Assistance"/>
    <s v="41"/>
    <s v="PS prof - Purchased services - professional &amp; technical"/>
    <s v="4332-000"/>
    <s v="Contracted services Services"/>
    <n v="63250"/>
    <n v="63999.96"/>
    <n v="63250"/>
    <n v="63249.96"/>
    <n v="63250"/>
    <n v="63249.96"/>
    <n v="75000"/>
    <n v="77625"/>
    <n v="77625"/>
    <n v="77625"/>
    <n v="77625"/>
    <n v="2625"/>
    <n v="0"/>
    <n v="3.5000000000000003E-2"/>
    <n v="1.1857075098814215E-2"/>
    <n v="-6.3241106720748007E-7"/>
    <n v="-6.3241106720748007E-7"/>
    <n v="0"/>
    <n v="-1.1718757324223329E-2"/>
    <n v="0"/>
    <n v="0"/>
    <n v="0.1857707509881423"/>
    <n v="0.1857707509881423"/>
    <n v="3.5000000000000003E-2"/>
    <n v="3.5000000000000003E-2"/>
    <n v="3.5000000000000003E-2"/>
    <n v="3.5000000000000003E-2"/>
    <n v="0.22727272727272727"/>
    <n v="0.22727272727272727"/>
    <n v="0.22727272727272727"/>
    <n v="0.22727272727272727"/>
    <x v="33"/>
    <n v="6.1923583662714103E-2"/>
    <n v="-2.69235836627141E-2"/>
    <s v=""/>
    <x v="0"/>
    <n v="-3.9999999999999897E-3"/>
    <s v=""/>
    <x v="0"/>
  </r>
  <r>
    <x v="18"/>
    <s v="28"/>
    <s v="41 - General Assistance"/>
    <s v="41"/>
    <s v="PS property - Purchased services - property services"/>
    <s v="4410-000"/>
    <s v="Electric Services"/>
    <n v="4000"/>
    <n v="910"/>
    <n v="4000"/>
    <n v="1695"/>
    <n v="4000"/>
    <n v="200"/>
    <n v="4000"/>
    <n v="4000"/>
    <n v="4000"/>
    <n v="4000"/>
    <n v="4000"/>
    <n v="0"/>
    <n v="0"/>
    <n v="0"/>
    <n v="-0.77249999999999996"/>
    <n v="-0.57625000000000004"/>
    <n v="-0.95"/>
    <n v="0"/>
    <n v="0.86263736263736268"/>
    <n v="0"/>
    <n v="-0.88200589970501475"/>
    <n v="0"/>
    <n v="0"/>
    <n v="0"/>
    <n v="0"/>
    <n v="0"/>
    <n v="0"/>
    <n v="0"/>
    <n v="0"/>
    <n v="0"/>
    <n v="0"/>
    <x v="38"/>
    <n v="0"/>
    <n v="0"/>
    <s v=""/>
    <x v="0"/>
    <n v="-3.8999999999999993E-2"/>
    <s v=""/>
    <x v="0"/>
  </r>
  <r>
    <x v="18"/>
    <s v="28"/>
    <s v="41 - General Assistance"/>
    <s v="41"/>
    <s v="Supplies - Supplies"/>
    <s v="4690-000"/>
    <s v="Other misc Supplies"/>
    <n v="500"/>
    <n v="750"/>
    <n v="500"/>
    <n v="1640"/>
    <n v="500"/>
    <n v="2000"/>
    <n v="500"/>
    <n v="500"/>
    <n v="500"/>
    <n v="500"/>
    <n v="500"/>
    <n v="0"/>
    <n v="0"/>
    <n v="0"/>
    <n v="0.5"/>
    <n v="2.2799999999999998"/>
    <n v="3"/>
    <n v="0"/>
    <n v="1.1866666666666668"/>
    <n v="0"/>
    <n v="0.21951219512195122"/>
    <n v="0"/>
    <n v="0"/>
    <n v="0"/>
    <n v="0"/>
    <n v="0"/>
    <n v="0"/>
    <n v="0"/>
    <n v="0"/>
    <n v="0"/>
    <n v="0"/>
    <x v="54"/>
    <n v="0"/>
    <n v="0"/>
    <s v=""/>
    <x v="0"/>
    <n v="-3.8999999999999993E-2"/>
    <s v=""/>
    <x v="0"/>
  </r>
  <r>
    <x v="18"/>
    <s v="28"/>
    <s v="41 - General Assistance"/>
    <s v="41"/>
    <s v="Supplies - Supplies"/>
    <s v="4693-000"/>
    <s v="Welfare rent Supplies"/>
    <n v="16000"/>
    <n v="5660.76"/>
    <n v="16000"/>
    <n v="7817.63"/>
    <n v="16000"/>
    <n v="5746"/>
    <n v="16000"/>
    <n v="16000"/>
    <n v="16000"/>
    <n v="16000"/>
    <n v="16000"/>
    <n v="0"/>
    <n v="0"/>
    <n v="0"/>
    <n v="-0.64620250000000001"/>
    <n v="-0.51139812500000004"/>
    <n v="-0.64087499999999997"/>
    <n v="0"/>
    <n v="0.38102127629505578"/>
    <n v="0"/>
    <n v="-0.26499463392358041"/>
    <n v="0"/>
    <n v="0"/>
    <n v="0"/>
    <n v="0"/>
    <n v="0"/>
    <n v="0"/>
    <n v="0"/>
    <n v="0"/>
    <n v="0"/>
    <n v="0"/>
    <x v="92"/>
    <n v="0"/>
    <n v="0"/>
    <s v=""/>
    <x v="0"/>
    <n v="-3.8999999999999993E-2"/>
    <s v=""/>
    <x v="0"/>
  </r>
  <r>
    <x v="18"/>
    <s v="28"/>
    <s v="41 - General Assistance"/>
    <s v="41"/>
    <s v="Supplies - Supplies"/>
    <s v="4694-000"/>
    <s v="Welfare medical Supplies"/>
    <n v="500"/>
    <n v="0"/>
    <n v="500"/>
    <n v="0"/>
    <n v="500"/>
    <n v="0"/>
    <n v="500"/>
    <n v="500"/>
    <n v="500"/>
    <n v="500"/>
    <n v="500"/>
    <n v="0"/>
    <n v="0"/>
    <n v="0"/>
    <n v="-1"/>
    <n v="-1"/>
    <n v="-1"/>
    <n v="0"/>
    <s v=""/>
    <n v="0"/>
    <s v=""/>
    <n v="0"/>
    <n v="0"/>
    <n v="0"/>
    <n v="0"/>
    <n v="0"/>
    <n v="0"/>
    <n v="0"/>
    <n v="0"/>
    <n v="0"/>
    <n v="0"/>
    <x v="93"/>
    <n v="0"/>
    <n v="0"/>
    <s v=""/>
    <x v="0"/>
    <n v="-3.8999999999999993E-2"/>
    <s v=""/>
    <x v="0"/>
  </r>
  <r>
    <x v="18"/>
    <s v="28"/>
    <s v="41 - General Assistance"/>
    <s v="41"/>
    <s v="Supplies - Supplies"/>
    <s v="4699-000"/>
    <s v="Welfare Heat &amp; Oil Supplies"/>
    <n v="2000"/>
    <n v="543.51"/>
    <n v="2000"/>
    <n v="0"/>
    <n v="2000"/>
    <n v="0"/>
    <n v="2000"/>
    <n v="2000"/>
    <n v="2000"/>
    <n v="2000"/>
    <n v="2000"/>
    <n v="0"/>
    <n v="0"/>
    <n v="0"/>
    <n v="-0.72824500000000003"/>
    <n v="-1"/>
    <n v="-1"/>
    <n v="0"/>
    <n v="-1"/>
    <n v="0"/>
    <s v=""/>
    <n v="0"/>
    <n v="0"/>
    <n v="0"/>
    <n v="0"/>
    <n v="0"/>
    <n v="0"/>
    <n v="0"/>
    <n v="0"/>
    <n v="0"/>
    <n v="0"/>
    <x v="94"/>
    <n v="0"/>
    <n v="0"/>
    <s v=""/>
    <x v="0"/>
    <n v="-3.8999999999999993E-2"/>
    <s v=""/>
    <x v="0"/>
  </r>
  <r>
    <x v="19"/>
    <s v="29"/>
    <s v="00 - Non-Divisional"/>
    <s v="00"/>
    <s v="PS Salaries - Personnel services - salaries"/>
    <s v="4110-000"/>
    <s v="Regular Salaries"/>
    <n v="149064"/>
    <n v="149915.87"/>
    <n v="151940"/>
    <n v="149062.14000000001"/>
    <n v="155272"/>
    <n v="164754.72"/>
    <n v="170991"/>
    <n v="185300"/>
    <n v="185300"/>
    <n v="185300"/>
    <n v="185300"/>
    <n v="14309"/>
    <n v="0"/>
    <n v="8.3682766929253583E-2"/>
    <n v="5.7147936456823601E-3"/>
    <n v="-1.8940766091878281E-2"/>
    <n v="6.1071667782987282E-2"/>
    <n v="1.9293726184726023E-2"/>
    <n v="-5.6947273160605442E-3"/>
    <n v="2.1929709095695669E-2"/>
    <n v="0.1052754240614014"/>
    <n v="0.10123525168736153"/>
    <n v="0.14709789083883432"/>
    <n v="8.3682766929253583E-2"/>
    <n v="8.3682766929253583E-2"/>
    <n v="8.3682766929253583E-2"/>
    <n v="8.3682766929253583E-2"/>
    <n v="0.24309021628293886"/>
    <n v="0.24309021628293886"/>
    <n v="0.24309021628293886"/>
    <n v="0.24309021628293886"/>
    <x v="10"/>
    <n v="4.7486228989261074E-2"/>
    <n v="3.6196537939992508E-2"/>
    <s v=""/>
    <x v="0"/>
    <n v="4.468276692925359E-2"/>
    <s v=""/>
    <x v="0"/>
  </r>
  <r>
    <x v="19"/>
    <s v="29"/>
    <s v="00 - Non-Divisional"/>
    <s v="00"/>
    <s v="PS Salaries - Personnel services - salaries"/>
    <s v="4120-000"/>
    <s v="Part-time Salaries"/>
    <n v="4160"/>
    <n v="4000"/>
    <n v="4160"/>
    <n v="0"/>
    <n v="4160"/>
    <n v="0"/>
    <n v="4160"/>
    <n v="4160"/>
    <n v="4160"/>
    <n v="4160"/>
    <n v="4160"/>
    <n v="0"/>
    <n v="0"/>
    <n v="0"/>
    <n v="-3.8461538461538464E-2"/>
    <n v="-1"/>
    <n v="-1"/>
    <n v="0"/>
    <n v="-1"/>
    <n v="0"/>
    <s v=""/>
    <n v="0"/>
    <n v="0"/>
    <n v="0"/>
    <n v="0"/>
    <n v="0"/>
    <n v="0"/>
    <n v="0"/>
    <n v="0"/>
    <n v="0"/>
    <n v="0"/>
    <x v="11"/>
    <n v="0"/>
    <n v="0"/>
    <s v=""/>
    <x v="0"/>
    <n v="-3.8999999999999993E-2"/>
    <s v=""/>
    <x v="0"/>
  </r>
  <r>
    <x v="19"/>
    <s v="29"/>
    <s v="00 - Non-Divisional"/>
    <s v="00"/>
    <s v="PS Salaries - Personnel services - salaries"/>
    <s v="4140-000"/>
    <s v="Overtime Salaries"/>
    <n v="950"/>
    <n v="1477.16"/>
    <n v="950"/>
    <n v="1066.1400000000001"/>
    <n v="950"/>
    <n v="0"/>
    <n v="950"/>
    <n v="0"/>
    <n v="0"/>
    <n v="0"/>
    <n v="950"/>
    <n v="-950"/>
    <n v="-950"/>
    <n v="-1"/>
    <n v="0.55490526315789479"/>
    <n v="0.12225263157894747"/>
    <n v="-1"/>
    <n v="0"/>
    <n v="-0.27825015570418909"/>
    <n v="0"/>
    <n v="-1"/>
    <n v="0"/>
    <n v="0"/>
    <n v="-1"/>
    <n v="-1"/>
    <n v="-1"/>
    <n v="0"/>
    <n v="-1"/>
    <n v="-1"/>
    <n v="-1"/>
    <n v="0"/>
    <x v="12"/>
    <n v="0"/>
    <n v="-1"/>
    <s v=""/>
    <x v="0"/>
    <n v="-1.0389999999999999"/>
    <s v=""/>
    <x v="0"/>
  </r>
  <r>
    <x v="19"/>
    <s v="29"/>
    <s v="00 - Non-Divisional"/>
    <s v="00"/>
    <s v="PS Benefits - Personnel services - benefits"/>
    <s v="4215-000"/>
    <s v="STD, LTD, &amp; Life  Benefits"/>
    <n v="1938"/>
    <n v="1734.79"/>
    <n v="1938"/>
    <n v="1734.79"/>
    <n v="1847"/>
    <n v="1608.28"/>
    <n v="1300"/>
    <n v="1574"/>
    <n v="1574"/>
    <n v="1574"/>
    <n v="1574"/>
    <n v="274"/>
    <n v="0"/>
    <n v="0.21076923076923076"/>
    <n v="-0.10485552115583077"/>
    <n v="-0.10485552115583077"/>
    <n v="-0.12924742826204658"/>
    <n v="0"/>
    <n v="0"/>
    <n v="-4.6955624355005159E-2"/>
    <n v="-7.2925253200675583E-2"/>
    <n v="-0.2961559285327558"/>
    <n v="-0.32920536635706915"/>
    <n v="0.21076923076923076"/>
    <n v="0.21076923076923076"/>
    <n v="0.21076923076923076"/>
    <n v="0.21076923076923076"/>
    <n v="-0.18782249742002063"/>
    <n v="-0.18782249742002063"/>
    <n v="-0.18782249742002063"/>
    <n v="-0.18782249742002063"/>
    <x v="13"/>
    <n v="-0.11437051762925365"/>
    <n v="0.32513974839848442"/>
    <s v=""/>
    <x v="0"/>
    <n v="0.17176923076923079"/>
    <s v=""/>
    <x v="0"/>
  </r>
  <r>
    <x v="19"/>
    <s v="29"/>
    <s v="00 - Non-Divisional"/>
    <s v="00"/>
    <s v="PS Benefits - Personnel services - benefits"/>
    <s v="4220-000"/>
    <s v="FICA Benefits"/>
    <n v="9559"/>
    <n v="9225.65"/>
    <n v="9559"/>
    <n v="9225.65"/>
    <n v="9944"/>
    <n v="9921.64"/>
    <n v="10921"/>
    <n v="11747"/>
    <n v="11747"/>
    <n v="11747"/>
    <n v="11806"/>
    <n v="826"/>
    <n v="-59"/>
    <n v="7.5634099441443087E-2"/>
    <n v="-3.4872894654252577E-2"/>
    <n v="-3.4872894654252577E-2"/>
    <n v="-2.2485921158488117E-3"/>
    <n v="0"/>
    <n v="0"/>
    <n v="4.0276179516685849E-2"/>
    <n v="7.5440754851961625E-2"/>
    <n v="9.8250201126307321E-2"/>
    <n v="0.14248352338110681"/>
    <n v="7.5634099441443087E-2"/>
    <n v="7.5634099441443087E-2"/>
    <n v="7.5634099441443087E-2"/>
    <n v="8.1036535115831879E-2"/>
    <n v="0.22889423579872373"/>
    <n v="0.22889423579872373"/>
    <n v="0.22889423579872373"/>
    <n v="0.23506642954283921"/>
    <x v="1"/>
    <n v="4.6175460214331054E-2"/>
    <n v="2.9458639227112032E-2"/>
    <s v=""/>
    <x v="0"/>
    <n v="3.6634099441443094E-2"/>
    <s v=""/>
    <x v="0"/>
  </r>
  <r>
    <x v="19"/>
    <s v="29"/>
    <s v="00 - Non-Divisional"/>
    <s v="00"/>
    <s v="PS Benefits - Personnel services - benefits"/>
    <s v="4225-000"/>
    <s v="Medicare Benefits"/>
    <n v="2236"/>
    <n v="2157.61"/>
    <n v="2236"/>
    <n v="2157.61"/>
    <n v="2326"/>
    <n v="2320.39"/>
    <n v="2555"/>
    <n v="2748"/>
    <n v="2748"/>
    <n v="2748"/>
    <n v="2762"/>
    <n v="193"/>
    <n v="-14"/>
    <n v="7.5538160469667326E-2"/>
    <n v="-3.5058139534883667E-2"/>
    <n v="-3.5058139534883667E-2"/>
    <n v="-2.4118658641445086E-3"/>
    <n v="0"/>
    <n v="0"/>
    <n v="4.0250447227191413E-2"/>
    <n v="7.5444589151885524E-2"/>
    <n v="9.8452278589853823E-2"/>
    <n v="0.14266547406082289"/>
    <n v="7.5538160469667326E-2"/>
    <n v="7.5538160469667326E-2"/>
    <n v="7.5538160469667326E-2"/>
    <n v="8.1017612524461838E-2"/>
    <n v="0.22898032200357782"/>
    <n v="0.22898032200357782"/>
    <n v="0.22898032200357782"/>
    <n v="0.23524150268336314"/>
    <x v="2"/>
    <n v="4.6234241939015076E-2"/>
    <n v="2.930391853065225E-2"/>
    <s v=""/>
    <x v="0"/>
    <n v="3.6538160469667333E-2"/>
    <s v=""/>
    <x v="0"/>
  </r>
  <r>
    <x v="19"/>
    <s v="29"/>
    <s v="00 - Non-Divisional"/>
    <s v="00"/>
    <s v="PS Benefits - Personnel services - benefits"/>
    <s v="4230-000"/>
    <s v="Retirement Benefits"/>
    <n v="21092"/>
    <n v="21047.38"/>
    <n v="21092"/>
    <n v="21047.38"/>
    <n v="21137"/>
    <n v="21796.959999999999"/>
    <n v="21932"/>
    <n v="23626"/>
    <n v="23626"/>
    <n v="23626"/>
    <n v="23748"/>
    <n v="1694"/>
    <n v="-122"/>
    <n v="7.723873791719861E-2"/>
    <n v="-2.1154940261710119E-3"/>
    <n v="-2.1154940261710119E-3"/>
    <n v="3.1222973931967598E-2"/>
    <n v="0"/>
    <n v="0"/>
    <n v="2.1335103356722928E-3"/>
    <n v="3.5613933895810218E-2"/>
    <n v="3.7611770828405167E-2"/>
    <n v="3.9825526265882802E-2"/>
    <n v="7.723873791719861E-2"/>
    <n v="7.723873791719861E-2"/>
    <n v="7.723873791719861E-2"/>
    <n v="8.2801386102498625E-2"/>
    <n v="0.12014033756874644"/>
    <n v="0.12014033756874644"/>
    <n v="0.12014033756874644"/>
    <n v="0.12592452114545799"/>
    <x v="14"/>
    <n v="1.3248427054692487E-2"/>
    <n v="6.3990310862506117E-2"/>
    <s v=""/>
    <x v="0"/>
    <n v="3.8238737917198617E-2"/>
    <s v=""/>
    <x v="0"/>
  </r>
  <r>
    <x v="19"/>
    <s v="29"/>
    <s v="00 - Non-Divisional"/>
    <s v="00"/>
    <s v="PS Benefits - Personnel services - benefits"/>
    <s v="4260-000"/>
    <s v="Workers' comp Benefits"/>
    <n v="241"/>
    <n v="228.33"/>
    <n v="241"/>
    <n v="228.33"/>
    <n v="303"/>
    <n v="302.91000000000003"/>
    <n v="358"/>
    <n v="353"/>
    <n v="353"/>
    <n v="353"/>
    <n v="353"/>
    <n v="-5"/>
    <n v="0"/>
    <n v="-1.3966480446927373E-2"/>
    <n v="-5.2572614107883768E-2"/>
    <n v="-5.2572614107883768E-2"/>
    <n v="-2.9702970297021446E-4"/>
    <n v="0"/>
    <n v="0"/>
    <n v="0.25726141078838172"/>
    <n v="0.32663250558402318"/>
    <n v="0.18151815181518152"/>
    <n v="0.48547717842323651"/>
    <n v="-1.3966480446927373E-2"/>
    <n v="-1.3966480446927373E-2"/>
    <n v="-1.3966480446927373E-2"/>
    <n v="-1.3966480446927373E-2"/>
    <n v="0.46473029045643155"/>
    <n v="0.46473029045643155"/>
    <n v="0.46473029045643155"/>
    <n v="0.46473029045643155"/>
    <x v="3"/>
    <n v="0.14625985420118773"/>
    <n v="-0.16022633464811509"/>
    <s v=""/>
    <x v="0"/>
    <n v="-5.2966480446927366E-2"/>
    <s v=""/>
    <x v="0"/>
  </r>
  <r>
    <x v="19"/>
    <s v="29"/>
    <s v="00 - Non-Divisional"/>
    <s v="00"/>
    <s v="PS prof - Purchased services - professional &amp; technical"/>
    <s v="4241-000"/>
    <s v="Training Benefits"/>
    <n v="7000"/>
    <n v="0"/>
    <n v="7000"/>
    <n v="1099"/>
    <n v="7000"/>
    <n v="5486.56"/>
    <n v="7000"/>
    <n v="4500"/>
    <n v="4500"/>
    <n v="4500"/>
    <n v="7000"/>
    <n v="-2500"/>
    <n v="-2500"/>
    <n v="-0.35714285714285715"/>
    <n v="-1"/>
    <n v="-0.84299999999999997"/>
    <n v="-0.21620571428571422"/>
    <n v="0"/>
    <s v=""/>
    <n v="0"/>
    <n v="3.9923202911737947"/>
    <n v="0"/>
    <n v="0"/>
    <n v="-0.35714285714285715"/>
    <n v="-0.35714285714285715"/>
    <n v="-0.35714285714285715"/>
    <n v="0"/>
    <n v="-0.35714285714285715"/>
    <n v="-0.35714285714285715"/>
    <n v="-0.35714285714285715"/>
    <n v="0"/>
    <x v="30"/>
    <n v="0"/>
    <n v="-0.35714285714285715"/>
    <s v=""/>
    <x v="0"/>
    <n v="-0.39614285714285713"/>
    <s v=""/>
    <x v="0"/>
  </r>
  <r>
    <x v="19"/>
    <s v="29"/>
    <s v="00 - Non-Divisional"/>
    <s v="00"/>
    <s v="PS prof - Purchased services - professional &amp; technical"/>
    <s v="4330-000"/>
    <s v="MGMT services Services"/>
    <n v="4331"/>
    <n v="2849.65"/>
    <n v="4331"/>
    <n v="5008.13"/>
    <n v="4331"/>
    <n v="5053.7"/>
    <n v="4331"/>
    <n v="500"/>
    <n v="500"/>
    <n v="500"/>
    <n v="4331"/>
    <n v="-3831"/>
    <n v="-3831"/>
    <n v="-0.88455322096513511"/>
    <n v="-0.34203417224659433"/>
    <n v="0.15634495497575621"/>
    <n v="0.16686677441699371"/>
    <n v="0"/>
    <n v="0.75745442422753673"/>
    <n v="0"/>
    <n v="9.0992046931688483E-3"/>
    <n v="0"/>
    <n v="0"/>
    <n v="-0.88455322096513511"/>
    <n v="-0.88455322096513511"/>
    <n v="-0.88455322096513511"/>
    <n v="0"/>
    <n v="-0.88455322096513511"/>
    <n v="-0.88455322096513511"/>
    <n v="-0.88455322096513511"/>
    <n v="0"/>
    <x v="7"/>
    <n v="0"/>
    <n v="-0.88455322096513511"/>
    <s v=""/>
    <x v="0"/>
    <n v="-0.92355322096513515"/>
    <s v=""/>
    <x v="0"/>
  </r>
  <r>
    <x v="19"/>
    <s v="29"/>
    <s v="00 - Non-Divisional"/>
    <s v="00"/>
    <s v="PS prof - Purchased services - professional &amp; technical"/>
    <s v="4341-000"/>
    <s v="Telephone Services"/>
    <m/>
    <m/>
    <m/>
    <m/>
    <m/>
    <m/>
    <m/>
    <m/>
    <m/>
    <m/>
    <m/>
    <n v="0"/>
    <n v="0"/>
    <s v=""/>
    <s v=""/>
    <s v=""/>
    <s v=""/>
    <s v=""/>
    <s v=""/>
    <s v=""/>
    <s v=""/>
    <s v=""/>
    <s v=""/>
    <s v=""/>
    <s v=""/>
    <s v=""/>
    <s v=""/>
    <s v=""/>
    <s v=""/>
    <s v=""/>
    <s v=""/>
    <x v="34"/>
    <n v="0"/>
    <n v="0"/>
    <s v=""/>
    <x v="0"/>
    <n v="-3.8999999999999993E-2"/>
    <s v=""/>
    <x v="0"/>
  </r>
  <r>
    <x v="19"/>
    <s v="29"/>
    <s v="00 - Non-Divisional"/>
    <s v="00"/>
    <s v="PS prof - Purchased services - professional &amp; technical"/>
    <s v="4355-000"/>
    <s v="Photo services Services"/>
    <n v="1000"/>
    <n v="0"/>
    <n v="1000"/>
    <n v="0"/>
    <n v="1000"/>
    <n v="0"/>
    <n v="1000"/>
    <n v="0"/>
    <n v="0"/>
    <n v="0"/>
    <n v="1000"/>
    <n v="-1000"/>
    <n v="-1000"/>
    <n v="-1"/>
    <n v="-1"/>
    <n v="-1"/>
    <n v="-1"/>
    <n v="0"/>
    <s v=""/>
    <n v="0"/>
    <s v=""/>
    <n v="0"/>
    <n v="0"/>
    <n v="-1"/>
    <n v="-1"/>
    <n v="-1"/>
    <n v="0"/>
    <n v="-1"/>
    <n v="-1"/>
    <n v="-1"/>
    <n v="0"/>
    <x v="95"/>
    <n v="0"/>
    <n v="-1"/>
    <s v=""/>
    <x v="0"/>
    <n v="-1.0389999999999999"/>
    <s v=""/>
    <x v="0"/>
  </r>
  <r>
    <x v="19"/>
    <s v="29"/>
    <s v="00 - Non-Divisional"/>
    <s v="00"/>
    <s v="PS prof - Purchased services - professional &amp; technical"/>
    <s v="4360-000"/>
    <s v="Custodial Services"/>
    <n v="8000"/>
    <n v="9075"/>
    <n v="8000"/>
    <n v="11025"/>
    <n v="8000"/>
    <n v="10407.56"/>
    <n v="8000"/>
    <n v="11100"/>
    <n v="8000"/>
    <n v="8000"/>
    <n v="8000"/>
    <n v="0"/>
    <n v="0"/>
    <n v="0"/>
    <n v="0.13437499999999999"/>
    <n v="0.37812499999999999"/>
    <n v="0.30094499999999996"/>
    <n v="0"/>
    <n v="0.21487603305785125"/>
    <n v="0"/>
    <n v="-5.600362811791388E-2"/>
    <n v="0"/>
    <n v="0"/>
    <n v="0.38750000000000001"/>
    <n v="0"/>
    <n v="0"/>
    <n v="0"/>
    <n v="0.38750000000000001"/>
    <n v="0"/>
    <n v="0"/>
    <n v="0"/>
    <x v="37"/>
    <n v="0"/>
    <n v="0"/>
    <s v=""/>
    <x v="0"/>
    <n v="-3.8999999999999993E-2"/>
    <s v=""/>
    <x v="0"/>
  </r>
  <r>
    <x v="19"/>
    <s v="29"/>
    <s v="00 - Non-Divisional"/>
    <s v="00"/>
    <s v="PS property - Purchased services - property services"/>
    <s v="4410-000"/>
    <s v="Electric Services"/>
    <n v="8800"/>
    <n v="5851.67"/>
    <n v="8800"/>
    <n v="5924.7"/>
    <n v="7800"/>
    <n v="5472.49"/>
    <n v="7800"/>
    <n v="6200"/>
    <n v="6200"/>
    <n v="6200"/>
    <n v="7800"/>
    <n v="-1600"/>
    <n v="-1600"/>
    <n v="-0.20512820512820512"/>
    <n v="-0.33503749999999999"/>
    <n v="-0.32673863636363637"/>
    <n v="-0.29839871794871797"/>
    <n v="0"/>
    <n v="1.2480197960582149E-2"/>
    <n v="-0.11363636363636363"/>
    <n v="-7.6326227488311651E-2"/>
    <n v="0"/>
    <n v="-0.11363636363636363"/>
    <n v="-0.20512820512820512"/>
    <n v="-0.20512820512820512"/>
    <n v="-0.20512820512820512"/>
    <n v="0"/>
    <n v="-0.29545454545454547"/>
    <n v="-0.29545454545454547"/>
    <n v="-0.29545454545454547"/>
    <n v="-0.11363636363636363"/>
    <x v="38"/>
    <n v="-3.787878787878788E-2"/>
    <n v="-0.16724941724941725"/>
    <s v=""/>
    <x v="0"/>
    <n v="-0.2441282051282051"/>
    <s v=""/>
    <x v="0"/>
  </r>
  <r>
    <x v="19"/>
    <s v="29"/>
    <s v="00 - Non-Divisional"/>
    <s v="00"/>
    <s v="PS property - Purchased services - property services"/>
    <s v="4411-000"/>
    <s v="Heat &amp; oil Services"/>
    <n v="5000"/>
    <n v="4869.8"/>
    <n v="5000"/>
    <n v="4603.0200000000004"/>
    <n v="5000"/>
    <n v="4865.84"/>
    <n v="5000"/>
    <n v="6200"/>
    <n v="6200"/>
    <n v="6200"/>
    <n v="5000"/>
    <n v="1200"/>
    <n v="1200"/>
    <n v="0.24"/>
    <n v="-2.6039999999999962E-2"/>
    <n v="-7.9395999999999911E-2"/>
    <n v="-2.683199999999997E-2"/>
    <n v="0"/>
    <n v="-5.4782537270524401E-2"/>
    <n v="0"/>
    <n v="5.7097296991974765E-2"/>
    <n v="0"/>
    <n v="0"/>
    <n v="0.24"/>
    <n v="0.24"/>
    <n v="0.24"/>
    <n v="0"/>
    <n v="0.24"/>
    <n v="0.24"/>
    <n v="0.24"/>
    <n v="0"/>
    <x v="39"/>
    <n v="0"/>
    <n v="0.24"/>
    <n v="5000"/>
    <x v="66"/>
    <n v="0.20100000000000001"/>
    <n v="5195"/>
    <x v="60"/>
  </r>
  <r>
    <x v="19"/>
    <s v="29"/>
    <s v="00 - Non-Divisional"/>
    <s v="00"/>
    <s v="PS property - Purchased services - property services"/>
    <s v="4412-000"/>
    <s v="Water Services"/>
    <n v="900"/>
    <n v="959.83"/>
    <n v="900"/>
    <n v="1185.76"/>
    <n v="900"/>
    <n v="945.1"/>
    <n v="1000"/>
    <n v="1000"/>
    <n v="1000"/>
    <n v="1000"/>
    <n v="1000"/>
    <n v="0"/>
    <n v="0"/>
    <n v="0"/>
    <n v="6.647777777777783E-2"/>
    <n v="0.31751111111111108"/>
    <n v="5.0111111111111134E-2"/>
    <n v="0"/>
    <n v="0.23538543283706484"/>
    <n v="0"/>
    <n v="-0.20295844015652406"/>
    <n v="0.1111111111111111"/>
    <n v="0.1111111111111111"/>
    <n v="0"/>
    <n v="0"/>
    <n v="0"/>
    <n v="0"/>
    <n v="0.1111111111111111"/>
    <n v="0.1111111111111111"/>
    <n v="0.1111111111111111"/>
    <n v="0.1111111111111111"/>
    <x v="40"/>
    <n v="3.7037037037037035E-2"/>
    <n v="-3.7037037037037035E-2"/>
    <s v=""/>
    <x v="0"/>
    <n v="-3.8999999999999993E-2"/>
    <s v=""/>
    <x v="0"/>
  </r>
  <r>
    <x v="19"/>
    <s v="29"/>
    <s v="00 - Non-Divisional"/>
    <s v="00"/>
    <s v="PS property - Purchased services - property services"/>
    <s v="4341-000"/>
    <s v="Telephone Services"/>
    <n v="0"/>
    <n v="0"/>
    <n v="0"/>
    <n v="0"/>
    <n v="0"/>
    <n v="0"/>
    <n v="0"/>
    <n v="5100"/>
    <n v="5100"/>
    <n v="5100"/>
    <n v="0"/>
    <n v="5100"/>
    <n v="5100"/>
    <s v=""/>
    <s v=""/>
    <s v=""/>
    <s v=""/>
    <s v=""/>
    <s v=""/>
    <s v=""/>
    <s v=""/>
    <s v=""/>
    <s v=""/>
    <s v=""/>
    <s v=""/>
    <s v=""/>
    <s v=""/>
    <s v=""/>
    <s v=""/>
    <s v=""/>
    <s v=""/>
    <x v="34"/>
    <n v="0"/>
    <n v="0"/>
    <s v=""/>
    <x v="0"/>
    <n v="-3.8999999999999993E-2"/>
    <s v=""/>
    <x v="0"/>
  </r>
  <r>
    <x v="19"/>
    <s v="29"/>
    <s v="00 - Non-Divisional"/>
    <s v="00"/>
    <s v="PS other - Purchased services - other"/>
    <s v="4550-000"/>
    <s v="Printing Services"/>
    <n v="150"/>
    <n v="0"/>
    <n v="150"/>
    <n v="0"/>
    <n v="150"/>
    <n v="103.2"/>
    <n v="150"/>
    <n v="70"/>
    <n v="70"/>
    <n v="70"/>
    <n v="150"/>
    <n v="-80"/>
    <n v="-80"/>
    <n v="-0.53333333333333333"/>
    <n v="-1"/>
    <n v="-1"/>
    <n v="-0.312"/>
    <n v="0"/>
    <s v=""/>
    <n v="0"/>
    <s v=""/>
    <n v="0"/>
    <n v="0"/>
    <n v="-0.53333333333333333"/>
    <n v="-0.53333333333333333"/>
    <n v="-0.53333333333333333"/>
    <n v="0"/>
    <n v="-0.53333333333333333"/>
    <n v="-0.53333333333333333"/>
    <n v="-0.53333333333333333"/>
    <n v="0"/>
    <x v="4"/>
    <n v="0"/>
    <n v="-0.53333333333333333"/>
    <s v=""/>
    <x v="0"/>
    <n v="-0.57233333333333336"/>
    <s v=""/>
    <x v="0"/>
  </r>
  <r>
    <x v="19"/>
    <s v="29"/>
    <s v="00 - Non-Divisional"/>
    <s v="00"/>
    <s v="PS other - Purchased services - other"/>
    <s v="4560-000"/>
    <s v="Dues &amp; subs Services"/>
    <n v="1200"/>
    <n v="239.88"/>
    <n v="1200"/>
    <n v="1451.88"/>
    <n v="1200"/>
    <n v="2016.18"/>
    <n v="1200"/>
    <n v="6434"/>
    <n v="6434"/>
    <n v="6434"/>
    <n v="1634"/>
    <n v="5234"/>
    <n v="4800"/>
    <n v="4.3616666666666664"/>
    <n v="-0.80010000000000003"/>
    <n v="0.20990000000000009"/>
    <n v="0.68015000000000003"/>
    <n v="0"/>
    <n v="5.0525262631315657"/>
    <n v="0"/>
    <n v="0.38866848499876017"/>
    <n v="0"/>
    <n v="0"/>
    <n v="4.3616666666666664"/>
    <n v="4.3616666666666664"/>
    <n v="4.3616666666666664"/>
    <n v="0.36166666666666669"/>
    <n v="4.3616666666666664"/>
    <n v="4.3616666666666664"/>
    <n v="4.3616666666666664"/>
    <n v="0.36166666666666669"/>
    <x v="15"/>
    <n v="0"/>
    <n v="4.3616666666666664"/>
    <n v="1200"/>
    <x v="67"/>
    <n v="4.3226666666666667"/>
    <n v="1246.8"/>
    <x v="61"/>
  </r>
  <r>
    <x v="19"/>
    <s v="29"/>
    <s v="00 - Non-Divisional"/>
    <s v="00"/>
    <s v="PS other - Purchased services - other"/>
    <s v="4575-000"/>
    <s v="Travel &amp; mileage Services"/>
    <n v="2000"/>
    <n v="3058.78"/>
    <n v="2000"/>
    <n v="3843.23"/>
    <n v="3500"/>
    <n v="3184.26"/>
    <n v="3500"/>
    <n v="9000"/>
    <n v="9000"/>
    <n v="9000"/>
    <n v="3500"/>
    <n v="5500"/>
    <n v="5500"/>
    <n v="1.5714285714285714"/>
    <n v="0.52939000000000014"/>
    <n v="0.92161499999999996"/>
    <n v="-9.0211428571428512E-2"/>
    <n v="0"/>
    <n v="0.25645845729343064"/>
    <n v="0.75"/>
    <n v="-0.17146254582733789"/>
    <n v="0"/>
    <n v="0.75"/>
    <n v="1.5714285714285714"/>
    <n v="1.5714285714285714"/>
    <n v="1.5714285714285714"/>
    <n v="0"/>
    <n v="3.5"/>
    <n v="3.5"/>
    <n v="3.5"/>
    <n v="0.75"/>
    <x v="6"/>
    <n v="0.25"/>
    <n v="1.3214285714285714"/>
    <n v="4375"/>
    <x v="68"/>
    <n v="1.5324285714285715"/>
    <n v="3636.4999999999995"/>
    <x v="62"/>
  </r>
  <r>
    <x v="19"/>
    <s v="29"/>
    <s v="00 - Non-Divisional"/>
    <s v="00"/>
    <s v="Supplies - Supplies"/>
    <s v="4610-000"/>
    <s v="General expenses Supplies"/>
    <n v="2500"/>
    <n v="1984.13"/>
    <n v="2500"/>
    <n v="1094.3900000000001"/>
    <n v="2500"/>
    <n v="781.85"/>
    <n v="2500"/>
    <n v="1500"/>
    <n v="1500"/>
    <n v="1500"/>
    <n v="2500"/>
    <n v="-1000"/>
    <n v="-1000"/>
    <n v="-0.4"/>
    <n v="-0.20634799999999995"/>
    <n v="-0.56224399999999997"/>
    <n v="-0.68725999999999998"/>
    <n v="0"/>
    <n v="-0.44842827838901683"/>
    <n v="0"/>
    <n v="-0.28558374985151552"/>
    <n v="0"/>
    <n v="0"/>
    <n v="-0.4"/>
    <n v="-0.4"/>
    <n v="-0.4"/>
    <n v="0"/>
    <n v="-0.4"/>
    <n v="-0.4"/>
    <n v="-0.4"/>
    <n v="0"/>
    <x v="8"/>
    <n v="0"/>
    <n v="-0.4"/>
    <s v=""/>
    <x v="0"/>
    <n v="-0.439"/>
    <s v=""/>
    <x v="0"/>
  </r>
  <r>
    <x v="19"/>
    <s v="29"/>
    <s v="00 - Non-Divisional"/>
    <s v="00"/>
    <s v="Supplies - Supplies"/>
    <s v="4620-000"/>
    <s v="Office supplies Supplies"/>
    <n v="750"/>
    <n v="264.52999999999997"/>
    <n v="750"/>
    <n v="842.12"/>
    <n v="750"/>
    <n v="299.24"/>
    <n v="750"/>
    <n v="750"/>
    <n v="750"/>
    <n v="750"/>
    <n v="750"/>
    <n v="0"/>
    <n v="0"/>
    <n v="0"/>
    <n v="-0.64729333333333339"/>
    <n v="0.12282666666666667"/>
    <n v="-0.60101333333333329"/>
    <n v="0"/>
    <n v="2.1834574528408881"/>
    <n v="0"/>
    <n v="-0.64465871847242673"/>
    <n v="0"/>
    <n v="0"/>
    <n v="0"/>
    <n v="0"/>
    <n v="0"/>
    <n v="0"/>
    <n v="0"/>
    <n v="0"/>
    <n v="0"/>
    <n v="0"/>
    <x v="16"/>
    <n v="0"/>
    <n v="0"/>
    <s v=""/>
    <x v="0"/>
    <n v="-3.8999999999999993E-2"/>
    <s v=""/>
    <x v="0"/>
  </r>
  <r>
    <x v="19"/>
    <s v="29"/>
    <s v="00 - Non-Divisional"/>
    <s v="00"/>
    <s v="Supplies - Supplies"/>
    <s v="4625-000"/>
    <s v="Postage Supplies"/>
    <n v="100"/>
    <n v="12.6"/>
    <n v="100"/>
    <n v="0"/>
    <n v="100"/>
    <n v="39.1"/>
    <n v="100"/>
    <n v="50"/>
    <n v="50"/>
    <n v="50"/>
    <n v="100"/>
    <n v="-50"/>
    <n v="-50"/>
    <n v="-0.5"/>
    <n v="-0.87400000000000011"/>
    <n v="-1"/>
    <n v="-0.60899999999999999"/>
    <n v="0"/>
    <n v="-1"/>
    <n v="0"/>
    <s v=""/>
    <n v="0"/>
    <n v="0"/>
    <n v="-0.5"/>
    <n v="-0.5"/>
    <n v="-0.5"/>
    <n v="0"/>
    <n v="-0.5"/>
    <n v="-0.5"/>
    <n v="-0.5"/>
    <n v="0"/>
    <x v="17"/>
    <n v="0"/>
    <n v="-0.5"/>
    <s v=""/>
    <x v="0"/>
    <n v="-0.53900000000000003"/>
    <s v=""/>
    <x v="0"/>
  </r>
  <r>
    <x v="19"/>
    <s v="29"/>
    <s v="00 - Non-Divisional"/>
    <s v="00"/>
    <s v="Supplies - Supplies"/>
    <s v="4630-000"/>
    <s v="Maint &amp; repairs Supplies"/>
    <n v="4000"/>
    <n v="122.5"/>
    <n v="4000"/>
    <n v="115"/>
    <n v="4000"/>
    <n v="2721.78"/>
    <n v="4000"/>
    <n v="2500"/>
    <n v="2500"/>
    <n v="2500"/>
    <n v="4000"/>
    <n v="-1500"/>
    <n v="-1500"/>
    <n v="-0.375"/>
    <n v="-0.96937499999999999"/>
    <n v="-0.97124999999999995"/>
    <n v="-0.31955499999999992"/>
    <n v="0"/>
    <n v="-6.1224489795918366E-2"/>
    <n v="0"/>
    <n v="22.667652173913044"/>
    <n v="0"/>
    <n v="0"/>
    <n v="-0.375"/>
    <n v="-0.375"/>
    <n v="-0.375"/>
    <n v="0"/>
    <n v="-0.375"/>
    <n v="-0.375"/>
    <n v="-0.375"/>
    <n v="0"/>
    <x v="32"/>
    <n v="0"/>
    <n v="-0.375"/>
    <s v=""/>
    <x v="0"/>
    <n v="-0.41399999999999998"/>
    <s v=""/>
    <x v="0"/>
  </r>
  <r>
    <x v="19"/>
    <s v="29"/>
    <s v="00 - Non-Divisional"/>
    <s v="00"/>
    <s v="Supplies - Supplies"/>
    <s v="4670-000"/>
    <s v="Books &amp; periodicals Supplies"/>
    <n v="100"/>
    <n v="0"/>
    <n v="100"/>
    <n v="0"/>
    <n v="100"/>
    <n v="0"/>
    <n v="100"/>
    <n v="0"/>
    <n v="0"/>
    <n v="0"/>
    <n v="100"/>
    <n v="-100"/>
    <n v="-100"/>
    <n v="-1"/>
    <n v="-1"/>
    <n v="-1"/>
    <n v="-1"/>
    <n v="0"/>
    <s v=""/>
    <n v="0"/>
    <s v=""/>
    <n v="0"/>
    <n v="0"/>
    <n v="-1"/>
    <n v="-1"/>
    <n v="-1"/>
    <n v="0"/>
    <n v="-1"/>
    <n v="-1"/>
    <n v="-1"/>
    <n v="0"/>
    <x v="18"/>
    <n v="0"/>
    <n v="-1"/>
    <s v=""/>
    <x v="0"/>
    <n v="-1.0389999999999999"/>
    <s v=""/>
    <x v="0"/>
  </r>
  <r>
    <x v="19"/>
    <s v="29"/>
    <s v="00 - Non-Divisional"/>
    <s v="00"/>
    <s v="Property - Property"/>
    <s v="4740-000"/>
    <s v="Mach &amp; equip Property"/>
    <n v="53980"/>
    <n v="28583.91"/>
    <n v="15000"/>
    <n v="18557.02"/>
    <n v="17000"/>
    <n v="20772.37"/>
    <n v="15500"/>
    <n v="15500"/>
    <n v="15500"/>
    <n v="15500"/>
    <n v="15500"/>
    <n v="0"/>
    <n v="0"/>
    <n v="0"/>
    <n v="-0.47047221193034455"/>
    <n v="0.23713466666666669"/>
    <n v="0.22190411764705875"/>
    <n v="-0.72211930344572062"/>
    <n v="-0.35078790830225814"/>
    <n v="0.13333333333333333"/>
    <n v="0.11938069797844689"/>
    <n v="-8.8235294117647065E-2"/>
    <n v="-0.71285661356057795"/>
    <n v="0"/>
    <n v="0"/>
    <n v="0"/>
    <n v="0"/>
    <n v="-0.71285661356057795"/>
    <n v="-0.71285661356057795"/>
    <n v="-0.71285661356057795"/>
    <n v="-0.71285661356057795"/>
    <x v="26"/>
    <n v="-0.22567375474334481"/>
    <n v="0.22567375474334481"/>
    <n v="12002.056801478155"/>
    <x v="69"/>
    <n v="-3.8999999999999993E-2"/>
    <s v=""/>
    <x v="0"/>
  </r>
  <r>
    <x v="19"/>
    <s v="29"/>
    <s v="00 - Non-Divisional"/>
    <s v="00"/>
    <s v="Other - Other objects"/>
    <s v="4824-000"/>
    <s v="Programs Other"/>
    <n v="9500"/>
    <n v="1099"/>
    <n v="9500"/>
    <n v="5"/>
    <n v="7000"/>
    <n v="1799"/>
    <n v="5500"/>
    <n v="1500"/>
    <n v="1500"/>
    <n v="1500"/>
    <n v="5500"/>
    <n v="-4000"/>
    <n v="-4000"/>
    <n v="-0.72727272727272729"/>
    <n v="-0.88431578947368417"/>
    <n v="-0.99947368421052629"/>
    <n v="-0.74299999999999999"/>
    <n v="0"/>
    <n v="-0.99545040946314833"/>
    <n v="-0.26315789473684209"/>
    <n v="358.8"/>
    <n v="-0.21428571428571427"/>
    <n v="-0.42105263157894735"/>
    <n v="-0.72727272727272729"/>
    <n v="-0.72727272727272729"/>
    <n v="-0.72727272727272729"/>
    <n v="0"/>
    <n v="-0.84210526315789469"/>
    <n v="-0.84210526315789469"/>
    <n v="-0.84210526315789469"/>
    <n v="-0.42105263157894735"/>
    <x v="96"/>
    <n v="-0.15914786967418545"/>
    <n v="-0.56812485759854181"/>
    <s v=""/>
    <x v="0"/>
    <n v="-0.76627272727272733"/>
    <s v=""/>
    <x v="0"/>
  </r>
  <r>
    <x v="20"/>
    <s v="30"/>
    <s v="00 - Non-Divisional"/>
    <s v="00"/>
    <s v="PS Salaries - Personnel services - salaries"/>
    <s v="4110-000"/>
    <s v="Regular Salaries"/>
    <n v="27992"/>
    <n v="28115.42"/>
    <n v="29416"/>
    <n v="63933.74"/>
    <n v="74345"/>
    <n v="82833.13"/>
    <n v="79640"/>
    <n v="181095"/>
    <n v="181095"/>
    <n v="181095"/>
    <n v="88656"/>
    <n v="101455"/>
    <n v="92439"/>
    <n v="1.2739201406328478"/>
    <n v="4.4091168905400916E-3"/>
    <n v="1.1734341854772912"/>
    <n v="0.11417217028717472"/>
    <n v="5.0871677622177765E-2"/>
    <n v="1.2739742105933329"/>
    <n v="1.5273660592874625"/>
    <n v="0.29560901645985371"/>
    <n v="7.1222005514829517E-2"/>
    <n v="1.8450985995998856"/>
    <n v="1.2739201406328478"/>
    <n v="1.2739201406328478"/>
    <n v="1.2739201406328478"/>
    <n v="0.11320944249121044"/>
    <n v="5.4695270077164908"/>
    <n v="5.4695270077164908"/>
    <n v="5.4695270077164908"/>
    <n v="2.1671906258931122"/>
    <x v="10"/>
    <n v="0.54981991414149001"/>
    <n v="0.72410022649135775"/>
    <s v=""/>
    <x v="0"/>
    <n v="1.2349201406328478"/>
    <s v=""/>
    <x v="0"/>
  </r>
  <r>
    <x v="20"/>
    <s v="30"/>
    <s v="00 - Non-Divisional"/>
    <s v="00"/>
    <s v="PS Salaries - Personnel services - salaries"/>
    <s v="4120-000"/>
    <s v="Part-time Salaries"/>
    <n v="64840"/>
    <n v="54425.120000000003"/>
    <n v="64722"/>
    <n v="59778.080000000002"/>
    <n v="69971"/>
    <n v="67174.22"/>
    <n v="83713"/>
    <n v="49250"/>
    <n v="14866"/>
    <n v="14866"/>
    <n v="50531"/>
    <n v="-68847"/>
    <n v="-35665"/>
    <n v="-0.82241706783892587"/>
    <n v="-0.16062430598396049"/>
    <n v="-7.6387009054108307E-2"/>
    <n v="-3.9970559231681684E-2"/>
    <n v="-1.8198642813078347E-3"/>
    <n v="9.835458332475884E-2"/>
    <n v="8.1100707641914654E-2"/>
    <n v="0.12372662353826017"/>
    <n v="0.19639564962627373"/>
    <n v="0.29107032695866747"/>
    <n v="-0.41168038416972275"/>
    <n v="-0.82241706783892587"/>
    <n v="-0.82241706783892587"/>
    <n v="-0.39637810137015755"/>
    <n v="-0.24043800123380629"/>
    <n v="-0.77072794571252312"/>
    <n v="-0.77072794571252312"/>
    <n v="-0.22068167797655769"/>
    <x v="11"/>
    <n v="9.1892164328960191E-2"/>
    <n v="-0.91430923216788607"/>
    <s v=""/>
    <x v="0"/>
    <n v="-0.86141706783892591"/>
    <s v=""/>
    <x v="0"/>
  </r>
  <r>
    <x v="20"/>
    <s v="30"/>
    <s v="00 - Non-Divisional"/>
    <s v="00"/>
    <s v="PS Benefits - Personnel services - benefits"/>
    <s v="4215-000"/>
    <s v="STD, LTD, &amp; Life  Benefits"/>
    <n v="0"/>
    <n v="0"/>
    <n v="0"/>
    <n v="0"/>
    <n v="0"/>
    <n v="0"/>
    <n v="0"/>
    <n v="1270"/>
    <n v="1270"/>
    <n v="1270"/>
    <n v="0"/>
    <n v="1270"/>
    <n v="1270"/>
    <s v=""/>
    <s v=""/>
    <s v=""/>
    <s v=""/>
    <s v=""/>
    <s v=""/>
    <s v=""/>
    <s v=""/>
    <s v=""/>
    <s v=""/>
    <s v=""/>
    <s v=""/>
    <s v=""/>
    <s v=""/>
    <s v=""/>
    <s v=""/>
    <s v=""/>
    <s v=""/>
    <x v="13"/>
    <n v="0"/>
    <n v="0"/>
    <s v=""/>
    <x v="0"/>
    <n v="-3.8999999999999993E-2"/>
    <s v=""/>
    <x v="0"/>
  </r>
  <r>
    <x v="20"/>
    <s v="30"/>
    <s v="00 - Non-Divisional"/>
    <s v="00"/>
    <s v="PS Benefits - Personnel services - benefits"/>
    <s v="4220-000"/>
    <s v="FICA Benefits"/>
    <n v="5574"/>
    <n v="5069.01"/>
    <n v="5837"/>
    <n v="7595.91"/>
    <n v="9134"/>
    <n v="9034.4500000000007"/>
    <n v="10129"/>
    <n v="14282"/>
    <n v="12150"/>
    <n v="12150"/>
    <n v="8630"/>
    <n v="2021"/>
    <n v="3520"/>
    <n v="0.19952611314048771"/>
    <n v="-9.0597416576964435E-2"/>
    <n v="0.30133801610416305"/>
    <n v="-1.0898839500766288E-2"/>
    <n v="4.7183351273771081E-2"/>
    <n v="0.49849970704338709"/>
    <n v="0.56484495459996575"/>
    <n v="0.18938349717150427"/>
    <n v="0.10893365447777534"/>
    <n v="0.81718693936132036"/>
    <n v="0.41001085990719716"/>
    <n v="0.19952611314048771"/>
    <n v="0.19952611314048771"/>
    <n v="-0.14799091716852603"/>
    <n v="1.5622533189809831"/>
    <n v="1.1797631862217439"/>
    <n v="1.1797631862217439"/>
    <n v="0.54825977753857191"/>
    <x v="1"/>
    <n v="0.24032065345050405"/>
    <n v="-4.0794540310016336E-2"/>
    <s v=""/>
    <x v="0"/>
    <n v="0.1605261131404877"/>
    <s v=""/>
    <x v="0"/>
  </r>
  <r>
    <x v="20"/>
    <s v="30"/>
    <s v="00 - Non-Divisional"/>
    <s v="00"/>
    <s v="PS Benefits - Personnel services - benefits"/>
    <s v="4225-000"/>
    <s v="Medicare Benefits"/>
    <n v="1304"/>
    <n v="1185.44"/>
    <n v="1365"/>
    <n v="1776.51"/>
    <n v="2137"/>
    <n v="2112.92"/>
    <n v="2371"/>
    <n v="3340"/>
    <n v="2842"/>
    <n v="2842"/>
    <n v="2019"/>
    <n v="471"/>
    <n v="823"/>
    <n v="0.19865035849852383"/>
    <n v="-9.092024539877297E-2"/>
    <n v="0.30147252747252745"/>
    <n v="-1.1268132896583962E-2"/>
    <n v="4.6779141104294479E-2"/>
    <n v="0.49860811175597242"/>
    <n v="0.56556776556776556"/>
    <n v="0.18936566639084501"/>
    <n v="0.10949929808142256"/>
    <n v="0.81825153374233128"/>
    <n v="0.40868831716575282"/>
    <n v="0.19865035849852383"/>
    <n v="0.19865035849852383"/>
    <n v="-0.14846056516237874"/>
    <n v="1.5613496932515338"/>
    <n v="1.1794478527607362"/>
    <n v="1.1794478527607362"/>
    <n v="0.54831288343558282"/>
    <x v="2"/>
    <n v="0.24061540158449421"/>
    <n v="-4.1965043085970377E-2"/>
    <s v=""/>
    <x v="0"/>
    <n v="0.15965035849852383"/>
    <s v=""/>
    <x v="0"/>
  </r>
  <r>
    <x v="20"/>
    <s v="30"/>
    <s v="00 - Non-Divisional"/>
    <s v="00"/>
    <s v="PS Benefits - Personnel services - benefits"/>
    <s v="4230-000"/>
    <s v="Retirement Benefits"/>
    <n v="0"/>
    <n v="0"/>
    <n v="0"/>
    <n v="0"/>
    <n v="0"/>
    <n v="0"/>
    <n v="0"/>
    <n v="23090"/>
    <n v="23090"/>
    <n v="23090"/>
    <n v="0"/>
    <n v="23090"/>
    <n v="23090"/>
    <s v=""/>
    <s v=""/>
    <s v=""/>
    <s v=""/>
    <s v=""/>
    <s v=""/>
    <s v=""/>
    <s v=""/>
    <s v=""/>
    <s v=""/>
    <s v=""/>
    <s v=""/>
    <s v=""/>
    <s v=""/>
    <s v=""/>
    <s v=""/>
    <s v=""/>
    <s v=""/>
    <x v="14"/>
    <n v="0"/>
    <n v="0"/>
    <s v=""/>
    <x v="0"/>
    <n v="-3.8999999999999993E-2"/>
    <s v=""/>
    <x v="0"/>
  </r>
  <r>
    <x v="20"/>
    <s v="30"/>
    <s v="00 - Non-Divisional"/>
    <s v="00"/>
    <s v="PS Benefits - Personnel services - benefits"/>
    <s v="4260-000"/>
    <s v="Workers' comp Benefits"/>
    <n v="1440"/>
    <n v="1373.14"/>
    <n v="1524"/>
    <n v="1625.54"/>
    <n v="1822"/>
    <n v="1821.63"/>
    <n v="2152"/>
    <n v="2120"/>
    <n v="2120"/>
    <n v="2120"/>
    <n v="2120"/>
    <n v="-32"/>
    <n v="0"/>
    <n v="-1.4869888475836431E-2"/>
    <n v="-4.6430555555555489E-2"/>
    <n v="6.6627296587926488E-2"/>
    <n v="-2.03073545554276E-4"/>
    <n v="5.8333333333333334E-2"/>
    <n v="0.1838122842536084"/>
    <n v="0.19553805774278216"/>
    <n v="0.12063068272697082"/>
    <n v="0.18111964873765093"/>
    <n v="0.49444444444444446"/>
    <n v="-1.4869888475836431E-2"/>
    <n v="-1.4869888475836431E-2"/>
    <n v="-1.4869888475836431E-2"/>
    <n v="-1.4869888475836431E-2"/>
    <n v="0.47222222222222221"/>
    <n v="0.47222222222222221"/>
    <n v="0.47222222222222221"/>
    <n v="0.47222222222222221"/>
    <x v="3"/>
    <n v="0.14499701327125547"/>
    <n v="-0.15986690174709189"/>
    <s v=""/>
    <x v="0"/>
    <n v="-5.3869888475836424E-2"/>
    <s v=""/>
    <x v="0"/>
  </r>
  <r>
    <x v="20"/>
    <s v="30"/>
    <s v="00 - Non-Divisional"/>
    <s v="00"/>
    <s v="PS property - Purchased services - property services"/>
    <s v="4410-000"/>
    <s v="Electric Services"/>
    <n v="10000"/>
    <n v="12577.49"/>
    <n v="10000"/>
    <n v="12518.28"/>
    <n v="11500"/>
    <n v="14991.05"/>
    <n v="13643"/>
    <n v="14100"/>
    <n v="14100"/>
    <n v="14100"/>
    <n v="13643"/>
    <n v="457"/>
    <n v="457"/>
    <n v="3.3497031444696915E-2"/>
    <n v="0.25774900000000001"/>
    <n v="0.25182800000000005"/>
    <n v="0.30356956521739126"/>
    <n v="0"/>
    <n v="-4.7076165435233205E-3"/>
    <n v="0.15"/>
    <n v="0.19753272813837033"/>
    <n v="0.18634782608695652"/>
    <n v="0.36430000000000001"/>
    <n v="3.3497031444696915E-2"/>
    <n v="3.3497031444696915E-2"/>
    <n v="3.3497031444696915E-2"/>
    <n v="0"/>
    <n v="0.41"/>
    <n v="0.41"/>
    <n v="0.41"/>
    <n v="0.36430000000000001"/>
    <x v="38"/>
    <n v="0.1121159420289855"/>
    <n v="-7.861891058428859E-2"/>
    <s v=""/>
    <x v="0"/>
    <n v="-5.5029685553030783E-3"/>
    <s v=""/>
    <x v="0"/>
  </r>
  <r>
    <x v="20"/>
    <s v="30"/>
    <s v="00 - Non-Divisional"/>
    <s v="00"/>
    <s v="PS property - Purchased services - property services"/>
    <s v="4411-000"/>
    <s v="Heat &amp; oil Services"/>
    <n v="200"/>
    <n v="184.12"/>
    <n v="200"/>
    <n v="209.43"/>
    <n v="300"/>
    <n v="232.85"/>
    <n v="323"/>
    <n v="323"/>
    <n v="323"/>
    <n v="323"/>
    <n v="323"/>
    <n v="0"/>
    <n v="0"/>
    <n v="0"/>
    <n v="-7.9399999999999971E-2"/>
    <n v="4.7150000000000032E-2"/>
    <n v="-0.22383333333333336"/>
    <n v="0"/>
    <n v="0.13746469693678037"/>
    <n v="0.5"/>
    <n v="0.11182734087762014"/>
    <n v="7.6666666666666661E-2"/>
    <n v="0.61499999999999999"/>
    <n v="0"/>
    <n v="0"/>
    <n v="0"/>
    <n v="0"/>
    <n v="0.61499999999999999"/>
    <n v="0.61499999999999999"/>
    <n v="0.61499999999999999"/>
    <n v="0.61499999999999999"/>
    <x v="39"/>
    <n v="0.19222222222222221"/>
    <n v="-0.19222222222222221"/>
    <s v=""/>
    <x v="0"/>
    <n v="-3.8999999999999993E-2"/>
    <s v=""/>
    <x v="0"/>
  </r>
  <r>
    <x v="20"/>
    <s v="30"/>
    <s v="00 - Non-Divisional"/>
    <s v="00"/>
    <s v="PS property - Purchased services - property services"/>
    <s v="4412-000"/>
    <s v="Water Services"/>
    <n v="22500"/>
    <n v="27032.67"/>
    <n v="22500"/>
    <n v="4506.76"/>
    <n v="22500"/>
    <n v="20747.18"/>
    <n v="20334"/>
    <n v="24907"/>
    <n v="24907"/>
    <n v="24907"/>
    <n v="20334"/>
    <n v="4573"/>
    <n v="4573"/>
    <n v="0.22489426576177829"/>
    <n v="0.20145199999999991"/>
    <n v="-0.7996995555555555"/>
    <n v="-7.7903111111111104E-2"/>
    <n v="0"/>
    <n v="-0.83328468848989012"/>
    <n v="0"/>
    <n v="3.6035688609999199"/>
    <n v="-9.6266666666666667E-2"/>
    <n v="-9.6266666666666667E-2"/>
    <n v="0.22489426576177829"/>
    <n v="0.22489426576177829"/>
    <n v="0.22489426576177829"/>
    <n v="0"/>
    <n v="0.10697777777777778"/>
    <n v="0.10697777777777778"/>
    <n v="0.10697777777777778"/>
    <n v="-9.6266666666666667E-2"/>
    <x v="40"/>
    <n v="-3.2088888888888889E-2"/>
    <n v="0.25698315465066718"/>
    <n v="19681.504533333333"/>
    <x v="70"/>
    <n v="0.18589426576177831"/>
    <n v="21127.025999999998"/>
    <x v="63"/>
  </r>
  <r>
    <x v="20"/>
    <s v="30"/>
    <s v="00 - Non-Divisional"/>
    <s v="00"/>
    <s v="PS other - Purchased services - other"/>
    <s v="4560-000"/>
    <s v="Dues &amp; subs Services"/>
    <n v="500"/>
    <n v="0"/>
    <n v="500"/>
    <n v="460.84"/>
    <n v="500"/>
    <n v="225"/>
    <n v="500"/>
    <n v="500"/>
    <n v="500"/>
    <n v="500"/>
    <n v="500"/>
    <n v="0"/>
    <n v="0"/>
    <n v="0"/>
    <n v="-1"/>
    <n v="-7.8320000000000056E-2"/>
    <n v="-0.55000000000000004"/>
    <n v="0"/>
    <s v=""/>
    <n v="0"/>
    <n v="-0.51176113184619387"/>
    <n v="0"/>
    <n v="0"/>
    <n v="0"/>
    <n v="0"/>
    <n v="0"/>
    <n v="0"/>
    <n v="0"/>
    <n v="0"/>
    <n v="0"/>
    <n v="0"/>
    <x v="15"/>
    <n v="0"/>
    <n v="0"/>
    <s v=""/>
    <x v="0"/>
    <n v="-3.8999999999999993E-2"/>
    <s v=""/>
    <x v="0"/>
  </r>
  <r>
    <x v="20"/>
    <s v="30"/>
    <s v="00 - Non-Divisional"/>
    <s v="00"/>
    <s v="PS other - Purchased services - other"/>
    <s v="4570-000"/>
    <s v="Sem &amp; workshops Services"/>
    <n v="0"/>
    <n v="0"/>
    <n v="0"/>
    <n v="0"/>
    <n v="830"/>
    <n v="735"/>
    <n v="900"/>
    <n v="1500"/>
    <n v="1500"/>
    <n v="1500"/>
    <n v="900"/>
    <n v="600"/>
    <n v="600"/>
    <n v="0.66666666666666663"/>
    <s v=""/>
    <s v=""/>
    <n v="-0.1144578313253012"/>
    <s v=""/>
    <s v=""/>
    <s v=""/>
    <s v=""/>
    <n v="8.4337349397590355E-2"/>
    <s v=""/>
    <n v="0.66666666666666663"/>
    <n v="0.66666666666666663"/>
    <n v="0.66666666666666663"/>
    <n v="0"/>
    <s v=""/>
    <s v=""/>
    <s v=""/>
    <s v=""/>
    <x v="5"/>
    <n v="8.4337349397590355E-2"/>
    <n v="0.58232931726907622"/>
    <n v="975.90361445783128"/>
    <x v="71"/>
    <n v="0.6276666666666666"/>
    <n v="935.09999999999991"/>
    <x v="64"/>
  </r>
  <r>
    <x v="20"/>
    <s v="30"/>
    <s v="00 - Non-Divisional"/>
    <s v="00"/>
    <s v="PS other - Purchased services - other"/>
    <s v="4575-000"/>
    <s v="Travel &amp; mileage Services"/>
    <n v="400"/>
    <n v="0"/>
    <n v="400"/>
    <n v="986.43"/>
    <n v="1500"/>
    <n v="1635.49"/>
    <n v="1800"/>
    <n v="2900"/>
    <n v="2900"/>
    <n v="2900"/>
    <n v="1800"/>
    <n v="1100"/>
    <n v="1100"/>
    <n v="0.61111111111111116"/>
    <n v="-1"/>
    <n v="1.4660749999999998"/>
    <n v="9.0326666666666666E-2"/>
    <n v="0"/>
    <s v=""/>
    <n v="2.75"/>
    <n v="0.65798890950194144"/>
    <n v="0.2"/>
    <n v="3.5"/>
    <n v="0.61111111111111116"/>
    <n v="0.61111111111111116"/>
    <n v="0.61111111111111116"/>
    <n v="0"/>
    <n v="6.25"/>
    <n v="6.25"/>
    <n v="6.25"/>
    <n v="3.5"/>
    <x v="6"/>
    <n v="0.98333333333333339"/>
    <n v="-0.37222222222222223"/>
    <s v=""/>
    <x v="0"/>
    <n v="0.57211111111111113"/>
    <n v="1870.1999999999998"/>
    <x v="65"/>
  </r>
  <r>
    <x v="20"/>
    <s v="30"/>
    <s v="00 - Non-Divisional"/>
    <s v="00"/>
    <s v="Supplies - Supplies"/>
    <s v="4610-000"/>
    <s v="General expenses Supplies"/>
    <n v="27514"/>
    <n v="27968.15"/>
    <n v="27514"/>
    <n v="28570.5"/>
    <n v="27514"/>
    <n v="20133.580000000002"/>
    <n v="27514"/>
    <n v="28000"/>
    <n v="28000"/>
    <n v="28000"/>
    <n v="27514"/>
    <n v="486"/>
    <n v="486"/>
    <n v="1.7663734825906812E-2"/>
    <n v="1.6506142327542394E-2"/>
    <n v="3.8398633422984663E-2"/>
    <n v="-0.26824234934942204"/>
    <n v="0"/>
    <n v="2.15369983356067E-2"/>
    <n v="0"/>
    <n v="-0.29530179730841244"/>
    <n v="0"/>
    <n v="0"/>
    <n v="1.7663734825906812E-2"/>
    <n v="1.7663734825906812E-2"/>
    <n v="1.7663734825906812E-2"/>
    <n v="0"/>
    <n v="1.7663734825906812E-2"/>
    <n v="1.7663734825906812E-2"/>
    <n v="1.7663734825906812E-2"/>
    <n v="0"/>
    <x v="8"/>
    <n v="0"/>
    <n v="1.7663734825906812E-2"/>
    <n v="27514"/>
    <x v="72"/>
    <n v="-2.1336265174093181E-2"/>
    <s v=""/>
    <x v="0"/>
  </r>
  <r>
    <x v="20"/>
    <s v="30"/>
    <s v="00 - Non-Divisional"/>
    <s v="00"/>
    <s v="Supplies - Supplies"/>
    <s v="4630-000"/>
    <s v="Maint &amp; repairs Supplies"/>
    <n v="9000"/>
    <n v="9363.33"/>
    <n v="9000"/>
    <n v="17677.669999999998"/>
    <n v="10000"/>
    <n v="21706.18"/>
    <n v="15000"/>
    <n v="17000"/>
    <n v="17000"/>
    <n v="17000"/>
    <n v="15000"/>
    <n v="2000"/>
    <n v="2000"/>
    <n v="0.13333333333333333"/>
    <n v="4.0369999999999989E-2"/>
    <n v="0.96418555555555541"/>
    <n v="1.1706179999999999"/>
    <n v="0"/>
    <n v="0.8879682762436012"/>
    <n v="0.1111111111111111"/>
    <n v="0.22788693306301128"/>
    <n v="0.5"/>
    <n v="0.66666666666666663"/>
    <n v="0.13333333333333333"/>
    <n v="0.13333333333333333"/>
    <n v="0.13333333333333333"/>
    <n v="0"/>
    <n v="0.88888888888888884"/>
    <n v="0.88888888888888884"/>
    <n v="0.88888888888888884"/>
    <n v="0.66666666666666663"/>
    <x v="32"/>
    <n v="0.20370370370370372"/>
    <n v="-7.0370370370370389E-2"/>
    <s v=""/>
    <x v="0"/>
    <n v="9.4333333333333338E-2"/>
    <n v="15584.999999999998"/>
    <x v="66"/>
  </r>
  <r>
    <x v="20"/>
    <s v="30"/>
    <s v="00 - Non-Divisional"/>
    <s v="00"/>
    <s v="Supplies - Supplies"/>
    <s v="4660-000"/>
    <s v="Vehicle repairs Supplies"/>
    <n v="0"/>
    <n v="0"/>
    <n v="0"/>
    <n v="0"/>
    <n v="0"/>
    <n v="0"/>
    <n v="2000"/>
    <n v="2000"/>
    <n v="2000"/>
    <n v="2000"/>
    <n v="2000"/>
    <n v="0"/>
    <n v="0"/>
    <n v="0"/>
    <s v=""/>
    <s v=""/>
    <s v=""/>
    <s v=""/>
    <s v=""/>
    <s v=""/>
    <s v=""/>
    <s v=""/>
    <s v=""/>
    <n v="0"/>
    <n v="0"/>
    <n v="0"/>
    <n v="0"/>
    <s v=""/>
    <s v=""/>
    <s v=""/>
    <s v=""/>
    <x v="43"/>
    <n v="0"/>
    <n v="0"/>
    <s v=""/>
    <x v="0"/>
    <n v="-3.8999999999999993E-2"/>
    <s v=""/>
    <x v="0"/>
  </r>
  <r>
    <x v="20"/>
    <s v="30"/>
    <s v="00 - Non-Divisional"/>
    <s v="00"/>
    <s v="Property - Property"/>
    <s v="4740-000"/>
    <s v="Mach &amp; equip Property"/>
    <n v="5000"/>
    <n v="21515.71"/>
    <n v="5000"/>
    <n v="6603.4"/>
    <n v="5000"/>
    <n v="3916.81"/>
    <n v="5000"/>
    <n v="16000"/>
    <n v="16000"/>
    <n v="16000"/>
    <n v="5000"/>
    <n v="11000"/>
    <n v="11000"/>
    <n v="2.2000000000000002"/>
    <n v="3.3031419999999998"/>
    <n v="0.32067999999999991"/>
    <n v="-0.216638"/>
    <n v="0"/>
    <n v="-0.69308937515889557"/>
    <n v="0"/>
    <n v="-0.4068495017718145"/>
    <n v="0"/>
    <n v="0"/>
    <n v="2.2000000000000002"/>
    <n v="2.2000000000000002"/>
    <n v="2.2000000000000002"/>
    <n v="0"/>
    <n v="2.2000000000000002"/>
    <n v="2.2000000000000002"/>
    <n v="2.2000000000000002"/>
    <n v="0"/>
    <x v="26"/>
    <n v="0"/>
    <n v="2.2000000000000002"/>
    <n v="5000"/>
    <x v="73"/>
    <n v="2.161"/>
    <n v="5195"/>
    <x v="67"/>
  </r>
  <r>
    <x v="20"/>
    <s v="30"/>
    <s v="00 - Non-Divisional"/>
    <s v="00"/>
    <s v="Property - Property"/>
    <s v="4741-000"/>
    <s v="Department Specialized Equipment"/>
    <n v="0"/>
    <n v="0"/>
    <n v="0"/>
    <n v="0"/>
    <n v="0"/>
    <n v="0"/>
    <n v="8500"/>
    <n v="7000"/>
    <n v="7000"/>
    <n v="7000"/>
    <n v="8500"/>
    <n v="-1500"/>
    <n v="-1500"/>
    <n v="-0.17647058823529413"/>
    <s v=""/>
    <s v=""/>
    <s v=""/>
    <s v=""/>
    <s v=""/>
    <s v=""/>
    <s v=""/>
    <s v=""/>
    <s v=""/>
    <n v="-0.17647058823529413"/>
    <n v="-0.17647058823529413"/>
    <n v="-0.17647058823529413"/>
    <n v="0"/>
    <s v=""/>
    <s v=""/>
    <s v=""/>
    <s v=""/>
    <x v="97"/>
    <n v="0"/>
    <n v="-0.17647058823529413"/>
    <s v=""/>
    <x v="0"/>
    <n v="-0.21547058823529414"/>
    <s v=""/>
    <x v="0"/>
  </r>
  <r>
    <x v="20"/>
    <s v="30"/>
    <s v="00 - Non-Divisional"/>
    <s v="00"/>
    <s v="Other - Other objects"/>
    <s v="4821-000"/>
    <s v="Adult programs Other"/>
    <n v="600"/>
    <n v="206.91"/>
    <n v="600"/>
    <n v="0"/>
    <n v="600"/>
    <n v="0"/>
    <n v="600"/>
    <n v="0"/>
    <n v="0"/>
    <n v="0"/>
    <n v="600"/>
    <n v="-600"/>
    <n v="-600"/>
    <n v="-1"/>
    <n v="-0.65515000000000001"/>
    <n v="-1"/>
    <n v="-1"/>
    <n v="0"/>
    <n v="-1"/>
    <n v="0"/>
    <s v=""/>
    <n v="0"/>
    <n v="0"/>
    <n v="-1"/>
    <n v="-1"/>
    <n v="-1"/>
    <n v="0"/>
    <n v="-1"/>
    <n v="-1"/>
    <n v="-1"/>
    <n v="0"/>
    <x v="98"/>
    <n v="0"/>
    <n v="-1"/>
    <s v=""/>
    <x v="0"/>
    <n v="-1.0389999999999999"/>
    <s v=""/>
    <x v="0"/>
  </r>
  <r>
    <x v="20"/>
    <s v="30"/>
    <s v="00 - Non-Divisional"/>
    <s v="00"/>
    <s v="Other - Other objects"/>
    <s v="4823-000"/>
    <s v="Summer programs Other"/>
    <n v="1000"/>
    <n v="451.05"/>
    <n v="1000"/>
    <n v="712.81"/>
    <n v="1500"/>
    <n v="159.26"/>
    <n v="1500"/>
    <n v="0"/>
    <n v="0"/>
    <n v="0"/>
    <n v="1500"/>
    <n v="-1500"/>
    <n v="-1500"/>
    <n v="-1"/>
    <n v="-0.54895000000000005"/>
    <n v="-0.28719000000000006"/>
    <n v="-0.89382666666666666"/>
    <n v="0"/>
    <n v="0.58033477441525316"/>
    <n v="0.5"/>
    <n v="-0.7765744027160113"/>
    <n v="0"/>
    <n v="0.5"/>
    <n v="-1"/>
    <n v="-1"/>
    <n v="-1"/>
    <n v="0"/>
    <n v="-1"/>
    <n v="-1"/>
    <n v="-1"/>
    <n v="0.5"/>
    <x v="99"/>
    <n v="0.16666666666666666"/>
    <n v="-1.1666666666666667"/>
    <s v=""/>
    <x v="0"/>
    <n v="-1.0389999999999999"/>
    <s v=""/>
    <x v="0"/>
  </r>
  <r>
    <x v="20"/>
    <s v="30"/>
    <s v="00 - Non-Divisional"/>
    <s v="00"/>
    <s v="Other - Other objects"/>
    <s v="4824-000"/>
    <s v="Programs Other"/>
    <n v="0"/>
    <n v="0"/>
    <n v="0"/>
    <n v="0"/>
    <n v="500"/>
    <n v="0"/>
    <n v="500"/>
    <n v="0"/>
    <n v="0"/>
    <n v="0"/>
    <n v="500"/>
    <n v="-500"/>
    <n v="-500"/>
    <n v="-1"/>
    <s v=""/>
    <s v=""/>
    <n v="-1"/>
    <s v=""/>
    <s v=""/>
    <s v=""/>
    <s v=""/>
    <n v="0"/>
    <s v=""/>
    <n v="-1"/>
    <n v="-1"/>
    <n v="-1"/>
    <n v="0"/>
    <s v=""/>
    <s v=""/>
    <s v=""/>
    <s v=""/>
    <x v="96"/>
    <n v="0"/>
    <n v="-1"/>
    <s v=""/>
    <x v="0"/>
    <n v="-1.0389999999999999"/>
    <s v=""/>
    <x v="0"/>
  </r>
  <r>
    <x v="21"/>
    <s v="31"/>
    <s v="00 - Non-Divisional"/>
    <s v="00"/>
    <s v="PS Salaries - Personnel services - salaries"/>
    <s v="4110-000"/>
    <s v="Regular Salaries"/>
    <n v="574030"/>
    <n v="476518.64"/>
    <n v="626814"/>
    <n v="608825.15"/>
    <n v="664129"/>
    <n v="651604.89"/>
    <n v="685884"/>
    <n v="707974"/>
    <n v="707974"/>
    <n v="707974"/>
    <n v="707974"/>
    <n v="22090"/>
    <n v="0"/>
    <n v="3.2206612196814623E-2"/>
    <n v="-0.16987153981499223"/>
    <n v="-2.8698864415919199E-2"/>
    <n v="-1.8857947778217764E-2"/>
    <n v="9.1953382227409716E-2"/>
    <n v="0.27765232856368433"/>
    <n v="5.9531216596949016E-2"/>
    <n v="7.026605257683588E-2"/>
    <n v="3.275719024466632E-2"/>
    <n v="0.19485741163353831"/>
    <n v="3.2206612196814623E-2"/>
    <n v="3.2206612196814623E-2"/>
    <n v="3.2206612196814623E-2"/>
    <n v="3.2206612196814623E-2"/>
    <n v="0.23333972092050939"/>
    <n v="0.23333972092050939"/>
    <n v="0.23333972092050939"/>
    <n v="0.23333972092050939"/>
    <x v="10"/>
    <n v="6.1413929689675018E-2"/>
    <n v="-2.9207317492860395E-2"/>
    <s v=""/>
    <x v="0"/>
    <n v="-6.7933878031853703E-3"/>
    <s v=""/>
    <x v="0"/>
  </r>
  <r>
    <x v="21"/>
    <s v="31"/>
    <s v="00 - Non-Divisional"/>
    <s v="00"/>
    <s v="PS Salaries - Personnel services - salaries"/>
    <s v="4120-000"/>
    <s v="Part-time Salaries"/>
    <n v="302606"/>
    <n v="321365.69"/>
    <n v="334628"/>
    <n v="313035.90000000002"/>
    <n v="357407"/>
    <n v="325174.09000000003"/>
    <n v="396250"/>
    <n v="406057"/>
    <n v="406057"/>
    <n v="406057"/>
    <n v="406057"/>
    <n v="9807"/>
    <n v="0"/>
    <n v="2.4749526813880127E-2"/>
    <n v="6.1993780691724558E-2"/>
    <n v="-6.4525682250140382E-2"/>
    <n v="-9.0185446843514469E-2"/>
    <n v="0.10582077024249353"/>
    <n v="-2.5919972975335291E-2"/>
    <n v="6.8072605998302588E-2"/>
    <n v="3.8775712306479866E-2"/>
    <n v="0.10868002025701791"/>
    <n v="0.30945850379701656"/>
    <n v="2.4749526813880127E-2"/>
    <n v="2.4749526813880127E-2"/>
    <n v="2.4749526813880127E-2"/>
    <n v="2.4749526813880127E-2"/>
    <n v="0.34186698214840422"/>
    <n v="0.34186698214840422"/>
    <n v="0.34186698214840422"/>
    <n v="0.34186698214840422"/>
    <x v="11"/>
    <n v="9.419113216593801E-2"/>
    <n v="-6.9441605352057886E-2"/>
    <s v=""/>
    <x v="0"/>
    <n v="-1.4250473186119866E-2"/>
    <s v=""/>
    <x v="0"/>
  </r>
  <r>
    <x v="21"/>
    <s v="31"/>
    <s v="00 - Non-Divisional"/>
    <s v="00"/>
    <s v="PS Benefits - Personnel services - benefits"/>
    <s v="4215-000"/>
    <s v="STD, LTD, &amp; Life  Benefits"/>
    <n v="7757"/>
    <n v="5587.25"/>
    <n v="8418"/>
    <n v="8098.92"/>
    <n v="7787"/>
    <n v="6624.28"/>
    <n v="5955"/>
    <n v="6606"/>
    <n v="6606"/>
    <n v="6606"/>
    <n v="6606"/>
    <n v="651"/>
    <n v="0"/>
    <n v="0.1093198992443325"/>
    <n v="-0.27971509604228439"/>
    <n v="-3.7904490377761932E-2"/>
    <n v="-0.1493155258764608"/>
    <n v="8.5213355678741776E-2"/>
    <n v="0.44953599713633718"/>
    <n v="-7.4958422428130195E-2"/>
    <n v="-0.18207859813407223"/>
    <n v="-0.23526390137408501"/>
    <n v="-0.23230630398349877"/>
    <n v="0.1093198992443325"/>
    <n v="0.1093198992443325"/>
    <n v="0.1093198992443325"/>
    <n v="0.1093198992443325"/>
    <n v="-0.14838210648446565"/>
    <n v="-0.14838210648446565"/>
    <n v="-0.14838210648446565"/>
    <n v="-0.14838210648446565"/>
    <x v="13"/>
    <n v="-7.5002989374491139E-2"/>
    <n v="0.18432288861882362"/>
    <s v=""/>
    <x v="0"/>
    <n v="7.0319899244332504E-2"/>
    <s v=""/>
    <x v="0"/>
  </r>
  <r>
    <x v="21"/>
    <s v="31"/>
    <s v="00 - Non-Divisional"/>
    <s v="00"/>
    <s v="PS Benefits - Personnel services - benefits"/>
    <s v="4220-000"/>
    <s v="FICA Benefits"/>
    <n v="54352"/>
    <n v="47766.77"/>
    <n v="59610"/>
    <n v="55702"/>
    <n v="63706"/>
    <n v="59110.96"/>
    <n v="67093"/>
    <n v="69435"/>
    <n v="69435"/>
    <n v="69435"/>
    <n v="69435"/>
    <n v="2342"/>
    <n v="0"/>
    <n v="3.4906771198187588E-2"/>
    <n v="-0.12115892699440689"/>
    <n v="-6.555946988760275E-2"/>
    <n v="-7.2128841867328056E-2"/>
    <n v="9.6739770385634388E-2"/>
    <n v="0.16612448361067755"/>
    <n v="6.8713303137057535E-2"/>
    <n v="6.1199956913575798E-2"/>
    <n v="5.3166106803126861E-2"/>
    <n v="0.23441639682072418"/>
    <n v="3.4906771198187588E-2"/>
    <n v="3.4906771198187588E-2"/>
    <n v="3.4906771198187588E-2"/>
    <n v="3.4906771198187588E-2"/>
    <n v="0.27750588754783634"/>
    <n v="0.27750588754783634"/>
    <n v="0.27750588754783634"/>
    <n v="0.27750588754783634"/>
    <x v="1"/>
    <n v="7.2873060108606266E-2"/>
    <n v="-3.7966288910418679E-2"/>
    <s v=""/>
    <x v="0"/>
    <n v="-4.0932288018124055E-3"/>
    <s v=""/>
    <x v="0"/>
  </r>
  <r>
    <x v="21"/>
    <s v="31"/>
    <s v="00 - Non-Divisional"/>
    <s v="00"/>
    <s v="PS Benefits - Personnel services - benefits"/>
    <s v="4225-000"/>
    <s v="Medicare Benefits"/>
    <n v="12712"/>
    <n v="11171.27"/>
    <n v="13941"/>
    <n v="13027.07"/>
    <n v="14899"/>
    <n v="13824.34"/>
    <n v="15691"/>
    <n v="16239"/>
    <n v="16239"/>
    <n v="16239"/>
    <n v="16239"/>
    <n v="548"/>
    <n v="0"/>
    <n v="3.4924479000701038E-2"/>
    <n v="-0.12120280050346126"/>
    <n v="-6.5556990172871407E-2"/>
    <n v="-7.2129673132424979E-2"/>
    <n v="9.6680302076777844E-2"/>
    <n v="0.16612256260926458"/>
    <n v="6.8718169428304998E-2"/>
    <n v="6.1201022179200731E-2"/>
    <n v="5.3157930062420297E-2"/>
    <n v="0.23434550031466331"/>
    <n v="3.4924479000701038E-2"/>
    <n v="3.4924479000701038E-2"/>
    <n v="3.4924479000701038E-2"/>
    <n v="3.4924479000701038E-2"/>
    <n v="0.27745437382001259"/>
    <n v="0.27745437382001259"/>
    <n v="0.27745437382001259"/>
    <n v="0.27745437382001259"/>
    <x v="2"/>
    <n v="7.2852133855834389E-2"/>
    <n v="-3.7927654855133351E-2"/>
    <s v=""/>
    <x v="0"/>
    <n v="-4.0755209992989552E-3"/>
    <s v=""/>
    <x v="0"/>
  </r>
  <r>
    <x v="21"/>
    <s v="31"/>
    <s v="00 - Non-Divisional"/>
    <s v="00"/>
    <s v="PS Benefits - Personnel services - benefits"/>
    <s v="4230-000"/>
    <s v="Retirement Benefits"/>
    <n v="80709"/>
    <n v="56676.49"/>
    <n v="80307"/>
    <n v="81400.429999999993"/>
    <n v="90666"/>
    <n v="84236.72"/>
    <n v="87451"/>
    <n v="90104"/>
    <n v="90104"/>
    <n v="90104"/>
    <n v="90104"/>
    <n v="2653"/>
    <n v="0"/>
    <n v="3.0336988713679659E-2"/>
    <n v="-0.2977674113172013"/>
    <n v="1.3615625038913084E-2"/>
    <n v="-7.0911697880131463E-2"/>
    <n v="-4.9808571534773072E-3"/>
    <n v="0.43622920191423281"/>
    <n v="0.12899249131458029"/>
    <n v="3.4843673430226457E-2"/>
    <n v="-3.5459819557496747E-2"/>
    <n v="8.3534673952099514E-2"/>
    <n v="3.0336988713679659E-2"/>
    <n v="3.0336988713679659E-2"/>
    <n v="3.0336988713679659E-2"/>
    <n v="3.0336988713679659E-2"/>
    <n v="0.11640585312666493"/>
    <n v="0.11640585312666493"/>
    <n v="0.11640585312666493"/>
    <n v="0.11640585312666493"/>
    <x v="14"/>
    <n v="2.9517271534535414E-2"/>
    <n v="8.1971717914424563E-4"/>
    <s v=""/>
    <x v="0"/>
    <n v="-8.6630112863203337E-3"/>
    <s v=""/>
    <x v="0"/>
  </r>
  <r>
    <x v="21"/>
    <s v="31"/>
    <s v="00 - Non-Divisional"/>
    <s v="00"/>
    <s v="PS Benefits - Personnel services - benefits"/>
    <s v="4240-000"/>
    <s v="Tuition reimbursement Benefits"/>
    <n v="4770"/>
    <n v="9627"/>
    <n v="4770"/>
    <n v="4995"/>
    <n v="4770"/>
    <n v="4995"/>
    <n v="4770"/>
    <n v="4770"/>
    <n v="4770"/>
    <n v="4770"/>
    <n v="4770"/>
    <n v="0"/>
    <n v="0"/>
    <n v="0"/>
    <n v="1.0182389937106919"/>
    <n v="4.716981132075472E-2"/>
    <n v="4.716981132075472E-2"/>
    <n v="0"/>
    <n v="-0.48114677469616701"/>
    <n v="0"/>
    <n v="0"/>
    <n v="0"/>
    <n v="0"/>
    <n v="0"/>
    <n v="0"/>
    <n v="0"/>
    <n v="0"/>
    <n v="0"/>
    <n v="0"/>
    <n v="0"/>
    <n v="0"/>
    <x v="21"/>
    <n v="0"/>
    <n v="0"/>
    <s v=""/>
    <x v="0"/>
    <n v="-3.8999999999999993E-2"/>
    <s v=""/>
    <x v="0"/>
  </r>
  <r>
    <x v="21"/>
    <s v="31"/>
    <s v="00 - Non-Divisional"/>
    <s v="00"/>
    <s v="PS Benefits - Personnel services - benefits"/>
    <s v="4260-000"/>
    <s v="Workers' comp Benefits"/>
    <n v="1366"/>
    <n v="1301.19"/>
    <n v="1447"/>
    <n v="1540.37"/>
    <n v="1726"/>
    <n v="1726.19"/>
    <n v="2040"/>
    <n v="2009"/>
    <n v="2009"/>
    <n v="2009"/>
    <n v="2009"/>
    <n v="-31"/>
    <n v="0"/>
    <n v="-1.5196078431372549E-2"/>
    <n v="-4.7445095168374779E-2"/>
    <n v="6.4526606772632958E-2"/>
    <n v="1.1008111239864111E-4"/>
    <n v="5.9297218155197659E-2"/>
    <n v="0.18381635272327626"/>
    <n v="0.19281271596406357"/>
    <n v="0.12063335432396124"/>
    <n v="0.18192352259559674"/>
    <n v="0.49341142020497802"/>
    <n v="-1.5196078431372549E-2"/>
    <n v="-1.5196078431372549E-2"/>
    <n v="-1.5196078431372549E-2"/>
    <n v="-1.5196078431372549E-2"/>
    <n v="0.47071742313323572"/>
    <n v="0.47071742313323572"/>
    <n v="0.47071742313323572"/>
    <n v="0.47071742313323572"/>
    <x v="3"/>
    <n v="0.14467781890495265"/>
    <n v="-0.1598738973363252"/>
    <s v=""/>
    <x v="0"/>
    <n v="-5.4196078431372544E-2"/>
    <s v=""/>
    <x v="0"/>
  </r>
  <r>
    <x v="21"/>
    <s v="31"/>
    <s v="00 - Non-Divisional"/>
    <s v="00"/>
    <s v="PS prof - Purchased services - professional &amp; technical"/>
    <s v="4320-000"/>
    <s v="Legal general Services"/>
    <n v="0"/>
    <n v="1392"/>
    <n v="0"/>
    <n v="0"/>
    <n v="0"/>
    <n v="0"/>
    <n v="0"/>
    <n v="7500"/>
    <n v="0"/>
    <n v="0"/>
    <n v="0"/>
    <n v="0"/>
    <n v="0"/>
    <s v=""/>
    <s v=""/>
    <s v=""/>
    <s v=""/>
    <s v=""/>
    <n v="-1"/>
    <s v=""/>
    <s v=""/>
    <s v=""/>
    <s v=""/>
    <s v=""/>
    <s v=""/>
    <s v=""/>
    <s v=""/>
    <s v=""/>
    <s v=""/>
    <s v=""/>
    <s v=""/>
    <x v="36"/>
    <n v="0"/>
    <n v="0"/>
    <s v=""/>
    <x v="0"/>
    <n v="-3.8999999999999993E-2"/>
    <s v=""/>
    <x v="0"/>
  </r>
  <r>
    <x v="21"/>
    <s v="31"/>
    <s v="00 - Non-Divisional"/>
    <s v="00"/>
    <s v="PS prof - Purchased services - professional &amp; technical"/>
    <s v="4330-000"/>
    <s v="MGMT services Services"/>
    <n v="15681"/>
    <n v="29155.38"/>
    <n v="15681"/>
    <n v="17811.490000000002"/>
    <n v="21481"/>
    <n v="24530.92"/>
    <n v="21481"/>
    <n v="25184"/>
    <n v="25184"/>
    <n v="25184"/>
    <n v="21481"/>
    <n v="3703"/>
    <n v="3703"/>
    <n v="0.17238489828220288"/>
    <n v="0.85928065812129339"/>
    <n v="0.13586442191186796"/>
    <n v="0.14198221684279122"/>
    <n v="0"/>
    <n v="-0.38908393579504019"/>
    <n v="0.36987437025699893"/>
    <n v="0.37725254877609882"/>
    <n v="0"/>
    <n v="0.36987437025699893"/>
    <n v="0.17238489828220288"/>
    <n v="0.17238489828220288"/>
    <n v="0.17238489828220288"/>
    <n v="0"/>
    <n v="0.60602002423314838"/>
    <n v="0.60602002423314838"/>
    <n v="0.60602002423314838"/>
    <n v="0.36987437025699893"/>
    <x v="7"/>
    <n v="0.12329145675233298"/>
    <n v="4.90934415298699E-2"/>
    <n v="24129.423782496862"/>
    <x v="74"/>
    <n v="0.1333848982822029"/>
    <n v="22318.758999999998"/>
    <x v="68"/>
  </r>
  <r>
    <x v="21"/>
    <s v="31"/>
    <s v="00 - Non-Divisional"/>
    <s v="00"/>
    <s v="PS prof - Purchased services - professional &amp; technical"/>
    <s v="4360-000"/>
    <s v="Custodial Services"/>
    <n v="27540"/>
    <n v="29346.14"/>
    <n v="27540"/>
    <n v="27540"/>
    <n v="27540"/>
    <n v="27540"/>
    <n v="28367"/>
    <n v="31201"/>
    <n v="31201"/>
    <n v="31201"/>
    <n v="28367"/>
    <n v="2834"/>
    <n v="2834"/>
    <n v="9.9904818979800469E-2"/>
    <n v="6.5582425562817695E-2"/>
    <n v="0"/>
    <n v="0"/>
    <n v="0"/>
    <n v="-6.1546084084653022E-2"/>
    <n v="0"/>
    <n v="0"/>
    <n v="3.0029048656499639E-2"/>
    <n v="3.0029048656499639E-2"/>
    <n v="9.9904818979800469E-2"/>
    <n v="9.9904818979800469E-2"/>
    <n v="9.9904818979800469E-2"/>
    <n v="0"/>
    <n v="0.13293391430646331"/>
    <n v="0.13293391430646331"/>
    <n v="0.13293391430646331"/>
    <n v="3.0029048656499639E-2"/>
    <x v="37"/>
    <n v="1.0009682885499879E-2"/>
    <n v="8.9895136094300596E-2"/>
    <n v="28650.944674412975"/>
    <x v="75"/>
    <n v="6.0904818979800476E-2"/>
    <n v="29473.312999999998"/>
    <x v="69"/>
  </r>
  <r>
    <x v="21"/>
    <s v="31"/>
    <s v="00 - Non-Divisional"/>
    <s v="00"/>
    <s v="PS property - Purchased services - property services"/>
    <s v="4410-000"/>
    <s v="Electric Services"/>
    <n v="42211"/>
    <n v="30515.56"/>
    <n v="42211"/>
    <n v="38316.75"/>
    <n v="42211"/>
    <n v="38997.79"/>
    <n v="40211"/>
    <n v="43000"/>
    <n v="43000"/>
    <n v="43000"/>
    <n v="40211"/>
    <n v="2789"/>
    <n v="2789"/>
    <n v="6.9359130586158016E-2"/>
    <n v="-0.27707090568809073"/>
    <n v="-9.2256757717182725E-2"/>
    <n v="-7.6122574684323971E-2"/>
    <n v="0"/>
    <n v="0.25564629978935333"/>
    <n v="0"/>
    <n v="1.7773950034906429E-2"/>
    <n v="-4.7381014427518894E-2"/>
    <n v="-4.7381014427518894E-2"/>
    <n v="6.9359130586158016E-2"/>
    <n v="6.9359130586158016E-2"/>
    <n v="6.9359130586158016E-2"/>
    <n v="0"/>
    <n v="1.8691810191656204E-2"/>
    <n v="1.8691810191656204E-2"/>
    <n v="1.8691810191656204E-2"/>
    <n v="-4.7381014427518894E-2"/>
    <x v="38"/>
    <n v="-1.579367147583963E-2"/>
    <n v="8.5152802061997643E-2"/>
    <n v="39575.920676285008"/>
    <x v="76"/>
    <n v="3.0359130586158023E-2"/>
    <n v="41779.228999999999"/>
    <x v="70"/>
  </r>
  <r>
    <x v="21"/>
    <s v="31"/>
    <s v="00 - Non-Divisional"/>
    <s v="00"/>
    <s v="PS property - Purchased services - property services"/>
    <s v="4411-000"/>
    <s v="Heat &amp; oil Services"/>
    <n v="22677"/>
    <n v="14204.69"/>
    <n v="23131"/>
    <n v="13901.91"/>
    <n v="23131"/>
    <n v="16564.07"/>
    <n v="23131"/>
    <n v="16680"/>
    <n v="16680"/>
    <n v="16680"/>
    <n v="23131"/>
    <n v="-6451"/>
    <n v="-6451"/>
    <n v="-0.27888980156499937"/>
    <n v="-0.37360806103100053"/>
    <n v="-0.398992261467295"/>
    <n v="-0.28390169037222773"/>
    <n v="2.0020284870132733E-2"/>
    <n v="-2.1315495093521975E-2"/>
    <n v="0"/>
    <n v="0.19149598868069206"/>
    <n v="0"/>
    <n v="2.0020284870132733E-2"/>
    <n v="-0.27888980156499937"/>
    <n v="-0.27888980156499937"/>
    <n v="-0.27888980156499937"/>
    <n v="0"/>
    <n v="-0.26445296996957268"/>
    <n v="-0.26445296996957268"/>
    <n v="-0.26445296996957268"/>
    <n v="2.0020284870132733E-2"/>
    <x v="39"/>
    <n v="6.6734282900442442E-3"/>
    <n v="-0.28556322985504362"/>
    <s v=""/>
    <x v="0"/>
    <n v="-0.31788980156499935"/>
    <s v=""/>
    <x v="0"/>
  </r>
  <r>
    <x v="21"/>
    <s v="31"/>
    <s v="00 - Non-Divisional"/>
    <s v="00"/>
    <s v="PS property - Purchased services - property services"/>
    <s v="4412-000"/>
    <s v="Water Services"/>
    <n v="4182"/>
    <n v="3902.11"/>
    <n v="4182"/>
    <n v="5413.24"/>
    <n v="3182"/>
    <n v="4346.87"/>
    <n v="4182"/>
    <n v="4407"/>
    <n v="4407"/>
    <n v="4407"/>
    <n v="4182"/>
    <n v="225"/>
    <n v="225"/>
    <n v="5.3802008608321378E-2"/>
    <n v="-6.6927307508369172E-2"/>
    <n v="0.29441415590626491"/>
    <n v="0.36608108108108106"/>
    <n v="0"/>
    <n v="0.38725971333458042"/>
    <n v="-0.23912003825920611"/>
    <n v="-0.19699292844950528"/>
    <n v="0.31426775612822122"/>
    <n v="0"/>
    <n v="5.3802008608321378E-2"/>
    <n v="5.3802008608321378E-2"/>
    <n v="5.3802008608321378E-2"/>
    <n v="0"/>
    <n v="5.3802008608321378E-2"/>
    <n v="5.3802008608321378E-2"/>
    <n v="5.3802008608321378E-2"/>
    <n v="0"/>
    <x v="40"/>
    <n v="2.5049239289671704E-2"/>
    <n v="2.8752769318649674E-2"/>
    <n v="4286.7559187094075"/>
    <x v="77"/>
    <n v="1.4802008608321385E-2"/>
    <n v="4345.098"/>
    <x v="71"/>
  </r>
  <r>
    <x v="21"/>
    <s v="31"/>
    <s v="00 - Non-Divisional"/>
    <s v="00"/>
    <s v="PS other - Purchased services - other"/>
    <s v="4550-000"/>
    <s v="Printing Services"/>
    <n v="3500"/>
    <n v="269.72000000000003"/>
    <n v="3500"/>
    <n v="4874.41"/>
    <n v="3500"/>
    <n v="5502.63"/>
    <n v="4500"/>
    <n v="5659"/>
    <n v="5659"/>
    <n v="5659"/>
    <n v="4500"/>
    <n v="1159"/>
    <n v="1159"/>
    <n v="0.25755555555555554"/>
    <n v="-0.92293714285714279"/>
    <n v="0.39268857142857139"/>
    <n v="0.57218000000000002"/>
    <n v="0"/>
    <n v="17.072111819664833"/>
    <n v="0"/>
    <n v="0.12888123896020243"/>
    <n v="0.2857142857142857"/>
    <n v="0.2857142857142857"/>
    <n v="0.25755555555555554"/>
    <n v="0.25755555555555554"/>
    <n v="0.25755555555555554"/>
    <n v="0"/>
    <n v="0.61685714285714288"/>
    <n v="0.61685714285714288"/>
    <n v="0.61685714285714288"/>
    <n v="0.2857142857142857"/>
    <x v="4"/>
    <n v="9.5238095238095233E-2"/>
    <n v="0.1623174603174603"/>
    <n v="4928.5714285714294"/>
    <x v="78"/>
    <n v="0.21855555555555556"/>
    <n v="4675.5"/>
    <x v="72"/>
  </r>
  <r>
    <x v="21"/>
    <s v="31"/>
    <s v="00 - Non-Divisional"/>
    <s v="00"/>
    <s v="PS other - Purchased services - other"/>
    <s v="4560-000"/>
    <s v="Dues &amp; subs Services"/>
    <n v="4445"/>
    <n v="4088"/>
    <n v="4445"/>
    <n v="6304"/>
    <n v="30628"/>
    <n v="38114"/>
    <n v="52262"/>
    <n v="56306"/>
    <n v="56306"/>
    <n v="56306"/>
    <n v="52262"/>
    <n v="4044"/>
    <n v="4044"/>
    <n v="7.7379357850828515E-2"/>
    <n v="-8.0314960629921259E-2"/>
    <n v="0.41822272215973005"/>
    <n v="0.24441687344913152"/>
    <n v="0"/>
    <n v="0.54207436399217224"/>
    <n v="5.8904386951631045"/>
    <n v="5.0460025380710656"/>
    <n v="0.70634713334203991"/>
    <n v="10.757480314960629"/>
    <n v="7.7379357850828515E-2"/>
    <n v="7.7379357850828515E-2"/>
    <n v="7.7379357850828515E-2"/>
    <n v="0"/>
    <n v="11.667266591676041"/>
    <n v="11.667266591676041"/>
    <n v="11.667266591676041"/>
    <n v="10.757480314960629"/>
    <x v="15"/>
    <n v="2.1989286095017149"/>
    <n v="-2.1215492516508863"/>
    <s v=""/>
    <x v="0"/>
    <n v="3.8379357850828522E-2"/>
    <n v="54300.217999999993"/>
    <x v="73"/>
  </r>
  <r>
    <x v="21"/>
    <s v="31"/>
    <s v="00 - Non-Divisional"/>
    <s v="00"/>
    <s v="PS other - Purchased services - other"/>
    <s v="4560-001"/>
    <s v="Library Consortiums"/>
    <n v="0"/>
    <n v="0"/>
    <n v="0"/>
    <n v="0"/>
    <n v="0"/>
    <n v="0"/>
    <n v="0"/>
    <n v="0"/>
    <n v="0"/>
    <n v="0"/>
    <n v="0"/>
    <n v="0"/>
    <n v="0"/>
    <s v=""/>
    <s v=""/>
    <s v=""/>
    <s v=""/>
    <s v=""/>
    <s v=""/>
    <s v=""/>
    <s v=""/>
    <s v=""/>
    <s v=""/>
    <s v=""/>
    <s v=""/>
    <s v=""/>
    <s v=""/>
    <s v=""/>
    <s v=""/>
    <s v=""/>
    <s v=""/>
    <x v="100"/>
    <n v="0"/>
    <n v="0"/>
    <s v=""/>
    <x v="0"/>
    <n v="-3.8999999999999993E-2"/>
    <s v=""/>
    <x v="0"/>
  </r>
  <r>
    <x v="21"/>
    <s v="31"/>
    <s v="00 - Non-Divisional"/>
    <s v="00"/>
    <s v="PS other - Purchased services - other"/>
    <s v="4570-000"/>
    <s v="Sem &amp; workshops Services"/>
    <n v="2000"/>
    <n v="2730.81"/>
    <n v="2000"/>
    <n v="511.82"/>
    <n v="2000"/>
    <n v="120"/>
    <n v="1000"/>
    <n v="2000"/>
    <n v="2000"/>
    <n v="2000"/>
    <n v="1000"/>
    <n v="1000"/>
    <n v="1000"/>
    <n v="1"/>
    <n v="0.36540499999999998"/>
    <n v="-0.74409000000000003"/>
    <n v="-0.94"/>
    <n v="0"/>
    <n v="-0.81257575591124975"/>
    <n v="0"/>
    <n v="-0.76554257356101751"/>
    <n v="-0.5"/>
    <n v="-0.5"/>
    <n v="1"/>
    <n v="1"/>
    <n v="1"/>
    <n v="0"/>
    <n v="0"/>
    <n v="0"/>
    <n v="0"/>
    <n v="-0.5"/>
    <x v="5"/>
    <n v="-0.16666666666666666"/>
    <n v="1.1666666666666667"/>
    <n v="833.33333333333337"/>
    <x v="79"/>
    <n v="0.96099999999999997"/>
    <n v="1039"/>
    <x v="74"/>
  </r>
  <r>
    <x v="21"/>
    <s v="31"/>
    <s v="00 - Non-Divisional"/>
    <s v="00"/>
    <s v="PS other - Purchased services - other"/>
    <s v="4575-000"/>
    <s v="Travel &amp; mileage Services"/>
    <n v="0"/>
    <n v="0"/>
    <n v="0"/>
    <n v="0"/>
    <n v="0"/>
    <n v="159.85"/>
    <n v="1000"/>
    <n v="1500"/>
    <n v="1500"/>
    <n v="1500"/>
    <n v="1000"/>
    <n v="500"/>
    <n v="500"/>
    <n v="0.5"/>
    <s v=""/>
    <s v=""/>
    <s v=""/>
    <s v=""/>
    <s v=""/>
    <s v=""/>
    <s v=""/>
    <s v=""/>
    <s v=""/>
    <n v="0.5"/>
    <n v="0.5"/>
    <n v="0.5"/>
    <n v="0"/>
    <s v=""/>
    <s v=""/>
    <s v=""/>
    <s v=""/>
    <x v="6"/>
    <n v="0"/>
    <n v="0.5"/>
    <n v="1000"/>
    <x v="80"/>
    <n v="0.46100000000000002"/>
    <n v="1039"/>
    <x v="75"/>
  </r>
  <r>
    <x v="21"/>
    <s v="31"/>
    <s v="00 - Non-Divisional"/>
    <s v="00"/>
    <s v="Supplies - Supplies"/>
    <s v="4610-000"/>
    <s v="General expenses Supplies"/>
    <n v="14603"/>
    <n v="7619.41"/>
    <n v="14603"/>
    <n v="9809.01"/>
    <n v="10000"/>
    <n v="4982.7299999999996"/>
    <n v="9100"/>
    <n v="7500"/>
    <n v="7500"/>
    <n v="7500"/>
    <n v="9100"/>
    <n v="-1600"/>
    <n v="-1600"/>
    <n v="-0.17582417582417584"/>
    <n v="-0.47822981579127577"/>
    <n v="-0.32828802300897075"/>
    <n v="-0.50172700000000003"/>
    <n v="0"/>
    <n v="0.28737133190102648"/>
    <n v="-0.31520920358830379"/>
    <n v="-0.49202518908636045"/>
    <n v="-0.09"/>
    <n v="-0.37684037526535641"/>
    <n v="-0.17582417582417584"/>
    <n v="-0.17582417582417584"/>
    <n v="-0.17582417582417584"/>
    <n v="0"/>
    <n v="-0.48640690269122783"/>
    <n v="-0.48640690269122783"/>
    <n v="-0.48640690269122783"/>
    <n v="-0.37684037526535641"/>
    <x v="8"/>
    <n v="-0.1350697345294346"/>
    <n v="-4.0754441294741234E-2"/>
    <s v=""/>
    <x v="0"/>
    <n v="-0.21482417582417584"/>
    <s v=""/>
    <x v="0"/>
  </r>
  <r>
    <x v="21"/>
    <s v="31"/>
    <s v="00 - Non-Divisional"/>
    <s v="00"/>
    <s v="Supplies - Supplies"/>
    <s v="4620-000"/>
    <s v="Office supplies Supplies"/>
    <n v="19300"/>
    <n v="12418.6"/>
    <n v="19300"/>
    <n v="9528.65"/>
    <n v="12000"/>
    <n v="10217.1"/>
    <n v="11099"/>
    <n v="11099"/>
    <n v="11099"/>
    <n v="11099"/>
    <n v="11099"/>
    <n v="0"/>
    <n v="0"/>
    <n v="0"/>
    <n v="-0.35654922279792745"/>
    <n v="-0.50628756476683945"/>
    <n v="-0.14857499999999996"/>
    <n v="0"/>
    <n v="-0.23271141674584903"/>
    <n v="-0.37823834196891193"/>
    <n v="7.2250528668804159E-2"/>
    <n v="-7.5083333333333335E-2"/>
    <n v="-0.4249222797927461"/>
    <n v="0"/>
    <n v="0"/>
    <n v="0"/>
    <n v="0"/>
    <n v="-0.4249222797927461"/>
    <n v="-0.4249222797927461"/>
    <n v="-0.4249222797927461"/>
    <n v="-0.4249222797927461"/>
    <x v="16"/>
    <n v="-0.15110722510074842"/>
    <n v="0.15110722510074842"/>
    <n v="9421.8609086067936"/>
    <x v="81"/>
    <n v="-3.8999999999999993E-2"/>
    <s v=""/>
    <x v="0"/>
  </r>
  <r>
    <x v="21"/>
    <s v="31"/>
    <s v="00 - Non-Divisional"/>
    <s v="00"/>
    <s v="Supplies - Supplies"/>
    <s v="4625-000"/>
    <s v="Postage Supplies"/>
    <n v="2367"/>
    <n v="2262.2600000000002"/>
    <n v="2367"/>
    <n v="612.63"/>
    <n v="1367"/>
    <n v="3307.9"/>
    <n v="1000"/>
    <n v="2000"/>
    <n v="2000"/>
    <n v="2000"/>
    <n v="1000"/>
    <n v="1000"/>
    <n v="1000"/>
    <n v="1"/>
    <n v="-4.4250105618926817E-2"/>
    <n v="-0.74117870722433454"/>
    <n v="1.4198244330651062"/>
    <n v="0"/>
    <n v="-0.72919558317788402"/>
    <n v="-0.42247570764681031"/>
    <n v="4.399507043403033"/>
    <n v="-0.26847110460863205"/>
    <n v="-0.57752429235318969"/>
    <n v="1"/>
    <n v="1"/>
    <n v="1"/>
    <n v="0"/>
    <n v="-0.15504858470637939"/>
    <n v="-0.15504858470637939"/>
    <n v="-0.15504858470637939"/>
    <n v="-0.57752429235318969"/>
    <x v="17"/>
    <n v="-0.23031560408514742"/>
    <n v="1.2303156040851475"/>
    <n v="769.68439591485264"/>
    <x v="82"/>
    <n v="0.96099999999999997"/>
    <n v="1039"/>
    <x v="74"/>
  </r>
  <r>
    <x v="21"/>
    <s v="31"/>
    <s v="00 - Non-Divisional"/>
    <s v="00"/>
    <s v="Supplies - Supplies"/>
    <s v="4630-000"/>
    <s v="Maint &amp; repairs Supplies"/>
    <n v="25000"/>
    <n v="41660.29"/>
    <n v="25000"/>
    <n v="25716.080000000002"/>
    <n v="25000"/>
    <n v="27910.25"/>
    <n v="25000"/>
    <n v="25000"/>
    <n v="25000"/>
    <n v="25000"/>
    <n v="25000"/>
    <n v="0"/>
    <n v="0"/>
    <n v="0"/>
    <n v="0.66641159999999999"/>
    <n v="2.864320000000007E-2"/>
    <n v="0.11641"/>
    <n v="0"/>
    <n v="-0.38271961140933003"/>
    <n v="0"/>
    <n v="8.5322879692394729E-2"/>
    <n v="0"/>
    <n v="0"/>
    <n v="0"/>
    <n v="0"/>
    <n v="0"/>
    <n v="0"/>
    <n v="0"/>
    <n v="0"/>
    <n v="0"/>
    <n v="0"/>
    <x v="32"/>
    <n v="0"/>
    <n v="0"/>
    <s v=""/>
    <x v="0"/>
    <n v="-3.8999999999999993E-2"/>
    <s v=""/>
    <x v="0"/>
  </r>
  <r>
    <x v="21"/>
    <s v="31"/>
    <s v="00 - Non-Divisional"/>
    <s v="00"/>
    <s v="Supplies - Supplies"/>
    <s v="4670-000"/>
    <s v="Books &amp; periodicals Supplies"/>
    <n v="95000"/>
    <n v="190507.44"/>
    <n v="100000"/>
    <n v="160035.01"/>
    <n v="90000"/>
    <n v="103146.16"/>
    <n v="100000"/>
    <n v="141000"/>
    <n v="141000"/>
    <n v="141000"/>
    <n v="100000"/>
    <n v="41000"/>
    <n v="41000"/>
    <n v="0.41"/>
    <n v="1.0053414736842106"/>
    <n v="0.60035010000000011"/>
    <n v="0.14606844444444447"/>
    <n v="5.2631578947368418E-2"/>
    <n v="-0.15995401544422619"/>
    <n v="-0.1"/>
    <n v="-0.35547752957306034"/>
    <n v="0.1111111111111111"/>
    <n v="5.2631578947368418E-2"/>
    <n v="0.41"/>
    <n v="0.41"/>
    <n v="0.41"/>
    <n v="0"/>
    <n v="0.48421052631578948"/>
    <n v="0.48421052631578948"/>
    <n v="0.48421052631578948"/>
    <n v="5.2631578947368418E-2"/>
    <x v="18"/>
    <n v="2.1247563352826505E-2"/>
    <n v="0.38875243664717346"/>
    <n v="102124.75633528264"/>
    <x v="83"/>
    <n v="0.371"/>
    <n v="103899.99999999999"/>
    <x v="76"/>
  </r>
  <r>
    <x v="21"/>
    <s v="31"/>
    <s v="00 - Non-Divisional"/>
    <s v="00"/>
    <s v="Supplies - Supplies"/>
    <s v="4670-001"/>
    <s v="Electronic Books/Databases"/>
    <n v="0"/>
    <n v="0"/>
    <n v="0"/>
    <n v="0"/>
    <n v="0"/>
    <n v="0"/>
    <n v="0"/>
    <n v="0"/>
    <n v="0"/>
    <n v="0"/>
    <n v="0"/>
    <n v="0"/>
    <n v="0"/>
    <s v=""/>
    <s v=""/>
    <s v=""/>
    <s v=""/>
    <s v=""/>
    <s v=""/>
    <s v=""/>
    <s v=""/>
    <s v=""/>
    <s v=""/>
    <s v=""/>
    <s v=""/>
    <s v=""/>
    <s v=""/>
    <s v=""/>
    <s v=""/>
    <s v=""/>
    <s v=""/>
    <x v="101"/>
    <n v="0"/>
    <n v="0"/>
    <s v=""/>
    <x v="0"/>
    <n v="-3.8999999999999993E-2"/>
    <s v=""/>
    <x v="0"/>
  </r>
  <r>
    <x v="21"/>
    <s v="31"/>
    <s v="00 - Non-Divisional"/>
    <s v="00"/>
    <s v="Property - Property"/>
    <s v="4740-000"/>
    <s v="Mach &amp; equip Property"/>
    <n v="0"/>
    <n v="1989.63"/>
    <n v="0"/>
    <n v="3013.78"/>
    <n v="0"/>
    <n v="3963.03"/>
    <n v="0"/>
    <n v="1000"/>
    <n v="1000"/>
    <n v="1000"/>
    <n v="0"/>
    <n v="1000"/>
    <n v="1000"/>
    <s v=""/>
    <s v=""/>
    <s v=""/>
    <s v=""/>
    <s v=""/>
    <n v="0.51474394736709839"/>
    <s v=""/>
    <n v="0.31496990490347665"/>
    <s v=""/>
    <s v=""/>
    <s v=""/>
    <s v=""/>
    <s v=""/>
    <s v=""/>
    <s v=""/>
    <s v=""/>
    <s v=""/>
    <s v=""/>
    <x v="26"/>
    <n v="0"/>
    <n v="0"/>
    <s v=""/>
    <x v="0"/>
    <n v="-3.8999999999999993E-2"/>
    <s v=""/>
    <x v="0"/>
  </r>
  <r>
    <x v="21"/>
    <s v="31"/>
    <s v="00 - Non-Divisional"/>
    <s v="00"/>
    <s v="Property - Property"/>
    <s v="4750-000"/>
    <s v="Furniture &amp; fixures Property"/>
    <n v="0"/>
    <n v="9666.34"/>
    <n v="0"/>
    <n v="1711.75"/>
    <n v="0"/>
    <n v="0"/>
    <n v="2500"/>
    <n v="2500"/>
    <n v="2500"/>
    <n v="2500"/>
    <n v="2500"/>
    <n v="0"/>
    <n v="0"/>
    <n v="0"/>
    <s v=""/>
    <s v=""/>
    <s v=""/>
    <s v=""/>
    <n v="-0.82291642958968958"/>
    <s v=""/>
    <n v="-1"/>
    <s v=""/>
    <s v=""/>
    <n v="0"/>
    <n v="0"/>
    <n v="0"/>
    <n v="0"/>
    <s v=""/>
    <s v=""/>
    <s v=""/>
    <s v=""/>
    <x v="19"/>
    <n v="0"/>
    <n v="0"/>
    <s v=""/>
    <x v="0"/>
    <n v="-3.8999999999999993E-2"/>
    <s v=""/>
    <x v="0"/>
  </r>
  <r>
    <x v="21"/>
    <s v="31"/>
    <s v="00 - Non-Divisional"/>
    <s v="00"/>
    <s v="Other - Other objects"/>
    <s v="4821-000"/>
    <s v="Adult programs Other"/>
    <n v="0"/>
    <n v="0"/>
    <n v="0"/>
    <n v="0"/>
    <n v="0"/>
    <n v="0"/>
    <n v="0"/>
    <n v="0"/>
    <n v="0"/>
    <n v="0"/>
    <n v="0"/>
    <n v="0"/>
    <n v="0"/>
    <s v=""/>
    <s v=""/>
    <s v=""/>
    <s v=""/>
    <s v=""/>
    <s v=""/>
    <s v=""/>
    <s v=""/>
    <s v=""/>
    <s v=""/>
    <s v=""/>
    <s v=""/>
    <s v=""/>
    <s v=""/>
    <s v=""/>
    <s v=""/>
    <s v=""/>
    <s v=""/>
    <x v="98"/>
    <n v="0"/>
    <n v="0"/>
    <s v=""/>
    <x v="0"/>
    <n v="-3.8999999999999993E-2"/>
    <s v=""/>
    <x v="0"/>
  </r>
  <r>
    <x v="21"/>
    <s v="31"/>
    <s v="00 - Non-Divisional"/>
    <s v="00"/>
    <s v="Other - Other objects"/>
    <s v="4822-000"/>
    <s v="Youth programs Other"/>
    <n v="0"/>
    <n v="0"/>
    <n v="0"/>
    <n v="0"/>
    <n v="0"/>
    <n v="0"/>
    <n v="0"/>
    <n v="0"/>
    <n v="0"/>
    <n v="0"/>
    <n v="0"/>
    <n v="0"/>
    <n v="0"/>
    <s v=""/>
    <s v=""/>
    <s v=""/>
    <s v=""/>
    <s v=""/>
    <s v=""/>
    <s v=""/>
    <s v=""/>
    <s v=""/>
    <s v=""/>
    <s v=""/>
    <s v=""/>
    <s v=""/>
    <s v=""/>
    <s v=""/>
    <s v=""/>
    <s v=""/>
    <s v=""/>
    <x v="102"/>
    <n v="0"/>
    <n v="0"/>
    <s v=""/>
    <x v="0"/>
    <n v="-3.8999999999999993E-2"/>
    <s v=""/>
    <x v="0"/>
  </r>
  <r>
    <x v="21"/>
    <s v="31"/>
    <s v="00 - Non-Divisional"/>
    <s v="00"/>
    <s v="Other - Other objects"/>
    <s v="4824-000"/>
    <s v="Programs Other"/>
    <n v="0"/>
    <n v="0"/>
    <n v="0"/>
    <n v="0"/>
    <n v="0"/>
    <n v="0"/>
    <n v="0"/>
    <n v="0"/>
    <n v="0"/>
    <n v="0"/>
    <n v="0"/>
    <n v="0"/>
    <n v="0"/>
    <s v=""/>
    <s v=""/>
    <s v=""/>
    <s v=""/>
    <s v=""/>
    <s v=""/>
    <s v=""/>
    <s v=""/>
    <s v=""/>
    <s v=""/>
    <s v=""/>
    <s v=""/>
    <s v=""/>
    <s v=""/>
    <s v=""/>
    <s v=""/>
    <s v=""/>
    <s v=""/>
    <x v="96"/>
    <n v="0"/>
    <n v="0"/>
    <s v=""/>
    <x v="0"/>
    <n v="-3.8999999999999993E-2"/>
    <s v=""/>
    <x v="0"/>
  </r>
  <r>
    <x v="21"/>
    <s v="31"/>
    <s v="00 - Non-Divisional"/>
    <s v="00"/>
    <s v="Other - Other objects"/>
    <s v="4825-000"/>
    <s v="Teen programs Other"/>
    <n v="0"/>
    <n v="0"/>
    <n v="0"/>
    <n v="0"/>
    <n v="0"/>
    <n v="0"/>
    <n v="0"/>
    <n v="0"/>
    <n v="0"/>
    <n v="0"/>
    <n v="0"/>
    <n v="0"/>
    <n v="0"/>
    <s v=""/>
    <s v=""/>
    <s v=""/>
    <s v=""/>
    <s v=""/>
    <s v=""/>
    <s v=""/>
    <s v=""/>
    <s v=""/>
    <s v=""/>
    <s v=""/>
    <s v=""/>
    <s v=""/>
    <s v=""/>
    <s v=""/>
    <s v=""/>
    <s v=""/>
    <s v=""/>
    <x v="103"/>
    <n v="0"/>
    <n v="0"/>
    <s v=""/>
    <x v="0"/>
    <n v="-3.8999999999999993E-2"/>
    <s v=""/>
    <x v="0"/>
  </r>
  <r>
    <x v="22"/>
    <s v="32"/>
    <s v="00 - Non-Divisional"/>
    <s v="00"/>
    <s v="PS Salaries - Personnel services - salaries"/>
    <s v="4110-000"/>
    <s v="Regular Salaries"/>
    <n v="51757"/>
    <n v="51570.13"/>
    <n v="49390"/>
    <n v="51325.68"/>
    <n v="52920"/>
    <n v="54139.91"/>
    <n v="56476"/>
    <n v="60186"/>
    <n v="60186"/>
    <n v="60186"/>
    <n v="60186"/>
    <n v="3710"/>
    <n v="0"/>
    <n v="6.5691621219633123E-2"/>
    <n v="-3.6105261124099661E-3"/>
    <n v="3.9191739218465284E-2"/>
    <n v="2.3051965230536726E-2"/>
    <n v="-4.5732944336031839E-2"/>
    <n v="-4.7401470579965009E-3"/>
    <n v="7.1471957886211787E-2"/>
    <n v="5.4830837117014392E-2"/>
    <n v="6.7195767195767198E-2"/>
    <n v="9.1176072801746624E-2"/>
    <n v="6.5691621219633123E-2"/>
    <n v="6.5691621219633123E-2"/>
    <n v="6.5691621219633123E-2"/>
    <n v="6.5691621219633123E-2"/>
    <n v="0.16285719806016577"/>
    <n v="0.16285719806016577"/>
    <n v="0.16285719806016577"/>
    <n v="0.16285719806016577"/>
    <x v="10"/>
    <n v="3.097826024864905E-2"/>
    <n v="3.471336097098407E-2"/>
    <s v=""/>
    <x v="0"/>
    <n v="2.669162121963313E-2"/>
    <s v=""/>
    <x v="0"/>
  </r>
  <r>
    <x v="22"/>
    <s v="32"/>
    <s v="00 - Non-Divisional"/>
    <s v="00"/>
    <s v="PS Salaries - Personnel services - salaries"/>
    <s v="4120-000"/>
    <s v="Part-time Salaries"/>
    <n v="0"/>
    <n v="0"/>
    <n v="0"/>
    <n v="0"/>
    <n v="0"/>
    <n v="0"/>
    <n v="0"/>
    <n v="0"/>
    <n v="0"/>
    <n v="0"/>
    <n v="0"/>
    <n v="0"/>
    <n v="0"/>
    <s v=""/>
    <s v=""/>
    <s v=""/>
    <s v=""/>
    <s v=""/>
    <s v=""/>
    <s v=""/>
    <s v=""/>
    <s v=""/>
    <s v=""/>
    <s v=""/>
    <s v=""/>
    <s v=""/>
    <s v=""/>
    <s v=""/>
    <s v=""/>
    <s v=""/>
    <s v=""/>
    <x v="11"/>
    <n v="0"/>
    <n v="0"/>
    <s v=""/>
    <x v="0"/>
    <n v="-3.8999999999999993E-2"/>
    <s v=""/>
    <x v="0"/>
  </r>
  <r>
    <x v="22"/>
    <s v="32"/>
    <s v="00 - Non-Divisional"/>
    <s v="00"/>
    <m/>
    <s v="4220-000"/>
    <s v="FICA Benefits"/>
    <n v="3209"/>
    <n v="2999.51"/>
    <n v="3063"/>
    <n v="3179.32"/>
    <n v="3281"/>
    <n v="3341.9"/>
    <n v="3502"/>
    <n v="3732"/>
    <n v="3732"/>
    <n v="3732"/>
    <n v="3732"/>
    <n v="230"/>
    <n v="0"/>
    <n v="6.5676756139348938E-2"/>
    <n v="-6.5282019320660578E-2"/>
    <n v="3.7975840679072857E-2"/>
    <n v="1.8561414202986921E-2"/>
    <n v="-4.5497039576191958E-2"/>
    <n v="5.9946457921460486E-2"/>
    <n v="7.1172053542278818E-2"/>
    <n v="5.1136721059849254E-2"/>
    <n v="6.7357512953367879E-2"/>
    <n v="9.1305702711124967E-2"/>
    <n v="6.5676756139348938E-2"/>
    <n v="6.5676756139348938E-2"/>
    <n v="6.5676756139348938E-2"/>
    <n v="6.5676756139348938E-2"/>
    <n v="0.16297912122156435"/>
    <n v="0.16297912122156435"/>
    <n v="0.16297912122156435"/>
    <n v="0.16297912122156435"/>
    <x v="1"/>
    <n v="3.1010842306484914E-2"/>
    <n v="3.466591383286402E-2"/>
    <s v=""/>
    <x v="0"/>
    <n v="2.6676756139348945E-2"/>
    <s v=""/>
    <x v="0"/>
  </r>
  <r>
    <x v="22"/>
    <s v="32"/>
    <s v="00 - Non-Divisional"/>
    <s v="00"/>
    <m/>
    <s v="4225-000"/>
    <s v="Medicare Benefits"/>
    <n v="751"/>
    <n v="701.5"/>
    <n v="717"/>
    <n v="743.56"/>
    <n v="768"/>
    <n v="781.57"/>
    <n v="820"/>
    <n v="873"/>
    <n v="873"/>
    <n v="873"/>
    <n v="873"/>
    <n v="53"/>
    <n v="0"/>
    <n v="6.4634146341463417E-2"/>
    <n v="-6.5912117177097204E-2"/>
    <n v="3.7043235704323496E-2"/>
    <n v="1.76692708333334E-2"/>
    <n v="-4.5272969374167776E-2"/>
    <n v="5.9957234497505271E-2"/>
    <n v="7.1129707112970716E-2"/>
    <n v="5.1118941309376657E-2"/>
    <n v="6.7708333333333329E-2"/>
    <n v="9.1877496671105188E-2"/>
    <n v="6.4634146341463417E-2"/>
    <n v="6.4634146341463417E-2"/>
    <n v="6.4634146341463417E-2"/>
    <n v="6.4634146341463417E-2"/>
    <n v="0.16245006657789615"/>
    <n v="0.16245006657789615"/>
    <n v="0.16245006657789615"/>
    <n v="0.16245006657789615"/>
    <x v="2"/>
    <n v="3.1188357024045422E-2"/>
    <n v="3.3445789317417998E-2"/>
    <s v=""/>
    <x v="0"/>
    <n v="2.5634146341463424E-2"/>
    <s v=""/>
    <x v="0"/>
  </r>
  <r>
    <x v="22"/>
    <s v="32"/>
    <s v="00 - Non-Divisional"/>
    <s v="00"/>
    <m/>
    <s v="4260-000"/>
    <s v="Workers' comp Benefits"/>
    <n v="71"/>
    <n v="67.81"/>
    <n v="77"/>
    <n v="81.459999999999994"/>
    <n v="91"/>
    <n v="91.29"/>
    <n v="108"/>
    <n v="106"/>
    <n v="106"/>
    <n v="106"/>
    <n v="106"/>
    <n v="-2"/>
    <n v="0"/>
    <n v="-1.8518518518518517E-2"/>
    <n v="-4.4929577464788699E-2"/>
    <n v="5.792207792207784E-2"/>
    <n v="3.1868131868132555E-3"/>
    <n v="8.4507042253521125E-2"/>
    <n v="0.20129774369561998"/>
    <n v="0.18181818181818182"/>
    <n v="0.12067272280874065"/>
    <n v="0.18681318681318682"/>
    <n v="0.52112676056338025"/>
    <n v="-1.8518518518518517E-2"/>
    <n v="-1.8518518518518517E-2"/>
    <n v="-1.8518518518518517E-2"/>
    <n v="-1.8518518518518517E-2"/>
    <n v="0.49295774647887325"/>
    <n v="0.49295774647887325"/>
    <n v="0.49295774647887325"/>
    <n v="0.49295774647887325"/>
    <x v="3"/>
    <n v="0.15104613696162991"/>
    <n v="-0.16956465548014843"/>
    <s v=""/>
    <x v="0"/>
    <n v="-5.751851851851851E-2"/>
    <s v=""/>
    <x v="0"/>
  </r>
  <r>
    <x v="22"/>
    <s v="32"/>
    <s v="00 - Non-Divisional"/>
    <s v="00"/>
    <s v="PS other - Purchased services - other"/>
    <s v="4870-000"/>
    <s v="Senior Transportation"/>
    <n v="18200"/>
    <n v="5000"/>
    <n v="18200"/>
    <n v="5000"/>
    <n v="15700"/>
    <n v="5000"/>
    <n v="14700"/>
    <n v="14700"/>
    <n v="5000"/>
    <n v="5000"/>
    <n v="14700"/>
    <n v="-9700"/>
    <n v="-9700"/>
    <n v="-0.65986394557823125"/>
    <n v="-0.72527472527472525"/>
    <n v="-0.72527472527472525"/>
    <n v="-0.68152866242038213"/>
    <n v="0"/>
    <n v="0"/>
    <n v="-0.13736263736263737"/>
    <n v="0"/>
    <n v="-6.3694267515923567E-2"/>
    <n v="-0.19230769230769232"/>
    <n v="0"/>
    <n v="-0.65986394557823125"/>
    <n v="-0.65986394557823125"/>
    <n v="0"/>
    <n v="-0.19230769230769232"/>
    <n v="-0.72527472527472525"/>
    <n v="-0.72527472527472525"/>
    <n v="-0.19230769230769232"/>
    <x v="104"/>
    <n v="-6.7018968292853642E-2"/>
    <n v="-0.59284497728537766"/>
    <s v=""/>
    <x v="0"/>
    <n v="-0.69886394557823128"/>
    <s v=""/>
    <x v="0"/>
  </r>
  <r>
    <x v="22"/>
    <s v="32"/>
    <s v="00 - Non-Divisional"/>
    <s v="00"/>
    <s v="Supplies - Supplies"/>
    <s v="4610-000"/>
    <s v="General expenses Supplies"/>
    <n v="1300"/>
    <n v="2675.28"/>
    <n v="1300"/>
    <n v="2439.86"/>
    <n v="1300"/>
    <n v="1230.22"/>
    <n v="2000"/>
    <n v="2000"/>
    <n v="2000"/>
    <n v="2000"/>
    <n v="2000"/>
    <n v="0"/>
    <n v="0"/>
    <n v="0"/>
    <n v="1.0579076923076924"/>
    <n v="0.87681538461538466"/>
    <n v="-5.3676923076923053E-2"/>
    <n v="0"/>
    <n v="-8.7998265602105219E-2"/>
    <n v="0"/>
    <n v="-0.49578254490011725"/>
    <n v="0.53846153846153844"/>
    <n v="0.53846153846153844"/>
    <n v="0"/>
    <n v="0"/>
    <n v="0"/>
    <n v="0"/>
    <n v="0.53846153846153844"/>
    <n v="0.53846153846153844"/>
    <n v="0.53846153846153844"/>
    <n v="0.53846153846153844"/>
    <x v="8"/>
    <n v="0.17948717948717949"/>
    <n v="-0.17948717948717949"/>
    <s v=""/>
    <x v="0"/>
    <n v="-3.8999999999999993E-2"/>
    <s v=""/>
    <x v="0"/>
  </r>
  <r>
    <x v="22"/>
    <s v="32"/>
    <s v="00 - Non-Divisional"/>
    <s v="00"/>
    <s v="Supplies - Supplies"/>
    <s v="4625-000"/>
    <s v="Postage Supplies"/>
    <n v="200"/>
    <n v="332.22"/>
    <n v="200"/>
    <n v="121.4"/>
    <n v="200"/>
    <n v="219"/>
    <n v="200"/>
    <n v="250"/>
    <n v="250"/>
    <n v="250"/>
    <n v="200"/>
    <n v="50"/>
    <n v="50"/>
    <n v="0.25"/>
    <n v="0.66110000000000013"/>
    <n v="-0.39299999999999996"/>
    <n v="9.5000000000000001E-2"/>
    <n v="0"/>
    <n v="-0.63457949551502013"/>
    <n v="0"/>
    <n v="0.80395387149917619"/>
    <n v="0"/>
    <n v="0"/>
    <n v="0.25"/>
    <n v="0.25"/>
    <n v="0.25"/>
    <n v="0"/>
    <n v="0.25"/>
    <n v="0.25"/>
    <n v="0.25"/>
    <n v="0"/>
    <x v="17"/>
    <n v="0"/>
    <n v="0.25"/>
    <n v="200"/>
    <x v="84"/>
    <n v="0.21100000000000002"/>
    <n v="207.79999999999998"/>
    <x v="77"/>
  </r>
  <r>
    <x v="22"/>
    <s v="32"/>
    <s v="00 - Non-Divisional"/>
    <s v="00"/>
    <s v="Other - Other objects"/>
    <s v="4820-000"/>
    <s v="Sr. affairs program Other"/>
    <n v="12364"/>
    <n v="14289.6"/>
    <n v="12364"/>
    <n v="14363.44"/>
    <n v="12364"/>
    <n v="16261.18"/>
    <n v="12364"/>
    <n v="13000"/>
    <n v="13000"/>
    <n v="13000"/>
    <n v="12364"/>
    <n v="636"/>
    <n v="636"/>
    <n v="5.1439663539307665E-2"/>
    <n v="0.15574247816240702"/>
    <n v="0.16171465545131031"/>
    <n v="0.31520381753477839"/>
    <n v="0"/>
    <n v="5.1673944687045227E-3"/>
    <n v="0"/>
    <n v="0.13212294547824197"/>
    <n v="0"/>
    <n v="0"/>
    <n v="5.1439663539307665E-2"/>
    <n v="5.1439663539307665E-2"/>
    <n v="5.1439663539307665E-2"/>
    <n v="0"/>
    <n v="5.1439663539307665E-2"/>
    <n v="5.1439663539307665E-2"/>
    <n v="5.1439663539307665E-2"/>
    <n v="0"/>
    <x v="105"/>
    <n v="0"/>
    <n v="5.1439663539307665E-2"/>
    <n v="12364"/>
    <x v="85"/>
    <n v="1.2439663539307672E-2"/>
    <n v="12846.196"/>
    <x v="78"/>
  </r>
  <r>
    <x v="22"/>
    <s v="32"/>
    <s v="00 - Non-Divisional"/>
    <s v="00"/>
    <s v="Other - Other objects"/>
    <s v="4824-000"/>
    <s v="Programs Other"/>
    <n v="0"/>
    <n v="0"/>
    <n v="0"/>
    <n v="0"/>
    <n v="2500"/>
    <n v="0"/>
    <n v="2600"/>
    <n v="2600"/>
    <n v="2600"/>
    <n v="2600"/>
    <n v="2600"/>
    <n v="0"/>
    <n v="0"/>
    <n v="0"/>
    <s v=""/>
    <s v=""/>
    <n v="-1"/>
    <s v=""/>
    <s v=""/>
    <s v=""/>
    <s v=""/>
    <n v="0.04"/>
    <s v=""/>
    <n v="0"/>
    <n v="0"/>
    <n v="0"/>
    <n v="0"/>
    <s v=""/>
    <s v=""/>
    <s v=""/>
    <s v=""/>
    <x v="96"/>
    <n v="0.04"/>
    <n v="-0.04"/>
    <s v=""/>
    <x v="0"/>
    <n v="-3.8999999999999993E-2"/>
    <s v=""/>
    <x v="0"/>
  </r>
  <r>
    <x v="22"/>
    <s v="32"/>
    <s v="00 - Non-Divisional"/>
    <s v="00"/>
    <s v="Other - Other objects"/>
    <s v="4868-000"/>
    <s v="Regional trans initiative Other"/>
    <n v="0"/>
    <n v="0"/>
    <n v="27188"/>
    <n v="27187.88"/>
    <n v="27188"/>
    <n v="27187.88"/>
    <n v="27188"/>
    <n v="27188"/>
    <n v="37000"/>
    <n v="37000"/>
    <n v="27188"/>
    <n v="9812"/>
    <n v="9812"/>
    <n v="0.36089451228483155"/>
    <s v=""/>
    <n v="-4.4137119316971225E-6"/>
    <n v="-4.4137119316971225E-6"/>
    <s v=""/>
    <s v=""/>
    <n v="0"/>
    <n v="0"/>
    <n v="0"/>
    <s v=""/>
    <n v="0"/>
    <n v="0.36089451228483155"/>
    <n v="0.36089451228483155"/>
    <n v="0"/>
    <s v=""/>
    <s v=""/>
    <s v=""/>
    <s v=""/>
    <x v="45"/>
    <n v="0"/>
    <n v="0.36089451228483155"/>
    <n v="27188"/>
    <x v="86"/>
    <n v="0.32189451228483157"/>
    <n v="28248.331999999999"/>
    <x v="79"/>
  </r>
  <r>
    <x v="23"/>
    <s v="33"/>
    <s v="00 - Non-Divisional"/>
    <s v="00"/>
    <s v="PS Salaries - Personnel services - salaries"/>
    <s v="4110-000"/>
    <s v="Regular Salaries"/>
    <n v="275860"/>
    <n v="211015.43"/>
    <n v="192039"/>
    <n v="154751.19"/>
    <n v="198544"/>
    <n v="167563.32999999999"/>
    <n v="258075"/>
    <n v="281697"/>
    <n v="281697"/>
    <n v="281697"/>
    <n v="281697"/>
    <n v="23622"/>
    <n v="0"/>
    <n v="9.1531531531531526E-2"/>
    <n v="-0.23506332922496923"/>
    <n v="-0.19416790339462295"/>
    <n v="-0.15603931622209694"/>
    <n v="-0.30385340390052923"/>
    <n v="-0.2666356673538044"/>
    <n v="3.3873327813621193E-2"/>
    <n v="8.2791867384024539E-2"/>
    <n v="0.29983781932468367"/>
    <n v="-6.4471108533314003E-2"/>
    <n v="9.1531531531531526E-2"/>
    <n v="9.1531531531531526E-2"/>
    <n v="9.1531531531531526E-2"/>
    <n v="9.1531531531531526E-2"/>
    <n v="2.115928369462771E-2"/>
    <n v="2.115928369462771E-2"/>
    <n v="2.115928369462771E-2"/>
    <n v="2.115928369462771E-2"/>
    <x v="10"/>
    <n v="9.952581079258541E-3"/>
    <n v="8.157895045227298E-2"/>
    <s v=""/>
    <x v="0"/>
    <n v="5.2531531531531533E-2"/>
    <s v=""/>
    <x v="0"/>
  </r>
  <r>
    <x v="23"/>
    <s v="33"/>
    <s v="00 - Non-Divisional"/>
    <s v="00"/>
    <s v="PS Salaries - Personnel services - salaries"/>
    <s v="4120-000"/>
    <s v="Part-time Salaries"/>
    <n v="46892"/>
    <n v="32108.5"/>
    <n v="49544"/>
    <n v="26136.31"/>
    <n v="46024"/>
    <n v="16357.58"/>
    <n v="11801"/>
    <n v="16068"/>
    <n v="16068"/>
    <n v="16068"/>
    <n v="16068"/>
    <n v="4267"/>
    <n v="0"/>
    <n v="0.36157952715871539"/>
    <n v="-0.3152669965026017"/>
    <n v="-0.4724626594542225"/>
    <n v="-0.64458586824265596"/>
    <n v="5.655548920924678E-2"/>
    <n v="-0.18600028029960911"/>
    <n v="-7.1047957371225573E-2"/>
    <n v="-0.37414348085096943"/>
    <n v="-0.74359030071267163"/>
    <n v="-0.74833660325855156"/>
    <n v="0.36157952715871539"/>
    <n v="0.36157952715871539"/>
    <n v="0.36157952715871539"/>
    <n v="0.36157952715871539"/>
    <n v="-0.65734027126162242"/>
    <n v="-0.65734027126162242"/>
    <n v="-0.65734027126162242"/>
    <n v="-0.65734027126162242"/>
    <x v="11"/>
    <n v="-0.25269425629155012"/>
    <n v="0.61427378345026551"/>
    <s v=""/>
    <x v="0"/>
    <n v="0.32257952715871541"/>
    <s v=""/>
    <x v="0"/>
  </r>
  <r>
    <x v="23"/>
    <s v="33"/>
    <s v="00 - Non-Divisional"/>
    <s v="00"/>
    <s v="PS Salaries - Personnel services - salaries"/>
    <s v="4140-000"/>
    <s v="Overtime Salaries"/>
    <n v="5500"/>
    <n v="4522.67"/>
    <n v="1"/>
    <n v="0"/>
    <n v="1"/>
    <n v="941.46"/>
    <n v="1"/>
    <n v="1000"/>
    <n v="1000"/>
    <n v="1000"/>
    <n v="1"/>
    <n v="999"/>
    <n v="999"/>
    <n v="999"/>
    <n v="-0.17769636363636362"/>
    <n v="-1"/>
    <n v="940.46"/>
    <n v="-0.99981818181818183"/>
    <n v="-1"/>
    <n v="0"/>
    <s v=""/>
    <n v="0"/>
    <n v="-0.99981818181818183"/>
    <n v="999"/>
    <n v="999"/>
    <n v="999"/>
    <n v="0"/>
    <n v="-0.81818181818181823"/>
    <n v="-0.81818181818181823"/>
    <n v="-0.81818181818181823"/>
    <n v="-0.99981818181818183"/>
    <x v="12"/>
    <n v="-0.33327272727272728"/>
    <n v="999.33327272727274"/>
    <s v=""/>
    <x v="0"/>
    <n v="998.96100000000001"/>
    <s v=""/>
    <x v="0"/>
  </r>
  <r>
    <x v="23"/>
    <s v="33"/>
    <s v="00 - Non-Divisional"/>
    <s v="00"/>
    <s v="PS Benefits - Personnel services - benefits"/>
    <s v="4215-000"/>
    <s v="STD, LTD, &amp; Life  Benefits"/>
    <n v="2823"/>
    <n v="2606.11"/>
    <n v="3022"/>
    <n v="2566.46"/>
    <n v="2173"/>
    <n v="2374.16"/>
    <n v="1600"/>
    <n v="1919"/>
    <n v="1919"/>
    <n v="1919"/>
    <n v="1919"/>
    <n v="319"/>
    <n v="0"/>
    <n v="0.199375"/>
    <n v="-7.6829613885936898E-2"/>
    <n v="-0.15074123097286565"/>
    <n v="9.2572480441785482E-2"/>
    <n v="7.0492383988664545E-2"/>
    <n v="-1.5214246520676445E-2"/>
    <n v="-0.28093977498345468"/>
    <n v="-7.4928111094659633E-2"/>
    <n v="-0.26369075011504833"/>
    <n v="-0.43322706340772227"/>
    <n v="0.199375"/>
    <n v="0.199375"/>
    <n v="0.199375"/>
    <n v="0.199375"/>
    <n v="-0.32022670917463691"/>
    <n v="-0.32022670917463691"/>
    <n v="-0.32022670917463691"/>
    <n v="-0.32022670917463691"/>
    <x v="13"/>
    <n v="-0.15804604703661282"/>
    <n v="0.35742104703661282"/>
    <s v=""/>
    <x v="0"/>
    <n v="0.16037499999999999"/>
    <s v=""/>
    <x v="0"/>
  </r>
  <r>
    <x v="23"/>
    <s v="33"/>
    <s v="00 - Non-Divisional"/>
    <s v="00"/>
    <s v="PS Benefits - Personnel services - benefits"/>
    <s v="4220-000"/>
    <s v="FICA Benefits"/>
    <n v="19609"/>
    <n v="18527.59"/>
    <n v="20352"/>
    <n v="14078.64"/>
    <n v="15164"/>
    <n v="11453.02"/>
    <n v="16734"/>
    <n v="18524"/>
    <n v="18524"/>
    <n v="18524"/>
    <n v="18462"/>
    <n v="1790"/>
    <n v="62"/>
    <n v="0.1069678498864587"/>
    <n v="-5.5148656229282465E-2"/>
    <n v="-0.30824292452830193"/>
    <n v="-0.24472302822474279"/>
    <n v="3.7890764444897751E-2"/>
    <n v="-0.24012567203829535"/>
    <n v="-0.25491352201257861"/>
    <n v="-0.1864967070682963"/>
    <n v="0.10353468741756792"/>
    <n v="-0.14661634963537151"/>
    <n v="0.1069678498864587"/>
    <n v="0.1069678498864587"/>
    <n v="0.1069678498864587"/>
    <n v="0.10326281821441377"/>
    <n v="-5.5331735427609774E-2"/>
    <n v="-5.5331735427609774E-2"/>
    <n v="-5.5331735427609774E-2"/>
    <n v="-5.8493548880616045E-2"/>
    <x v="1"/>
    <n v="-3.7829356716704308E-2"/>
    <n v="0.144797206603163"/>
    <s v=""/>
    <x v="0"/>
    <n v="6.7967849886458709E-2"/>
    <s v=""/>
    <x v="0"/>
  </r>
  <r>
    <x v="23"/>
    <s v="33"/>
    <s v="00 - Non-Divisional"/>
    <s v="00"/>
    <s v="PS Benefits - Personnel services - benefits"/>
    <s v="4225-000"/>
    <s v="Medicare Benefits"/>
    <n v="4586"/>
    <n v="4333.09"/>
    <n v="4760"/>
    <n v="3292.59"/>
    <n v="3547"/>
    <n v="2678.53"/>
    <n v="3914"/>
    <n v="4333"/>
    <n v="4333"/>
    <n v="4333"/>
    <n v="4318"/>
    <n v="419"/>
    <n v="15"/>
    <n v="0.10705160960654063"/>
    <n v="-5.5148277365896177E-2"/>
    <n v="-0.30827941176470586"/>
    <n v="-0.244846349027347"/>
    <n v="3.7941561273440907E-2"/>
    <n v="-0.24012886877493889"/>
    <n v="-0.25483193277310923"/>
    <n v="-0.18649755967186923"/>
    <n v="0.10346771919932338"/>
    <n v="-0.14653292629742695"/>
    <n v="0.10705160960654063"/>
    <n v="0.10705160960654063"/>
    <n v="0.10705160960654063"/>
    <n v="0.10321921308124681"/>
    <n v="-5.5167902311382466E-2"/>
    <n v="-5.5167902311382466E-2"/>
    <n v="-5.5167902311382466E-2"/>
    <n v="-5.8438726559092893E-2"/>
    <x v="2"/>
    <n v="-3.7807550766781654E-2"/>
    <n v="0.14485916037332228"/>
    <s v=""/>
    <x v="0"/>
    <n v="6.8051609606540636E-2"/>
    <s v=""/>
    <x v="0"/>
  </r>
  <r>
    <x v="23"/>
    <s v="33"/>
    <s v="00 - Non-Divisional"/>
    <s v="00"/>
    <s v="PS Benefits - Personnel services - benefits"/>
    <s v="4230-000"/>
    <s v="Retirement Benefits"/>
    <n v="38301"/>
    <n v="35749.800000000003"/>
    <n v="39560"/>
    <n v="24629.63"/>
    <n v="26864"/>
    <n v="22998.63"/>
    <n v="32906"/>
    <n v="36052"/>
    <n v="36052"/>
    <n v="36052"/>
    <n v="35917"/>
    <n v="3146"/>
    <n v="135"/>
    <n v="9.5605664620433961E-2"/>
    <n v="-6.6609226913135353E-2"/>
    <n v="-0.37741076845298277"/>
    <n v="-0.14388661405598566"/>
    <n v="3.2871204407195632E-2"/>
    <n v="-0.31105544646403621"/>
    <n v="-0.32093023255813952"/>
    <n v="-6.6221051635773659E-2"/>
    <n v="0.22491066110780225"/>
    <n v="-0.14085794104592569"/>
    <n v="9.5605664620433961E-2"/>
    <n v="9.5605664620433961E-2"/>
    <n v="9.5605664620433961E-2"/>
    <n v="9.1503069349054889E-2"/>
    <n v="-5.8719093496253365E-2"/>
    <n v="-5.8719093496253365E-2"/>
    <n v="-5.8719093496253365E-2"/>
    <n v="-6.2243805644761237E-2"/>
    <x v="14"/>
    <n v="-2.1049455681047203E-2"/>
    <n v="0.11665512030148116"/>
    <s v=""/>
    <x v="0"/>
    <n v="5.6605664620433968E-2"/>
    <s v=""/>
    <x v="0"/>
  </r>
  <r>
    <x v="23"/>
    <s v="33"/>
    <s v="00 - Non-Divisional"/>
    <s v="00"/>
    <s v="PS Benefits - Personnel services - benefits"/>
    <s v="4260-000"/>
    <s v="Workers' comp Benefits"/>
    <n v="578"/>
    <n v="394.18"/>
    <n v="602"/>
    <n v="572.4"/>
    <n v="759"/>
    <n v="759.36"/>
    <n v="897"/>
    <n v="884"/>
    <n v="884"/>
    <n v="884"/>
    <n v="884"/>
    <n v="-13"/>
    <n v="0"/>
    <n v="-1.4492753623188406E-2"/>
    <n v="-0.31802768166089962"/>
    <n v="-4.9169435215946883E-2"/>
    <n v="4.743083003952749E-4"/>
    <n v="4.1522491349480967E-2"/>
    <n v="0.45212846922725652"/>
    <n v="0.26079734219269102"/>
    <n v="0.32662473794549274"/>
    <n v="0.18181818181818182"/>
    <n v="0.55190311418685123"/>
    <n v="-1.4492753623188406E-2"/>
    <n v="-1.4492753623188406E-2"/>
    <n v="-1.4492753623188406E-2"/>
    <n v="-1.4492753623188406E-2"/>
    <n v="0.52941176470588236"/>
    <n v="0.52941176470588236"/>
    <n v="0.52941176470588236"/>
    <n v="0.52941176470588236"/>
    <x v="3"/>
    <n v="0.16137933845345126"/>
    <n v="-0.17587209207663967"/>
    <s v=""/>
    <x v="0"/>
    <n v="-5.3492753623188401E-2"/>
    <s v=""/>
    <x v="0"/>
  </r>
  <r>
    <x v="23"/>
    <s v="33"/>
    <s v="00 - Non-Divisional"/>
    <s v="00"/>
    <s v="PS prof - Purchased services - professional &amp; technical"/>
    <s v="4330-000"/>
    <s v="MGMT services Services"/>
    <n v="37000"/>
    <n v="10076.34"/>
    <n v="37000"/>
    <n v="12294.77"/>
    <n v="37000"/>
    <n v="75263.55"/>
    <n v="37850"/>
    <n v="37850"/>
    <n v="37850"/>
    <n v="37850"/>
    <n v="37850"/>
    <n v="0"/>
    <n v="0"/>
    <n v="0"/>
    <n v="-0.72766648648648646"/>
    <n v="-0.66770891891891893"/>
    <n v="1.0341500000000001"/>
    <n v="0"/>
    <n v="0.2201622811457335"/>
    <n v="0"/>
    <n v="5.1215907251619992"/>
    <n v="2.2972972972972974E-2"/>
    <n v="2.2972972972972974E-2"/>
    <n v="0"/>
    <n v="0"/>
    <n v="0"/>
    <n v="0"/>
    <n v="2.2972972972972974E-2"/>
    <n v="2.2972972972972974E-2"/>
    <n v="2.2972972972972974E-2"/>
    <n v="2.2972972972972974E-2"/>
    <x v="7"/>
    <n v="7.6576576576576584E-3"/>
    <n v="-7.6576576576576584E-3"/>
    <s v=""/>
    <x v="0"/>
    <n v="-3.8999999999999993E-2"/>
    <s v=""/>
    <x v="0"/>
  </r>
  <r>
    <x v="23"/>
    <s v="33"/>
    <s v="00 - Non-Divisional"/>
    <s v="00"/>
    <s v="PS prof - Purchased services - professional &amp; technical"/>
    <s v="4341-000"/>
    <s v="Telephone Services"/>
    <n v="500"/>
    <n v="564.73"/>
    <n v="500"/>
    <n v="466.66"/>
    <n v="500"/>
    <n v="301.91000000000003"/>
    <n v="500"/>
    <n v="500"/>
    <n v="500"/>
    <n v="500"/>
    <n v="500"/>
    <n v="0"/>
    <n v="0"/>
    <n v="0"/>
    <n v="0.12946000000000005"/>
    <n v="-6.6679999999999948E-2"/>
    <n v="-0.39617999999999998"/>
    <n v="0"/>
    <n v="-0.17365820834735182"/>
    <n v="0"/>
    <n v="-0.35304075772511034"/>
    <n v="0"/>
    <n v="0"/>
    <n v="0"/>
    <n v="0"/>
    <n v="0"/>
    <n v="0"/>
    <n v="0"/>
    <n v="0"/>
    <n v="0"/>
    <n v="0"/>
    <x v="34"/>
    <n v="0"/>
    <n v="0"/>
    <s v=""/>
    <x v="0"/>
    <n v="-3.8999999999999993E-2"/>
    <s v=""/>
    <x v="0"/>
  </r>
  <r>
    <x v="23"/>
    <s v="33"/>
    <s v="00 - Non-Divisional"/>
    <s v="00"/>
    <s v="PS prof - Purchased services - professional &amp; technical"/>
    <s v="4640-000"/>
    <s v="GIS Services &amp; Supplies"/>
    <n v="10000"/>
    <n v="4991.1899999999996"/>
    <n v="10000"/>
    <n v="8620"/>
    <n v="10000"/>
    <n v="11079.96"/>
    <n v="10000"/>
    <n v="12500"/>
    <n v="12500"/>
    <n v="12500"/>
    <n v="12500"/>
    <n v="2500"/>
    <n v="0"/>
    <n v="0.25"/>
    <n v="-0.50088100000000002"/>
    <n v="-0.13800000000000001"/>
    <n v="0.10799599999999991"/>
    <n v="0"/>
    <n v="0.7270430498538426"/>
    <n v="0"/>
    <n v="0.28537819025522032"/>
    <n v="0"/>
    <n v="0"/>
    <n v="0.25"/>
    <n v="0.25"/>
    <n v="0.25"/>
    <n v="0.25"/>
    <n v="0.25"/>
    <n v="0.25"/>
    <n v="0.25"/>
    <n v="0.25"/>
    <x v="106"/>
    <n v="0"/>
    <n v="0.25"/>
    <n v="10000"/>
    <x v="87"/>
    <n v="0.21100000000000002"/>
    <n v="10390"/>
    <x v="80"/>
  </r>
  <r>
    <x v="23"/>
    <s v="33"/>
    <s v="00 - Non-Divisional"/>
    <s v="00"/>
    <s v="PS other - Purchased services - other"/>
    <s v="4550-000"/>
    <s v="Printing Services"/>
    <n v="4800"/>
    <n v="3540.03"/>
    <n v="4800"/>
    <n v="1849.8"/>
    <n v="4000"/>
    <n v="4616.25"/>
    <n v="4000"/>
    <n v="4500"/>
    <n v="4500"/>
    <n v="4500"/>
    <n v="4000"/>
    <n v="500"/>
    <n v="500"/>
    <n v="0.125"/>
    <n v="-0.26249374999999997"/>
    <n v="-0.61462499999999998"/>
    <n v="0.15406249999999999"/>
    <n v="0"/>
    <n v="-0.47746205540631015"/>
    <n v="-0.16666666666666666"/>
    <n v="1.4955400583846903"/>
    <n v="0"/>
    <n v="-0.16666666666666666"/>
    <n v="0.125"/>
    <n v="0.125"/>
    <n v="0.125"/>
    <n v="0"/>
    <n v="-6.25E-2"/>
    <n v="-6.25E-2"/>
    <n v="-6.25E-2"/>
    <n v="-0.16666666666666666"/>
    <x v="4"/>
    <n v="-5.5555555555555552E-2"/>
    <n v="0.18055555555555555"/>
    <n v="3777.7777777777778"/>
    <x v="88"/>
    <n v="8.6000000000000007E-2"/>
    <n v="4156"/>
    <x v="81"/>
  </r>
  <r>
    <x v="23"/>
    <s v="33"/>
    <s v="00 - Non-Divisional"/>
    <s v="00"/>
    <s v="PS other - Purchased services - other"/>
    <s v="4560-000"/>
    <s v="Dues &amp; subs Services"/>
    <n v="1645"/>
    <n v="1767"/>
    <n v="1645"/>
    <n v="227.63"/>
    <n v="1645"/>
    <n v="2305"/>
    <n v="1195"/>
    <n v="20213"/>
    <n v="20213"/>
    <n v="20213"/>
    <n v="19808"/>
    <n v="19018"/>
    <n v="405"/>
    <n v="15.914644351464435"/>
    <n v="7.4164133738601826E-2"/>
    <n v="-0.86162310030395128"/>
    <n v="0.40121580547112462"/>
    <n v="0"/>
    <n v="-0.87117713638936045"/>
    <n v="0"/>
    <n v="9.1260817994113257"/>
    <n v="-0.2735562310030395"/>
    <n v="-0.2735562310030395"/>
    <n v="15.914644351464435"/>
    <n v="15.914644351464435"/>
    <n v="15.914644351464435"/>
    <n v="15.575732217573222"/>
    <n v="11.287537993920973"/>
    <n v="11.287537993920973"/>
    <n v="11.287537993920973"/>
    <n v="11.041337386018236"/>
    <x v="15"/>
    <n v="-9.1185410334346503E-2"/>
    <n v="16.005829761798783"/>
    <n v="1086.033434650456"/>
    <x v="89"/>
    <n v="15.875644351464436"/>
    <n v="1241.605"/>
    <x v="82"/>
  </r>
  <r>
    <x v="23"/>
    <s v="33"/>
    <s v="00 - Non-Divisional"/>
    <s v="00"/>
    <s v="PS other - Purchased services - other"/>
    <s v="4570-000"/>
    <s v="Sem &amp; workshops Services"/>
    <n v="2215"/>
    <n v="177.5"/>
    <n v="2215"/>
    <n v="462.7"/>
    <n v="2215"/>
    <n v="463.12"/>
    <n v="2215"/>
    <n v="2600"/>
    <n v="2600"/>
    <n v="2600"/>
    <n v="2215"/>
    <n v="385"/>
    <n v="385"/>
    <n v="0.17381489841986456"/>
    <n v="-0.91986455981941306"/>
    <n v="-0.79110609480812644"/>
    <n v="-0.79091647855530478"/>
    <n v="0"/>
    <n v="1.6067605633802817"/>
    <n v="0"/>
    <n v="9.0771558245086653E-4"/>
    <n v="0"/>
    <n v="0"/>
    <n v="0.17381489841986456"/>
    <n v="0.17381489841986456"/>
    <n v="0.17381489841986456"/>
    <n v="0"/>
    <n v="0.17381489841986456"/>
    <n v="0.17381489841986456"/>
    <n v="0.17381489841986456"/>
    <n v="0"/>
    <x v="5"/>
    <n v="0"/>
    <n v="0.17381489841986456"/>
    <n v="2215"/>
    <x v="90"/>
    <n v="0.13481489841986455"/>
    <n v="2301.3849999999998"/>
    <x v="83"/>
  </r>
  <r>
    <x v="23"/>
    <s v="33"/>
    <s v="00 - Non-Divisional"/>
    <s v="00"/>
    <s v="PS other - Purchased services - other"/>
    <s v="4575-000"/>
    <s v="Travel &amp; mileage Services"/>
    <n v="2540"/>
    <n v="0"/>
    <n v="2540"/>
    <n v="0"/>
    <n v="2540"/>
    <n v="85.12"/>
    <n v="2540"/>
    <n v="3250"/>
    <n v="3250"/>
    <n v="3250"/>
    <n v="2540"/>
    <n v="710"/>
    <n v="710"/>
    <n v="0.27952755905511811"/>
    <n v="-1"/>
    <n v="-1"/>
    <n v="-0.966488188976378"/>
    <n v="0"/>
    <s v=""/>
    <n v="0"/>
    <s v=""/>
    <n v="0"/>
    <n v="0"/>
    <n v="0.27952755905511811"/>
    <n v="0.27952755905511811"/>
    <n v="0.27952755905511811"/>
    <n v="0"/>
    <n v="0.27952755905511811"/>
    <n v="0.27952755905511811"/>
    <n v="0.27952755905511811"/>
    <n v="0"/>
    <x v="6"/>
    <n v="0"/>
    <n v="0.27952755905511811"/>
    <n v="2540"/>
    <x v="91"/>
    <n v="0.24052755905511813"/>
    <n v="2639.06"/>
    <x v="84"/>
  </r>
  <r>
    <x v="23"/>
    <s v="33"/>
    <s v="00 - Non-Divisional"/>
    <s v="00"/>
    <s v="Supplies - Supplies"/>
    <s v="4620-000"/>
    <s v="Office supplies Supplies"/>
    <n v="750"/>
    <n v="1029.3900000000001"/>
    <n v="750"/>
    <n v="1574.99"/>
    <n v="750"/>
    <n v="2811.61"/>
    <n v="750"/>
    <n v="2500"/>
    <n v="2500"/>
    <n v="2500"/>
    <n v="750"/>
    <n v="1750"/>
    <n v="1750"/>
    <n v="2.3333333333333335"/>
    <n v="0.37252000000000013"/>
    <n v="1.0999866666666667"/>
    <n v="2.7488133333333336"/>
    <n v="0"/>
    <n v="0.53002263476427769"/>
    <n v="0"/>
    <n v="0.78516054070184582"/>
    <n v="0"/>
    <n v="0"/>
    <n v="2.3333333333333335"/>
    <n v="2.3333333333333335"/>
    <n v="2.3333333333333335"/>
    <n v="0"/>
    <n v="2.3333333333333335"/>
    <n v="2.3333333333333335"/>
    <n v="2.3333333333333335"/>
    <n v="0"/>
    <x v="16"/>
    <n v="0"/>
    <n v="2.3333333333333335"/>
    <n v="750"/>
    <x v="92"/>
    <n v="2.2943333333333333"/>
    <n v="779.24999999999989"/>
    <x v="85"/>
  </r>
  <r>
    <x v="23"/>
    <s v="33"/>
    <s v="00 - Non-Divisional"/>
    <s v="00"/>
    <s v="Supplies - Supplies"/>
    <s v="4625-000"/>
    <s v="Postage Supplies"/>
    <n v="5700"/>
    <n v="6786.47"/>
    <n v="5700"/>
    <n v="7151.9"/>
    <n v="5700"/>
    <n v="9419.6"/>
    <n v="5700"/>
    <n v="10500"/>
    <n v="10500"/>
    <n v="10500"/>
    <n v="5700"/>
    <n v="4800"/>
    <n v="4800"/>
    <n v="0.84210526315789469"/>
    <n v="0.19060877192982462"/>
    <n v="0.25471929824561396"/>
    <n v="0.65256140350877201"/>
    <n v="0"/>
    <n v="5.3846845267126998E-2"/>
    <n v="0"/>
    <n v="0.31707658104839287"/>
    <n v="0"/>
    <n v="0"/>
    <n v="0.84210526315789469"/>
    <n v="0.84210526315789469"/>
    <n v="0.84210526315789469"/>
    <n v="0"/>
    <n v="0.84210526315789469"/>
    <n v="0.84210526315789469"/>
    <n v="0.84210526315789469"/>
    <n v="0"/>
    <x v="17"/>
    <n v="0"/>
    <n v="0.84210526315789469"/>
    <n v="5700"/>
    <x v="93"/>
    <n v="0.80310526315789466"/>
    <n v="5922.2999999999993"/>
    <x v="86"/>
  </r>
  <r>
    <x v="23"/>
    <s v="33"/>
    <s v="00 - Non-Divisional"/>
    <s v="00"/>
    <s v="Supplies - Supplies"/>
    <s v="4690-000"/>
    <s v="Other misc Supplies"/>
    <n v="750"/>
    <n v="470.5"/>
    <n v="750"/>
    <n v="16.920000000000002"/>
    <n v="750"/>
    <n v="0"/>
    <n v="750"/>
    <n v="0"/>
    <n v="0"/>
    <n v="0"/>
    <n v="750"/>
    <n v="-750"/>
    <n v="-750"/>
    <n v="-1"/>
    <n v="-0.37266666666666665"/>
    <n v="-0.97744000000000009"/>
    <n v="-1"/>
    <n v="0"/>
    <n v="-0.96403825717321989"/>
    <n v="0"/>
    <n v="-1"/>
    <n v="0"/>
    <n v="0"/>
    <n v="-1"/>
    <n v="-1"/>
    <n v="-1"/>
    <n v="0"/>
    <n v="-1"/>
    <n v="-1"/>
    <n v="-1"/>
    <n v="0"/>
    <x v="54"/>
    <n v="0"/>
    <n v="-1"/>
    <s v=""/>
    <x v="0"/>
    <n v="-1.0389999999999999"/>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1A43FB-3AEB-454B-A5A5-8ADD2606C047}" name="PivotByDept" cacheId="0" applyNumberFormats="0" applyBorderFormats="0" applyFontFormats="0" applyPatternFormats="0" applyAlignmentFormats="0" applyWidthHeightFormats="1" dataCaption="Values" grandTotalCaption="Totals" updatedVersion="8" minRefreshableVersion="3" useAutoFormatting="1" itemPrintTitles="1" createdVersion="8" indent="0" outline="1" outlineData="1" multipleFieldFilters="0" rowHeaderCaption="Department Name ">
  <location ref="A1:N31" firstHeaderRow="0" firstDataRow="1" firstDataCol="1"/>
  <pivotFields count="49">
    <pivotField name="Department Name *" axis="axisRow" showAll="0" sortType="descending">
      <items count="25">
        <item sd="0" x="0"/>
        <item sd="0" x="1"/>
        <item sd="0" x="2"/>
        <item sd="0" x="3"/>
        <item sd="0" x="4"/>
        <item sd="0" x="5"/>
        <item sd="0" x="6"/>
        <item sd="0" x="7"/>
        <item sd="0" x="8"/>
        <item sd="0" x="9"/>
        <item sd="0" x="10"/>
        <item x="11"/>
        <item sd="0" x="12"/>
        <item sd="0" x="13"/>
        <item sd="0" x="14"/>
        <item sd="0" x="15"/>
        <item sd="0" x="16"/>
        <item sd="0" x="17"/>
        <item sd="0" x="18"/>
        <item sd="0" x="19"/>
        <item sd="0" x="20"/>
        <item sd="0" x="21"/>
        <item sd="0" x="22"/>
        <item sd="0" x="23"/>
        <item t="default" sd="0"/>
      </items>
      <autoSortScope>
        <pivotArea dataOnly="0" outline="0" fieldPosition="0">
          <references count="1">
            <reference field="4294967294" count="1" selected="0">
              <x v="6"/>
            </reference>
          </references>
        </pivotArea>
      </autoSortScope>
    </pivotField>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showAll="0"/>
    <pivotField dataField="1" showAll="0"/>
    <pivotField dataField="1"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08">
        <item x="10"/>
        <item x="11"/>
        <item x="0"/>
        <item x="12"/>
        <item x="76"/>
        <item x="55"/>
        <item x="56"/>
        <item x="72"/>
        <item x="60"/>
        <item x="20"/>
        <item x="61"/>
        <item x="13"/>
        <item x="24"/>
        <item x="1"/>
        <item x="2"/>
        <item x="14"/>
        <item x="21"/>
        <item x="30"/>
        <item x="77"/>
        <item x="51"/>
        <item x="3"/>
        <item x="57"/>
        <item x="27"/>
        <item x="78"/>
        <item x="36"/>
        <item x="23"/>
        <item x="58"/>
        <item x="7"/>
        <item x="22"/>
        <item x="62"/>
        <item x="33"/>
        <item x="79"/>
        <item x="89"/>
        <item x="90"/>
        <item x="28"/>
        <item x="34"/>
        <item x="59"/>
        <item x="95"/>
        <item x="37"/>
        <item x="29"/>
        <item x="80"/>
        <item x="38"/>
        <item x="39"/>
        <item x="40"/>
        <item x="81"/>
        <item x="82"/>
        <item x="35"/>
        <item x="83"/>
        <item x="84"/>
        <item x="25"/>
        <item x="31"/>
        <item x="41"/>
        <item x="52"/>
        <item x="53"/>
        <item x="69"/>
        <item x="68"/>
        <item x="4"/>
        <item x="15"/>
        <item x="100"/>
        <item x="5"/>
        <item x="6"/>
        <item x="75"/>
        <item x="8"/>
        <item x="63"/>
        <item x="65"/>
        <item x="66"/>
        <item x="73"/>
        <item x="74"/>
        <item x="16"/>
        <item x="17"/>
        <item x="32"/>
        <item x="70"/>
        <item x="42"/>
        <item x="106"/>
        <item x="43"/>
        <item x="18"/>
        <item x="101"/>
        <item x="9"/>
        <item x="54"/>
        <item x="92"/>
        <item x="93"/>
        <item x="85"/>
        <item x="86"/>
        <item x="87"/>
        <item x="88"/>
        <item x="94"/>
        <item x="26"/>
        <item x="97"/>
        <item x="67"/>
        <item x="19"/>
        <item x="64"/>
        <item x="105"/>
        <item x="98"/>
        <item x="102"/>
        <item x="99"/>
        <item x="96"/>
        <item x="103"/>
        <item x="91"/>
        <item x="46"/>
        <item x="47"/>
        <item x="48"/>
        <item x="49"/>
        <item x="50"/>
        <item x="44"/>
        <item x="45"/>
        <item x="104"/>
        <item x="71"/>
        <item t="default"/>
      </items>
      <autoSortScope>
        <pivotArea dataOnly="0" outline="0" fieldPosition="0">
          <references count="1">
            <reference field="4294967294" count="1" selected="0">
              <x v="6"/>
            </reference>
          </references>
        </pivotArea>
      </autoSortScope>
    </pivotField>
    <pivotField numFmtId="10" showAll="0"/>
    <pivotField numFmtId="10" showAll="0"/>
    <pivotField showAll="0"/>
    <pivotField dataField="1" showAll="0">
      <items count="95">
        <item x="21"/>
        <item x="62"/>
        <item x="60"/>
        <item x="30"/>
        <item x="83"/>
        <item x="58"/>
        <item x="44"/>
        <item x="89"/>
        <item x="61"/>
        <item x="48"/>
        <item x="73"/>
        <item x="86"/>
        <item x="22"/>
        <item x="39"/>
        <item x="29"/>
        <item x="51"/>
        <item x="25"/>
        <item x="2"/>
        <item x="67"/>
        <item x="70"/>
        <item x="10"/>
        <item x="41"/>
        <item x="93"/>
        <item x="68"/>
        <item x="45"/>
        <item x="37"/>
        <item x="11"/>
        <item x="55"/>
        <item x="17"/>
        <item x="13"/>
        <item x="69"/>
        <item x="24"/>
        <item x="76"/>
        <item x="23"/>
        <item x="59"/>
        <item x="7"/>
        <item x="43"/>
        <item x="36"/>
        <item x="27"/>
        <item x="75"/>
        <item x="87"/>
        <item x="6"/>
        <item x="40"/>
        <item x="26"/>
        <item x="56"/>
        <item x="47"/>
        <item x="32"/>
        <item x="92"/>
        <item x="81"/>
        <item x="54"/>
        <item x="31"/>
        <item x="82"/>
        <item x="66"/>
        <item x="34"/>
        <item x="79"/>
        <item x="14"/>
        <item x="74"/>
        <item x="28"/>
        <item x="4"/>
        <item x="35"/>
        <item x="33"/>
        <item x="3"/>
        <item x="42"/>
        <item x="5"/>
        <item x="78"/>
        <item x="88"/>
        <item x="91"/>
        <item x="85"/>
        <item x="18"/>
        <item x="71"/>
        <item x="80"/>
        <item x="72"/>
        <item x="15"/>
        <item x="90"/>
        <item x="46"/>
        <item x="65"/>
        <item x="50"/>
        <item x="1"/>
        <item x="49"/>
        <item x="52"/>
        <item x="53"/>
        <item x="20"/>
        <item x="16"/>
        <item x="57"/>
        <item x="77"/>
        <item x="19"/>
        <item x="84"/>
        <item x="64"/>
        <item x="38"/>
        <item x="63"/>
        <item x="12"/>
        <item x="8"/>
        <item x="9"/>
        <item x="0"/>
        <item t="default"/>
      </items>
    </pivotField>
    <pivotField numFmtId="10" showAll="0"/>
    <pivotField showAll="0"/>
    <pivotField dataField="1" showAll="0">
      <items count="88">
        <item x="18"/>
        <item x="55"/>
        <item x="54"/>
        <item x="29"/>
        <item x="21"/>
        <item x="76"/>
        <item x="52"/>
        <item x="12"/>
        <item x="36"/>
        <item x="42"/>
        <item x="82"/>
        <item x="45"/>
        <item x="67"/>
        <item x="79"/>
        <item x="19"/>
        <item x="43"/>
        <item x="28"/>
        <item x="47"/>
        <item x="53"/>
        <item x="62"/>
        <item x="61"/>
        <item x="38"/>
        <item x="3"/>
        <item x="40"/>
        <item x="9"/>
        <item x="86"/>
        <item x="34"/>
        <item x="25"/>
        <item x="10"/>
        <item x="49"/>
        <item x="41"/>
        <item x="11"/>
        <item x="63"/>
        <item x="20"/>
        <item x="68"/>
        <item x="33"/>
        <item x="8"/>
        <item x="24"/>
        <item x="7"/>
        <item x="44"/>
        <item x="80"/>
        <item x="22"/>
        <item x="73"/>
        <item x="50"/>
        <item x="39"/>
        <item x="69"/>
        <item x="85"/>
        <item x="23"/>
        <item x="14"/>
        <item x="48"/>
        <item x="66"/>
        <item x="30"/>
        <item x="70"/>
        <item x="35"/>
        <item x="65"/>
        <item x="60"/>
        <item x="72"/>
        <item x="74"/>
        <item x="5"/>
        <item x="4"/>
        <item x="32"/>
        <item x="16"/>
        <item x="6"/>
        <item x="26"/>
        <item x="84"/>
        <item x="64"/>
        <item x="75"/>
        <item x="59"/>
        <item x="81"/>
        <item x="13"/>
        <item x="83"/>
        <item x="37"/>
        <item x="46"/>
        <item x="15"/>
        <item x="1"/>
        <item x="31"/>
        <item x="78"/>
        <item x="2"/>
        <item x="17"/>
        <item x="51"/>
        <item x="71"/>
        <item x="57"/>
        <item x="77"/>
        <item x="27"/>
        <item x="58"/>
        <item x="56"/>
        <item x="0"/>
        <item t="default"/>
      </items>
    </pivotField>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0"/>
    <field x="38"/>
  </rowFields>
  <rowItems count="30">
    <i>
      <x v="11"/>
    </i>
    <i r="1">
      <x v="9"/>
    </i>
    <i r="1">
      <x v="52"/>
    </i>
    <i r="1">
      <x v="12"/>
    </i>
    <i r="1">
      <x v="19"/>
    </i>
    <i r="1">
      <x v="53"/>
    </i>
    <i>
      <x v="14"/>
    </i>
    <i>
      <x v="16"/>
    </i>
    <i>
      <x v="17"/>
    </i>
    <i>
      <x v="2"/>
    </i>
    <i>
      <x v="7"/>
    </i>
    <i>
      <x v="13"/>
    </i>
    <i>
      <x v="4"/>
    </i>
    <i>
      <x v="21"/>
    </i>
    <i>
      <x v="20"/>
    </i>
    <i>
      <x v="8"/>
    </i>
    <i>
      <x v="23"/>
    </i>
    <i>
      <x v="15"/>
    </i>
    <i>
      <x v="9"/>
    </i>
    <i>
      <x v="19"/>
    </i>
    <i>
      <x v="6"/>
    </i>
    <i>
      <x/>
    </i>
    <i>
      <x v="22"/>
    </i>
    <i>
      <x v="18"/>
    </i>
    <i>
      <x v="3"/>
    </i>
    <i>
      <x v="10"/>
    </i>
    <i>
      <x v="12"/>
    </i>
    <i>
      <x v="5"/>
    </i>
    <i>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FY23 Budget " fld="7" baseField="0" baseItem="4"/>
    <dataField name="FY24 Budget " fld="9" baseField="0" baseItem="23"/>
    <dataField name="FY25 Budget " fld="11" baseField="0" baseItem="23"/>
    <dataField name="FY26 Budget " fld="13" baseField="0" baseItem="0"/>
    <dataField name="FY27 Default Budget " fld="17" baseField="0" baseItem="0" numFmtId="165"/>
    <dataField name="FY27 TCPB " fld="16" baseField="0" baseItem="0" numFmtId="5"/>
    <dataField name="FY27 TCPB $ o/(u) FY26 Budget " fld="18" baseField="0" baseItem="0" numFmtId="164"/>
    <dataField name="FY27 TCPB % o/-u FY26 Budget " fld="46" baseField="0" baseItem="0" numFmtId="166"/>
    <dataField name="FY27 TCPB $ o/(u) Default " fld="19" baseField="0" baseItem="0" numFmtId="164"/>
    <dataField name="FY27 TCPB % o/-u Default " fld="47" baseField="0" baseItem="2" numFmtId="166"/>
    <dataField name="FY27 TCPB % o/-u FY23 Budget " fld="48" baseField="0" baseItem="2" numFmtId="166"/>
    <dataField name="FY27 TCPB CHANGE if FY26 adj by 3YAVG" fld="42" baseField="0" baseItem="2"/>
    <dataField name="FY27 TCPB CHANGE if FY26 adj by CPIAVG" fld="45" baseField="0" baseItem="2"/>
  </dataFields>
  <formats count="18">
    <format dxfId="55">
      <pivotArea dataOnly="0" labelOnly="1" outline="0" axis="axisValues" fieldPosition="0"/>
    </format>
    <format dxfId="54">
      <pivotArea outline="0" collapsedLevelsAreSubtotals="1" fieldPosition="0">
        <references count="1">
          <reference field="4294967294" count="1" selected="0">
            <x v="4"/>
          </reference>
        </references>
      </pivotArea>
    </format>
    <format dxfId="53">
      <pivotArea outline="0" collapsedLevelsAreSubtotals="1" fieldPosition="0"/>
    </format>
    <format dxfId="52">
      <pivotArea dataOnly="0" labelOnly="1" outline="0" fieldPosition="0">
        <references count="1">
          <reference field="4294967294" count="4">
            <x v="4"/>
            <x v="5"/>
            <x v="6"/>
            <x v="8"/>
          </reference>
        </references>
      </pivotArea>
    </format>
    <format dxfId="51">
      <pivotArea outline="0" collapsedLevelsAreSubtotals="1" fieldPosition="0">
        <references count="1">
          <reference field="4294967294" count="1" selected="0">
            <x v="7"/>
          </reference>
        </references>
      </pivotArea>
    </format>
    <format dxfId="50">
      <pivotArea dataOnly="0" labelOnly="1" outline="0" fieldPosition="0">
        <references count="1">
          <reference field="4294967294" count="1">
            <x v="7"/>
          </reference>
        </references>
      </pivotArea>
    </format>
    <format dxfId="49">
      <pivotArea outline="0" collapsedLevelsAreSubtotals="1" fieldPosition="0">
        <references count="1">
          <reference field="4294967294" count="1" selected="0">
            <x v="9"/>
          </reference>
        </references>
      </pivotArea>
    </format>
    <format dxfId="48">
      <pivotArea dataOnly="0" labelOnly="1" outline="0" fieldPosition="0">
        <references count="1">
          <reference field="4294967294" count="1">
            <x v="9"/>
          </reference>
        </references>
      </pivotArea>
    </format>
    <format dxfId="47">
      <pivotArea dataOnly="0" labelOnly="1" outline="0" fieldPosition="0">
        <references count="1">
          <reference field="4294967294" count="7">
            <x v="3"/>
            <x v="4"/>
            <x v="5"/>
            <x v="6"/>
            <x v="7"/>
            <x v="8"/>
            <x v="9"/>
          </reference>
        </references>
      </pivotArea>
    </format>
    <format dxfId="46">
      <pivotArea dataOnly="0" labelOnly="1" outline="0" fieldPosition="0">
        <references count="1">
          <reference field="4294967294" count="7">
            <x v="3"/>
            <x v="4"/>
            <x v="5"/>
            <x v="6"/>
            <x v="7"/>
            <x v="8"/>
            <x v="9"/>
          </reference>
        </references>
      </pivotArea>
    </format>
    <format dxfId="45">
      <pivotArea outline="0" collapsedLevelsAreSubtotals="1" fieldPosition="0">
        <references count="1">
          <reference field="4294967294" count="1" selected="0">
            <x v="10"/>
          </reference>
        </references>
      </pivotArea>
    </format>
    <format dxfId="44">
      <pivotArea dataOnly="0" labelOnly="1" outline="0" fieldPosition="0">
        <references count="1">
          <reference field="4294967294" count="1">
            <x v="10"/>
          </reference>
        </references>
      </pivotArea>
    </format>
    <format dxfId="43">
      <pivotArea field="0" type="button" dataOnly="0" labelOnly="1" outline="0" axis="axisRow" fieldPosition="0"/>
    </format>
    <format dxfId="42">
      <pivotArea dataOnly="0" labelOnly="1" outline="0" fieldPosition="0">
        <references count="1">
          <reference field="4294967294" count="8">
            <x v="3"/>
            <x v="4"/>
            <x v="5"/>
            <x v="6"/>
            <x v="7"/>
            <x v="8"/>
            <x v="9"/>
            <x v="10"/>
          </reference>
        </references>
      </pivotArea>
    </format>
    <format dxfId="41">
      <pivotArea field="0" type="button" dataOnly="0" labelOnly="1" outline="0" axis="axisRow" fieldPosition="0"/>
    </format>
    <format dxfId="40">
      <pivotArea dataOnly="0" labelOnly="1" outline="0" fieldPosition="0">
        <references count="1">
          <reference field="4294967294" count="8">
            <x v="3"/>
            <x v="4"/>
            <x v="5"/>
            <x v="6"/>
            <x v="7"/>
            <x v="8"/>
            <x v="9"/>
            <x v="10"/>
          </reference>
        </references>
      </pivotArea>
    </format>
    <format dxfId="39">
      <pivotArea dataOnly="0" labelOnly="1" outline="0" fieldPosition="0">
        <references count="1">
          <reference field="4294967294" count="2">
            <x v="11"/>
            <x v="12"/>
          </reference>
        </references>
      </pivotArea>
    </format>
    <format dxfId="38">
      <pivotArea dataOnly="0" labelOnly="1" outline="0" fieldPosition="0">
        <references count="1">
          <reference field="4294967294" count="2">
            <x v="11"/>
            <x v="12"/>
          </reference>
        </references>
      </pivotArea>
    </format>
  </formats>
  <conditionalFormats count="11">
    <conditionalFormat priority="14">
      <pivotAreas count="24">
        <pivotArea type="data" collapsedLevelsAreSubtotals="1" fieldPosition="0">
          <references count="2">
            <reference field="4294967294" count="1" selected="0">
              <x v="12"/>
            </reference>
            <reference field="0" count="1">
              <x v="2"/>
            </reference>
          </references>
        </pivotArea>
        <pivotArea type="data" collapsedLevelsAreSubtotals="1" fieldPosition="0">
          <references count="2">
            <reference field="4294967294" count="1" selected="0">
              <x v="12"/>
            </reference>
            <reference field="0" count="1">
              <x v="7"/>
            </reference>
          </references>
        </pivotArea>
        <pivotArea type="data" collapsedLevelsAreSubtotals="1" fieldPosition="0">
          <references count="2">
            <reference field="4294967294" count="1" selected="0">
              <x v="12"/>
            </reference>
            <reference field="0" count="1">
              <x v="0"/>
            </reference>
          </references>
        </pivotArea>
        <pivotArea type="data" collapsedLevelsAreSubtotals="1" fieldPosition="0">
          <references count="2">
            <reference field="4294967294" count="1" selected="0">
              <x v="12"/>
            </reference>
            <reference field="0" count="1">
              <x v="8"/>
            </reference>
          </references>
        </pivotArea>
        <pivotArea type="data" collapsedLevelsAreSubtotals="1" fieldPosition="0">
          <references count="2">
            <reference field="4294967294" count="1" selected="0">
              <x v="12"/>
            </reference>
            <reference field="0" count="1">
              <x v="20"/>
            </reference>
          </references>
        </pivotArea>
        <pivotArea type="data" collapsedLevelsAreSubtotals="1" fieldPosition="0">
          <references count="2">
            <reference field="4294967294" count="1" selected="0">
              <x v="12"/>
            </reference>
            <reference field="0" count="1">
              <x v="4"/>
            </reference>
          </references>
        </pivotArea>
        <pivotArea type="data" collapsedLevelsAreSubtotals="1" fieldPosition="0">
          <references count="2">
            <reference field="4294967294" count="1" selected="0">
              <x v="12"/>
            </reference>
            <reference field="0" count="1">
              <x v="23"/>
            </reference>
          </references>
        </pivotArea>
        <pivotArea type="data" collapsedLevelsAreSubtotals="1" fieldPosition="0">
          <references count="2">
            <reference field="4294967294" count="1" selected="0">
              <x v="12"/>
            </reference>
            <reference field="0" count="1">
              <x v="17"/>
            </reference>
          </references>
        </pivotArea>
        <pivotArea type="data" collapsedLevelsAreSubtotals="1" fieldPosition="0">
          <references count="2">
            <reference field="4294967294" count="1" selected="0">
              <x v="12"/>
            </reference>
            <reference field="0" count="1">
              <x v="16"/>
            </reference>
          </references>
        </pivotArea>
        <pivotArea type="data" collapsedLevelsAreSubtotals="1" fieldPosition="0">
          <references count="2">
            <reference field="4294967294" count="1" selected="0">
              <x v="12"/>
            </reference>
            <reference field="0" count="1">
              <x v="11"/>
            </reference>
          </references>
        </pivotArea>
        <pivotArea type="data" collapsedLevelsAreSubtotals="1" fieldPosition="0">
          <references count="2">
            <reference field="4294967294" count="1" selected="0">
              <x v="12"/>
            </reference>
            <reference field="0" count="1">
              <x v="15"/>
            </reference>
          </references>
        </pivotArea>
        <pivotArea type="data" collapsedLevelsAreSubtotals="1" fieldPosition="0">
          <references count="2">
            <reference field="4294967294" count="1" selected="0">
              <x v="12"/>
            </reference>
            <reference field="0" count="1">
              <x v="19"/>
            </reference>
          </references>
        </pivotArea>
        <pivotArea type="data" collapsedLevelsAreSubtotals="1" fieldPosition="0">
          <references count="2">
            <reference field="4294967294" count="1" selected="0">
              <x v="12"/>
            </reference>
            <reference field="0" count="1">
              <x v="21"/>
            </reference>
          </references>
        </pivotArea>
        <pivotArea type="data" collapsedLevelsAreSubtotals="1" fieldPosition="0">
          <references count="2">
            <reference field="4294967294" count="1" selected="0">
              <x v="12"/>
            </reference>
            <reference field="0" count="1">
              <x v="14"/>
            </reference>
          </references>
        </pivotArea>
        <pivotArea type="data" collapsedLevelsAreSubtotals="1" fieldPosition="0">
          <references count="2">
            <reference field="4294967294" count="1" selected="0">
              <x v="12"/>
            </reference>
            <reference field="0" count="1">
              <x v="9"/>
            </reference>
          </references>
        </pivotArea>
        <pivotArea type="data" collapsedLevelsAreSubtotals="1" fieldPosition="0">
          <references count="2">
            <reference field="4294967294" count="1" selected="0">
              <x v="12"/>
            </reference>
            <reference field="0" count="1">
              <x v="22"/>
            </reference>
          </references>
        </pivotArea>
        <pivotArea type="data" collapsedLevelsAreSubtotals="1" fieldPosition="0">
          <references count="2">
            <reference field="4294967294" count="1" selected="0">
              <x v="12"/>
            </reference>
            <reference field="0" count="1">
              <x v="6"/>
            </reference>
          </references>
        </pivotArea>
        <pivotArea type="data" collapsedLevelsAreSubtotals="1" fieldPosition="0">
          <references count="2">
            <reference field="4294967294" count="1" selected="0">
              <x v="12"/>
            </reference>
            <reference field="0" count="1">
              <x v="13"/>
            </reference>
          </references>
        </pivotArea>
        <pivotArea type="data" collapsedLevelsAreSubtotals="1" fieldPosition="0">
          <references count="2">
            <reference field="4294967294" count="1" selected="0">
              <x v="12"/>
            </reference>
            <reference field="0" count="1">
              <x v="18"/>
            </reference>
          </references>
        </pivotArea>
        <pivotArea type="data" collapsedLevelsAreSubtotals="1" fieldPosition="0">
          <references count="2">
            <reference field="4294967294" count="1" selected="0">
              <x v="12"/>
            </reference>
            <reference field="0" count="1">
              <x v="12"/>
            </reference>
          </references>
        </pivotArea>
        <pivotArea type="data" collapsedLevelsAreSubtotals="1" fieldPosition="0">
          <references count="2">
            <reference field="4294967294" count="1" selected="0">
              <x v="12"/>
            </reference>
            <reference field="0" count="1">
              <x v="10"/>
            </reference>
          </references>
        </pivotArea>
        <pivotArea type="data" collapsedLevelsAreSubtotals="1" fieldPosition="0">
          <references count="2">
            <reference field="4294967294" count="1" selected="0">
              <x v="12"/>
            </reference>
            <reference field="0" count="1">
              <x v="3"/>
            </reference>
          </references>
        </pivotArea>
        <pivotArea type="data" collapsedLevelsAreSubtotals="1" fieldPosition="0">
          <references count="2">
            <reference field="4294967294" count="1" selected="0">
              <x v="12"/>
            </reference>
            <reference field="0" count="1">
              <x v="5"/>
            </reference>
          </references>
        </pivotArea>
        <pivotArea type="data" collapsedLevelsAreSubtotals="1" fieldPosition="0">
          <references count="2">
            <reference field="4294967294" count="1" selected="0">
              <x v="12"/>
            </reference>
            <reference field="0" count="1">
              <x v="1"/>
            </reference>
          </references>
        </pivotArea>
      </pivotAreas>
    </conditionalFormat>
    <conditionalFormat priority="13">
      <pivotAreas count="24">
        <pivotArea type="data" collapsedLevelsAreSubtotals="1" fieldPosition="0">
          <references count="2">
            <reference field="4294967294" count="1" selected="0">
              <x v="11"/>
            </reference>
            <reference field="0" count="1">
              <x v="2"/>
            </reference>
          </references>
        </pivotArea>
        <pivotArea type="data" collapsedLevelsAreSubtotals="1" fieldPosition="0">
          <references count="2">
            <reference field="4294967294" count="1" selected="0">
              <x v="11"/>
            </reference>
            <reference field="0" count="1">
              <x v="7"/>
            </reference>
          </references>
        </pivotArea>
        <pivotArea type="data" collapsedLevelsAreSubtotals="1" fieldPosition="0">
          <references count="2">
            <reference field="4294967294" count="1" selected="0">
              <x v="11"/>
            </reference>
            <reference field="0" count="1">
              <x v="0"/>
            </reference>
          </references>
        </pivotArea>
        <pivotArea type="data" collapsedLevelsAreSubtotals="1" fieldPosition="0">
          <references count="2">
            <reference field="4294967294" count="1" selected="0">
              <x v="11"/>
            </reference>
            <reference field="0" count="1">
              <x v="8"/>
            </reference>
          </references>
        </pivotArea>
        <pivotArea type="data" collapsedLevelsAreSubtotals="1" fieldPosition="0">
          <references count="2">
            <reference field="4294967294" count="1" selected="0">
              <x v="11"/>
            </reference>
            <reference field="0" count="1">
              <x v="20"/>
            </reference>
          </references>
        </pivotArea>
        <pivotArea type="data" collapsedLevelsAreSubtotals="1" fieldPosition="0">
          <references count="2">
            <reference field="4294967294" count="1" selected="0">
              <x v="11"/>
            </reference>
            <reference field="0" count="1">
              <x v="4"/>
            </reference>
          </references>
        </pivotArea>
        <pivotArea type="data" collapsedLevelsAreSubtotals="1" fieldPosition="0">
          <references count="2">
            <reference field="4294967294" count="1" selected="0">
              <x v="11"/>
            </reference>
            <reference field="0" count="1">
              <x v="23"/>
            </reference>
          </references>
        </pivotArea>
        <pivotArea type="data" collapsedLevelsAreSubtotals="1" fieldPosition="0">
          <references count="2">
            <reference field="4294967294" count="1" selected="0">
              <x v="11"/>
            </reference>
            <reference field="0" count="1">
              <x v="17"/>
            </reference>
          </references>
        </pivotArea>
        <pivotArea type="data" collapsedLevelsAreSubtotals="1" fieldPosition="0">
          <references count="2">
            <reference field="4294967294" count="1" selected="0">
              <x v="11"/>
            </reference>
            <reference field="0" count="1">
              <x v="16"/>
            </reference>
          </references>
        </pivotArea>
        <pivotArea type="data" collapsedLevelsAreSubtotals="1" fieldPosition="0">
          <references count="2">
            <reference field="4294967294" count="1" selected="0">
              <x v="11"/>
            </reference>
            <reference field="0" count="1">
              <x v="11"/>
            </reference>
          </references>
        </pivotArea>
        <pivotArea type="data" collapsedLevelsAreSubtotals="1" fieldPosition="0">
          <references count="2">
            <reference field="4294967294" count="1" selected="0">
              <x v="11"/>
            </reference>
            <reference field="0" count="1">
              <x v="15"/>
            </reference>
          </references>
        </pivotArea>
        <pivotArea type="data" collapsedLevelsAreSubtotals="1" fieldPosition="0">
          <references count="2">
            <reference field="4294967294" count="1" selected="0">
              <x v="11"/>
            </reference>
            <reference field="0" count="1">
              <x v="19"/>
            </reference>
          </references>
        </pivotArea>
        <pivotArea type="data" collapsedLevelsAreSubtotals="1" fieldPosition="0">
          <references count="2">
            <reference field="4294967294" count="1" selected="0">
              <x v="11"/>
            </reference>
            <reference field="0" count="1">
              <x v="21"/>
            </reference>
          </references>
        </pivotArea>
        <pivotArea type="data" collapsedLevelsAreSubtotals="1" fieldPosition="0">
          <references count="2">
            <reference field="4294967294" count="1" selected="0">
              <x v="11"/>
            </reference>
            <reference field="0" count="1">
              <x v="14"/>
            </reference>
          </references>
        </pivotArea>
        <pivotArea type="data" collapsedLevelsAreSubtotals="1" fieldPosition="0">
          <references count="2">
            <reference field="4294967294" count="1" selected="0">
              <x v="11"/>
            </reference>
            <reference field="0" count="1">
              <x v="9"/>
            </reference>
          </references>
        </pivotArea>
        <pivotArea type="data" collapsedLevelsAreSubtotals="1" fieldPosition="0">
          <references count="2">
            <reference field="4294967294" count="1" selected="0">
              <x v="11"/>
            </reference>
            <reference field="0" count="1">
              <x v="22"/>
            </reference>
          </references>
        </pivotArea>
        <pivotArea type="data" collapsedLevelsAreSubtotals="1" fieldPosition="0">
          <references count="2">
            <reference field="4294967294" count="1" selected="0">
              <x v="11"/>
            </reference>
            <reference field="0" count="1">
              <x v="6"/>
            </reference>
          </references>
        </pivotArea>
        <pivotArea type="data" collapsedLevelsAreSubtotals="1" fieldPosition="0">
          <references count="2">
            <reference field="4294967294" count="1" selected="0">
              <x v="11"/>
            </reference>
            <reference field="0" count="1">
              <x v="13"/>
            </reference>
          </references>
        </pivotArea>
        <pivotArea type="data" collapsedLevelsAreSubtotals="1" fieldPosition="0">
          <references count="2">
            <reference field="4294967294" count="1" selected="0">
              <x v="11"/>
            </reference>
            <reference field="0" count="1">
              <x v="18"/>
            </reference>
          </references>
        </pivotArea>
        <pivotArea type="data" collapsedLevelsAreSubtotals="1" fieldPosition="0">
          <references count="2">
            <reference field="4294967294" count="1" selected="0">
              <x v="11"/>
            </reference>
            <reference field="0" count="1">
              <x v="12"/>
            </reference>
          </references>
        </pivotArea>
        <pivotArea type="data" collapsedLevelsAreSubtotals="1" fieldPosition="0">
          <references count="2">
            <reference field="4294967294" count="1" selected="0">
              <x v="11"/>
            </reference>
            <reference field="0" count="1">
              <x v="10"/>
            </reference>
          </references>
        </pivotArea>
        <pivotArea type="data" collapsedLevelsAreSubtotals="1" fieldPosition="0">
          <references count="2">
            <reference field="4294967294" count="1" selected="0">
              <x v="11"/>
            </reference>
            <reference field="0" count="1">
              <x v="3"/>
            </reference>
          </references>
        </pivotArea>
        <pivotArea type="data" collapsedLevelsAreSubtotals="1" fieldPosition="0">
          <references count="2">
            <reference field="4294967294" count="1" selected="0">
              <x v="11"/>
            </reference>
            <reference field="0" count="1">
              <x v="5"/>
            </reference>
          </references>
        </pivotArea>
        <pivotArea type="data" collapsedLevelsAreSubtotals="1" fieldPosition="0">
          <references count="2">
            <reference field="4294967294" count="1" selected="0">
              <x v="11"/>
            </reference>
            <reference field="0" count="1">
              <x v="1"/>
            </reference>
          </references>
        </pivotArea>
      </pivotAreas>
    </conditionalFormat>
    <conditionalFormat priority="1">
      <pivotAreas count="1">
        <pivotArea type="data" collapsedLevelsAreSubtotals="1" fieldPosition="0">
          <references count="2">
            <reference field="4294967294" count="1" selected="0">
              <x v="0"/>
            </reference>
            <reference field="0" count="24">
              <x v="0"/>
              <x v="1"/>
              <x v="2"/>
              <x v="3"/>
              <x v="4"/>
              <x v="5"/>
              <x v="6"/>
              <x v="7"/>
              <x v="8"/>
              <x v="9"/>
              <x v="10"/>
              <x v="11"/>
              <x v="12"/>
              <x v="13"/>
              <x v="14"/>
              <x v="15"/>
              <x v="16"/>
              <x v="17"/>
              <x v="18"/>
              <x v="19"/>
              <x v="20"/>
              <x v="21"/>
              <x v="22"/>
              <x v="23"/>
            </reference>
          </references>
        </pivotArea>
      </pivotAreas>
    </conditionalFormat>
    <conditionalFormat priority="11">
      <pivotAreas count="1">
        <pivotArea type="data" collapsedLevelsAreSubtotals="1" fieldPosition="0">
          <references count="2">
            <reference field="4294967294" count="1" selected="0">
              <x v="10"/>
            </reference>
            <reference field="0" count="24">
              <x v="0"/>
              <x v="1"/>
              <x v="2"/>
              <x v="3"/>
              <x v="4"/>
              <x v="5"/>
              <x v="6"/>
              <x v="7"/>
              <x v="8"/>
              <x v="9"/>
              <x v="10"/>
              <x v="11"/>
              <x v="12"/>
              <x v="13"/>
              <x v="14"/>
              <x v="15"/>
              <x v="16"/>
              <x v="17"/>
              <x v="18"/>
              <x v="19"/>
              <x v="20"/>
              <x v="21"/>
              <x v="22"/>
              <x v="23"/>
            </reference>
          </references>
        </pivotArea>
      </pivotAreas>
    </conditionalFormat>
    <conditionalFormat priority="2">
      <pivotAreas count="1">
        <pivotArea type="data" collapsedLevelsAreSubtotals="1" fieldPosition="0">
          <references count="2">
            <reference field="4294967294" count="1" selected="0">
              <x v="3"/>
            </reference>
            <reference field="0" count="24">
              <x v="0"/>
              <x v="1"/>
              <x v="2"/>
              <x v="3"/>
              <x v="4"/>
              <x v="5"/>
              <x v="6"/>
              <x v="7"/>
              <x v="8"/>
              <x v="9"/>
              <x v="10"/>
              <x v="11"/>
              <x v="12"/>
              <x v="13"/>
              <x v="14"/>
              <x v="15"/>
              <x v="16"/>
              <x v="17"/>
              <x v="18"/>
              <x v="19"/>
              <x v="20"/>
              <x v="21"/>
              <x v="22"/>
              <x v="23"/>
            </reference>
          </references>
        </pivotArea>
      </pivotAreas>
    </conditionalFormat>
    <conditionalFormat priority="4">
      <pivotAreas count="1">
        <pivotArea type="data" collapsedLevelsAreSubtotals="1" fieldPosition="0">
          <references count="2">
            <reference field="4294967294" count="1" selected="0">
              <x v="5"/>
            </reference>
            <reference field="0" count="24">
              <x v="0"/>
              <x v="1"/>
              <x v="2"/>
              <x v="3"/>
              <x v="4"/>
              <x v="5"/>
              <x v="6"/>
              <x v="7"/>
              <x v="8"/>
              <x v="9"/>
              <x v="10"/>
              <x v="11"/>
              <x v="12"/>
              <x v="13"/>
              <x v="14"/>
              <x v="15"/>
              <x v="16"/>
              <x v="17"/>
              <x v="18"/>
              <x v="19"/>
              <x v="20"/>
              <x v="21"/>
              <x v="22"/>
              <x v="23"/>
            </reference>
          </references>
        </pivotArea>
      </pivotAreas>
    </conditionalFormat>
    <conditionalFormat priority="5">
      <pivotAreas count="1">
        <pivotArea type="data" collapsedLevelsAreSubtotals="1" fieldPosition="0">
          <references count="2">
            <reference field="4294967294" count="1" selected="0">
              <x v="6"/>
            </reference>
            <reference field="0" count="24">
              <x v="0"/>
              <x v="1"/>
              <x v="2"/>
              <x v="3"/>
              <x v="4"/>
              <x v="5"/>
              <x v="6"/>
              <x v="7"/>
              <x v="8"/>
              <x v="9"/>
              <x v="10"/>
              <x v="11"/>
              <x v="12"/>
              <x v="13"/>
              <x v="14"/>
              <x v="15"/>
              <x v="16"/>
              <x v="17"/>
              <x v="18"/>
              <x v="19"/>
              <x v="20"/>
              <x v="21"/>
              <x v="22"/>
              <x v="23"/>
            </reference>
          </references>
        </pivotArea>
      </pivotAreas>
    </conditionalFormat>
    <conditionalFormat priority="6">
      <pivotAreas count="1">
        <pivotArea type="data" collapsedLevelsAreSubtotals="1" fieldPosition="0">
          <references count="2">
            <reference field="4294967294" count="1" selected="0">
              <x v="7"/>
            </reference>
            <reference field="0" count="24">
              <x v="0"/>
              <x v="1"/>
              <x v="2"/>
              <x v="3"/>
              <x v="4"/>
              <x v="5"/>
              <x v="6"/>
              <x v="7"/>
              <x v="8"/>
              <x v="9"/>
              <x v="10"/>
              <x v="11"/>
              <x v="12"/>
              <x v="13"/>
              <x v="14"/>
              <x v="15"/>
              <x v="16"/>
              <x v="17"/>
              <x v="18"/>
              <x v="19"/>
              <x v="20"/>
              <x v="21"/>
              <x v="22"/>
              <x v="23"/>
            </reference>
          </references>
        </pivotArea>
      </pivotAreas>
    </conditionalFormat>
    <conditionalFormat priority="3">
      <pivotAreas count="1">
        <pivotArea type="data" collapsedLevelsAreSubtotals="1" fieldPosition="0">
          <references count="2">
            <reference field="4294967294" count="1" selected="0">
              <x v="4"/>
            </reference>
            <reference field="0" count="24">
              <x v="0"/>
              <x v="1"/>
              <x v="2"/>
              <x v="3"/>
              <x v="4"/>
              <x v="5"/>
              <x v="6"/>
              <x v="7"/>
              <x v="8"/>
              <x v="9"/>
              <x v="10"/>
              <x v="11"/>
              <x v="12"/>
              <x v="13"/>
              <x v="14"/>
              <x v="15"/>
              <x v="16"/>
              <x v="17"/>
              <x v="18"/>
              <x v="19"/>
              <x v="20"/>
              <x v="21"/>
              <x v="22"/>
              <x v="23"/>
            </reference>
          </references>
        </pivotArea>
      </pivotAreas>
    </conditionalFormat>
    <conditionalFormat priority="7">
      <pivotAreas count="1">
        <pivotArea type="data" collapsedLevelsAreSubtotals="1" fieldPosition="0">
          <references count="2">
            <reference field="4294967294" count="1" selected="0">
              <x v="8"/>
            </reference>
            <reference field="0" count="24">
              <x v="0"/>
              <x v="1"/>
              <x v="2"/>
              <x v="3"/>
              <x v="4"/>
              <x v="5"/>
              <x v="6"/>
              <x v="7"/>
              <x v="8"/>
              <x v="9"/>
              <x v="10"/>
              <x v="11"/>
              <x v="12"/>
              <x v="13"/>
              <x v="14"/>
              <x v="15"/>
              <x v="16"/>
              <x v="17"/>
              <x v="18"/>
              <x v="19"/>
              <x v="20"/>
              <x v="21"/>
              <x v="22"/>
              <x v="23"/>
            </reference>
          </references>
        </pivotArea>
      </pivotAreas>
    </conditionalFormat>
    <conditionalFormat priority="10">
      <pivotAreas count="1">
        <pivotArea type="data" collapsedLevelsAreSubtotals="1" fieldPosition="0">
          <references count="2">
            <reference field="4294967294" count="1" selected="0">
              <x v="9"/>
            </reference>
            <reference field="0" count="24">
              <x v="0"/>
              <x v="1"/>
              <x v="2"/>
              <x v="3"/>
              <x v="4"/>
              <x v="5"/>
              <x v="6"/>
              <x v="7"/>
              <x v="8"/>
              <x v="9"/>
              <x v="10"/>
              <x v="11"/>
              <x v="12"/>
              <x v="13"/>
              <x v="14"/>
              <x v="15"/>
              <x v="16"/>
              <x v="17"/>
              <x v="18"/>
              <x v="19"/>
              <x v="20"/>
              <x v="21"/>
              <x v="22"/>
              <x v="23"/>
            </reference>
          </references>
        </pivotArea>
      </pivotAreas>
    </conditionalFormat>
  </conditionalFormats>
  <pivotTableStyleInfo name="PivotStyleLight16"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228F55-53F4-40DF-91E3-CA74F322715A}" name="PivotByAcct" cacheId="0" applyNumberFormats="0" applyBorderFormats="0" applyFontFormats="0" applyPatternFormats="0" applyAlignmentFormats="0" applyWidthHeightFormats="1" dataCaption="Values" grandTotalCaption="Totals" updatedVersion="8" minRefreshableVersion="3" useAutoFormatting="1" itemPrintTitles="1" createdVersion="8" indent="0" outline="1" outlineData="1" multipleFieldFilters="0" rowHeaderCaption="Account ">
  <location ref="A1:K113" firstHeaderRow="0" firstDataRow="1" firstDataCol="1"/>
  <pivotFields count="49">
    <pivotField name="Department Name *" axis="axisRow" showAll="0" sortType="descending" defaultSubtotal="0">
      <items count="24">
        <item x="23"/>
        <item x="22"/>
        <item x="21"/>
        <item x="20"/>
        <item x="19"/>
        <item x="18"/>
        <item x="17"/>
        <item x="16"/>
        <item x="15"/>
        <item x="14"/>
        <item x="13"/>
        <item x="12"/>
        <item x="11"/>
        <item x="10"/>
        <item x="9"/>
        <item x="8"/>
        <item x="7"/>
        <item x="6"/>
        <item x="5"/>
        <item x="4"/>
        <item x="3"/>
        <item x="2"/>
        <item x="1"/>
        <item x="0"/>
      </items>
      <autoSortScope>
        <pivotArea dataOnly="0" outline="0" fieldPosition="0">
          <references count="1">
            <reference field="4294967294" count="1" selected="0">
              <x v="4"/>
            </reference>
          </references>
        </pivotArea>
      </autoSortScope>
    </pivotField>
    <pivotField showAll="0"/>
    <pivotField showAll="0"/>
    <pivotField showAll="0"/>
    <pivotField showAll="0"/>
    <pivotField showAll="0"/>
    <pivotField showAll="0" sortType="descending">
      <autoSortScope>
        <pivotArea dataOnly="0" outline="0" fieldPosition="0">
          <references count="1">
            <reference field="4294967294" count="1" selected="0">
              <x v="2"/>
            </reference>
          </references>
        </pivotArea>
      </autoSortScope>
    </pivotField>
    <pivotField showAll="0"/>
    <pivotField showAll="0"/>
    <pivotField showAll="0"/>
    <pivotField showAll="0"/>
    <pivotField showAll="0"/>
    <pivotField showAll="0"/>
    <pivotField dataField="1" showAll="0"/>
    <pivotField showAll="0"/>
    <pivotField showAll="0"/>
    <pivotField dataField="1" showAll="0"/>
    <pivotField dataField="1"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08">
        <item sd="0" x="10"/>
        <item sd="0" x="11"/>
        <item sd="0" x="0"/>
        <item sd="0" x="12"/>
        <item sd="0" x="76"/>
        <item sd="0" x="55"/>
        <item sd="0" x="56"/>
        <item sd="0" x="72"/>
        <item sd="0" x="60"/>
        <item sd="0" x="20"/>
        <item sd="0" x="61"/>
        <item sd="0" x="13"/>
        <item sd="0" x="24"/>
        <item sd="0" x="1"/>
        <item sd="0" x="2"/>
        <item sd="0" x="14"/>
        <item sd="0" x="21"/>
        <item sd="0" x="30"/>
        <item sd="0" x="77"/>
        <item sd="0" x="51"/>
        <item sd="0" x="3"/>
        <item sd="0" x="57"/>
        <item sd="0" x="27"/>
        <item sd="0" x="78"/>
        <item sd="0" x="36"/>
        <item sd="0" x="23"/>
        <item sd="0" x="58"/>
        <item sd="0" x="7"/>
        <item sd="0" x="22"/>
        <item sd="0" x="62"/>
        <item sd="0" x="33"/>
        <item sd="0" x="79"/>
        <item sd="0" x="89"/>
        <item sd="0" x="90"/>
        <item sd="0" x="28"/>
        <item sd="0" x="34"/>
        <item sd="0" x="59"/>
        <item sd="0" x="95"/>
        <item sd="0" x="37"/>
        <item sd="0" x="29"/>
        <item sd="0" x="80"/>
        <item sd="0" x="38"/>
        <item sd="0" x="39"/>
        <item sd="0" x="40"/>
        <item sd="0" x="81"/>
        <item sd="0" x="82"/>
        <item sd="0" x="35"/>
        <item sd="0" x="83"/>
        <item sd="0" x="84"/>
        <item sd="0" x="25"/>
        <item sd="0" x="31"/>
        <item sd="0" x="41"/>
        <item sd="0" x="52"/>
        <item sd="0" x="53"/>
        <item sd="0" x="69"/>
        <item sd="0" x="68"/>
        <item sd="0" x="4"/>
        <item sd="0" x="15"/>
        <item sd="0" x="100"/>
        <item sd="0" x="5"/>
        <item sd="0" x="6"/>
        <item sd="0" x="75"/>
        <item sd="0" x="8"/>
        <item sd="0" x="63"/>
        <item sd="0" x="65"/>
        <item sd="0" x="66"/>
        <item sd="0" x="73"/>
        <item sd="0" x="74"/>
        <item sd="0" x="16"/>
        <item sd="0" x="17"/>
        <item sd="0" x="32"/>
        <item sd="0" x="70"/>
        <item sd="0" x="42"/>
        <item sd="0" x="106"/>
        <item sd="0" x="43"/>
        <item sd="0" x="18"/>
        <item sd="0" x="101"/>
        <item sd="0" x="9"/>
        <item sd="0" x="54"/>
        <item sd="0" x="92"/>
        <item sd="0" x="93"/>
        <item sd="0" x="85"/>
        <item sd="0" x="86"/>
        <item sd="0" x="87"/>
        <item sd="0" x="88"/>
        <item sd="0" x="94"/>
        <item sd="0" x="26"/>
        <item sd="0" x="97"/>
        <item sd="0" x="67"/>
        <item sd="0" x="19"/>
        <item sd="0" x="64"/>
        <item sd="0" x="105"/>
        <item sd="0" x="98"/>
        <item sd="0" x="102"/>
        <item sd="0" x="99"/>
        <item x="96"/>
        <item sd="0" x="103"/>
        <item sd="0" x="91"/>
        <item sd="0" x="46"/>
        <item sd="0" x="47"/>
        <item sd="0" x="48"/>
        <item sd="0" x="49"/>
        <item sd="0" x="50"/>
        <item sd="0" x="44"/>
        <item sd="0" x="45"/>
        <item sd="0" x="104"/>
        <item sd="0" x="71"/>
        <item t="default" sd="0"/>
      </items>
      <autoSortScope>
        <pivotArea dataOnly="0" outline="0" fieldPosition="0">
          <references count="1">
            <reference field="4294967294" count="1" selected="0">
              <x v="4"/>
            </reference>
          </references>
        </pivotArea>
      </autoSortScope>
    </pivotField>
    <pivotField numFmtId="10" showAll="0"/>
    <pivotField numFmtId="10" showAll="0"/>
    <pivotField showAll="0"/>
    <pivotField dataField="1" showAll="0">
      <items count="95">
        <item x="21"/>
        <item x="62"/>
        <item x="60"/>
        <item x="30"/>
        <item x="83"/>
        <item x="58"/>
        <item x="44"/>
        <item x="89"/>
        <item x="61"/>
        <item x="48"/>
        <item x="73"/>
        <item x="86"/>
        <item x="22"/>
        <item x="39"/>
        <item x="29"/>
        <item x="51"/>
        <item x="25"/>
        <item x="2"/>
        <item x="67"/>
        <item x="70"/>
        <item x="10"/>
        <item x="41"/>
        <item x="93"/>
        <item x="68"/>
        <item x="45"/>
        <item x="37"/>
        <item x="11"/>
        <item x="55"/>
        <item x="17"/>
        <item x="13"/>
        <item x="69"/>
        <item x="24"/>
        <item x="76"/>
        <item x="23"/>
        <item x="59"/>
        <item x="7"/>
        <item x="43"/>
        <item x="36"/>
        <item x="27"/>
        <item x="75"/>
        <item x="87"/>
        <item x="6"/>
        <item x="40"/>
        <item x="26"/>
        <item x="56"/>
        <item x="47"/>
        <item x="32"/>
        <item x="92"/>
        <item x="81"/>
        <item x="54"/>
        <item x="31"/>
        <item x="82"/>
        <item x="66"/>
        <item x="34"/>
        <item x="79"/>
        <item x="14"/>
        <item x="74"/>
        <item x="28"/>
        <item x="4"/>
        <item x="35"/>
        <item x="33"/>
        <item x="3"/>
        <item x="42"/>
        <item x="5"/>
        <item x="78"/>
        <item x="88"/>
        <item x="91"/>
        <item x="85"/>
        <item x="18"/>
        <item x="71"/>
        <item x="80"/>
        <item x="72"/>
        <item x="15"/>
        <item x="90"/>
        <item x="46"/>
        <item x="65"/>
        <item x="50"/>
        <item x="1"/>
        <item x="49"/>
        <item x="52"/>
        <item x="53"/>
        <item x="20"/>
        <item x="16"/>
        <item x="57"/>
        <item x="77"/>
        <item x="19"/>
        <item x="84"/>
        <item x="64"/>
        <item x="38"/>
        <item x="63"/>
        <item x="12"/>
        <item x="8"/>
        <item x="9"/>
        <item x="0"/>
        <item t="default"/>
      </items>
    </pivotField>
    <pivotField numFmtId="10" showAll="0"/>
    <pivotField showAll="0"/>
    <pivotField dataField="1" showAll="0">
      <items count="88">
        <item x="18"/>
        <item x="55"/>
        <item x="54"/>
        <item x="29"/>
        <item x="21"/>
        <item x="76"/>
        <item x="52"/>
        <item x="12"/>
        <item x="36"/>
        <item x="42"/>
        <item x="82"/>
        <item x="45"/>
        <item x="67"/>
        <item x="79"/>
        <item x="19"/>
        <item x="43"/>
        <item x="28"/>
        <item x="47"/>
        <item x="53"/>
        <item x="62"/>
        <item x="61"/>
        <item x="38"/>
        <item x="3"/>
        <item x="40"/>
        <item x="9"/>
        <item x="86"/>
        <item x="34"/>
        <item x="25"/>
        <item x="10"/>
        <item x="49"/>
        <item x="41"/>
        <item x="11"/>
        <item x="63"/>
        <item x="20"/>
        <item x="68"/>
        <item x="33"/>
        <item x="8"/>
        <item x="24"/>
        <item x="7"/>
        <item x="44"/>
        <item x="80"/>
        <item x="22"/>
        <item x="73"/>
        <item x="50"/>
        <item x="39"/>
        <item x="69"/>
        <item x="85"/>
        <item x="23"/>
        <item x="14"/>
        <item x="48"/>
        <item x="66"/>
        <item x="30"/>
        <item x="70"/>
        <item x="35"/>
        <item x="65"/>
        <item x="60"/>
        <item x="72"/>
        <item x="74"/>
        <item x="5"/>
        <item x="4"/>
        <item x="32"/>
        <item x="16"/>
        <item x="6"/>
        <item x="26"/>
        <item x="84"/>
        <item x="64"/>
        <item x="75"/>
        <item x="59"/>
        <item x="81"/>
        <item x="13"/>
        <item x="83"/>
        <item x="37"/>
        <item x="46"/>
        <item x="15"/>
        <item x="1"/>
        <item x="31"/>
        <item x="78"/>
        <item x="2"/>
        <item x="17"/>
        <item x="51"/>
        <item x="71"/>
        <item x="57"/>
        <item x="77"/>
        <item x="27"/>
        <item x="58"/>
        <item x="56"/>
        <item x="0"/>
        <item t="default"/>
      </items>
    </pivotField>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38"/>
    <field x="0"/>
  </rowFields>
  <rowItems count="112">
    <i>
      <x v="56"/>
    </i>
    <i>
      <x v="60"/>
    </i>
    <i>
      <x v="25"/>
    </i>
    <i>
      <x v="28"/>
    </i>
    <i>
      <x v="86"/>
    </i>
    <i>
      <x v="102"/>
    </i>
    <i>
      <x v="40"/>
    </i>
    <i>
      <x v="51"/>
    </i>
    <i>
      <x v="75"/>
    </i>
    <i>
      <x v="54"/>
    </i>
    <i>
      <x v="24"/>
    </i>
    <i>
      <x v="77"/>
    </i>
    <i>
      <x v="104"/>
    </i>
    <i>
      <x v="52"/>
    </i>
    <i>
      <x v="33"/>
    </i>
    <i>
      <x v="27"/>
    </i>
    <i>
      <x v="59"/>
    </i>
    <i>
      <x v="11"/>
    </i>
    <i>
      <x v="73"/>
    </i>
    <i>
      <x v="74"/>
    </i>
    <i>
      <x v="5"/>
    </i>
    <i>
      <x v="61"/>
    </i>
    <i>
      <x v="17"/>
    </i>
    <i>
      <x v="62"/>
    </i>
    <i>
      <x v="43"/>
    </i>
    <i>
      <x v="13"/>
    </i>
    <i>
      <x v="68"/>
    </i>
    <i>
      <x v="2"/>
    </i>
    <i>
      <x v="57"/>
    </i>
    <i>
      <x v="19"/>
    </i>
    <i>
      <x v="71"/>
    </i>
    <i>
      <x v="32"/>
    </i>
    <i>
      <x v="6"/>
    </i>
    <i>
      <x v="38"/>
    </i>
    <i>
      <x v="35"/>
    </i>
    <i>
      <x v="9"/>
    </i>
    <i>
      <x/>
    </i>
    <i>
      <x v="12"/>
    </i>
    <i>
      <x v="14"/>
    </i>
    <i>
      <x v="15"/>
    </i>
    <i>
      <x v="1"/>
    </i>
    <i>
      <x v="8"/>
    </i>
    <i>
      <x v="91"/>
    </i>
    <i>
      <x v="44"/>
    </i>
    <i>
      <x v="7"/>
    </i>
    <i>
      <x v="49"/>
    </i>
    <i>
      <x v="89"/>
    </i>
    <i>
      <x v="3"/>
    </i>
    <i>
      <x v="41"/>
    </i>
    <i>
      <x v="69"/>
    </i>
    <i>
      <x v="42"/>
    </i>
    <i>
      <x v="83"/>
    </i>
    <i>
      <x v="70"/>
    </i>
    <i>
      <x v="84"/>
    </i>
    <i>
      <x v="100"/>
    </i>
    <i>
      <x v="85"/>
    </i>
    <i>
      <x v="80"/>
    </i>
    <i>
      <x v="36"/>
    </i>
    <i>
      <x v="96"/>
    </i>
    <i>
      <x v="26"/>
    </i>
    <i>
      <x v="47"/>
    </i>
    <i>
      <x v="63"/>
    </i>
    <i>
      <x v="82"/>
    </i>
    <i>
      <x v="64"/>
    </i>
    <i>
      <x v="22"/>
    </i>
    <i>
      <x v="65"/>
    </i>
    <i>
      <x v="98"/>
    </i>
    <i>
      <x v="66"/>
    </i>
    <i>
      <x v="23"/>
    </i>
    <i>
      <x v="67"/>
    </i>
    <i>
      <x v="79"/>
    </i>
    <i>
      <x v="39"/>
    </i>
    <i>
      <x v="81"/>
    </i>
    <i>
      <x v="31"/>
    </i>
    <i>
      <x v="16"/>
    </i>
    <i>
      <x v="58"/>
    </i>
    <i>
      <x v="45"/>
    </i>
    <i>
      <x v="18"/>
    </i>
    <i>
      <x v="106"/>
    </i>
    <i>
      <x v="90"/>
    </i>
    <i>
      <x v="48"/>
    </i>
    <i>
      <x v="93"/>
    </i>
    <i>
      <x v="103"/>
    </i>
    <i>
      <x v="97"/>
    </i>
    <i>
      <x v="10"/>
    </i>
    <i>
      <x v="99"/>
    </i>
    <i>
      <x v="29"/>
    </i>
    <i>
      <x v="101"/>
    </i>
    <i>
      <x v="21"/>
    </i>
    <i>
      <x v="76"/>
    </i>
    <i>
      <x v="46"/>
    </i>
    <i>
      <x v="72"/>
    </i>
    <i>
      <x v="4"/>
    </i>
    <i>
      <x v="53"/>
    </i>
    <i>
      <x v="55"/>
    </i>
    <i>
      <x v="20"/>
    </i>
    <i>
      <x v="88"/>
    </i>
    <i>
      <x v="78"/>
    </i>
    <i>
      <x v="50"/>
    </i>
    <i>
      <x v="87"/>
    </i>
    <i>
      <x v="34"/>
    </i>
    <i>
      <x v="95"/>
    </i>
    <i r="1">
      <x v="1"/>
    </i>
    <i r="1">
      <x v="2"/>
    </i>
    <i r="1">
      <x v="4"/>
    </i>
    <i r="1">
      <x v="3"/>
    </i>
    <i>
      <x v="105"/>
    </i>
    <i>
      <x v="30"/>
    </i>
    <i>
      <x v="94"/>
    </i>
    <i>
      <x v="37"/>
    </i>
    <i>
      <x v="92"/>
    </i>
    <i t="grand">
      <x/>
    </i>
  </rowItems>
  <colFields count="1">
    <field x="-2"/>
  </colFields>
  <colItems count="10">
    <i>
      <x/>
    </i>
    <i i="1">
      <x v="1"/>
    </i>
    <i i="2">
      <x v="2"/>
    </i>
    <i i="3">
      <x v="3"/>
    </i>
    <i i="4">
      <x v="4"/>
    </i>
    <i i="5">
      <x v="5"/>
    </i>
    <i i="6">
      <x v="6"/>
    </i>
    <i i="7">
      <x v="7"/>
    </i>
    <i i="8">
      <x v="8"/>
    </i>
    <i i="9">
      <x v="9"/>
    </i>
  </colItems>
  <dataFields count="10">
    <dataField name="FY26 Budget " fld="13" baseField="0" baseItem="0"/>
    <dataField name="FY27 Default Budget " fld="17" baseField="0" baseItem="0" numFmtId="165"/>
    <dataField name="FY27 TCPB " fld="16" baseField="0" baseItem="0" numFmtId="5"/>
    <dataField name="FY27 TCPB $ o/(u) FY26 Budget " fld="18" baseField="0" baseItem="0" numFmtId="164"/>
    <dataField name="FY27 TCPB % o/-u FY26 Budget " fld="46" baseField="0" baseItem="0" numFmtId="166"/>
    <dataField name="FY27 TCPB $ o/(u) Default " fld="19" baseField="0" baseItem="0" numFmtId="164"/>
    <dataField name="FY27 TCPB % o/-u Default " fld="47" baseField="0" baseItem="2" numFmtId="166"/>
    <dataField name="FY27 TCPB % o/-u FY23 Budget " fld="48" baseField="38" baseItem="0" numFmtId="166"/>
    <dataField name="FY27 TCPB CHANGE if FY26 adj by 3YAVG" fld="42" baseField="38" baseItem="56"/>
    <dataField name="FY27 TCPB CHANGE if FY26 adj by CPIAVG" fld="45" baseField="38" baseItem="56"/>
  </dataFields>
  <formats count="20">
    <format dxfId="37">
      <pivotArea dataOnly="0" labelOnly="1" outline="0" axis="axisValues" fieldPosition="0"/>
    </format>
    <format dxfId="36">
      <pivotArea outline="0" collapsedLevelsAreSubtotals="1" fieldPosition="0">
        <references count="1">
          <reference field="4294967294" count="1" selected="0">
            <x v="1"/>
          </reference>
        </references>
      </pivotArea>
    </format>
    <format dxfId="35">
      <pivotArea outline="0" collapsedLevelsAreSubtotals="1" fieldPosition="0"/>
    </format>
    <format dxfId="34">
      <pivotArea dataOnly="0" labelOnly="1" outline="0" fieldPosition="0">
        <references count="1">
          <reference field="4294967294" count="4">
            <x v="1"/>
            <x v="2"/>
            <x v="3"/>
            <x v="5"/>
          </reference>
        </references>
      </pivotArea>
    </format>
    <format dxfId="33">
      <pivotArea outline="0" collapsedLevelsAreSubtotals="1" fieldPosition="0">
        <references count="1">
          <reference field="4294967294" count="1" selected="0">
            <x v="4"/>
          </reference>
        </references>
      </pivotArea>
    </format>
    <format dxfId="32">
      <pivotArea dataOnly="0" labelOnly="1" outline="0" fieldPosition="0">
        <references count="1">
          <reference field="4294967294" count="1">
            <x v="4"/>
          </reference>
        </references>
      </pivotArea>
    </format>
    <format dxfId="31">
      <pivotArea outline="0" collapsedLevelsAreSubtotals="1" fieldPosition="0">
        <references count="1">
          <reference field="4294967294" count="1" selected="0">
            <x v="6"/>
          </reference>
        </references>
      </pivotArea>
    </format>
    <format dxfId="30">
      <pivotArea dataOnly="0" labelOnly="1" outline="0" fieldPosition="0">
        <references count="1">
          <reference field="4294967294" count="1">
            <x v="6"/>
          </reference>
        </references>
      </pivotArea>
    </format>
    <format dxfId="29">
      <pivotArea field="0" type="button" dataOnly="0" labelOnly="1" outline="0" axis="axisRow" fieldPosition="1"/>
    </format>
    <format dxfId="28">
      <pivotArea dataOnly="0" labelOnly="1" outline="0" fieldPosition="0">
        <references count="1">
          <reference field="4294967294" count="7">
            <x v="0"/>
            <x v="1"/>
            <x v="2"/>
            <x v="3"/>
            <x v="4"/>
            <x v="5"/>
            <x v="6"/>
          </reference>
        </references>
      </pivotArea>
    </format>
    <format dxfId="27">
      <pivotArea field="0" type="button" dataOnly="0" labelOnly="1" outline="0" axis="axisRow" fieldPosition="1"/>
    </format>
    <format dxfId="26">
      <pivotArea dataOnly="0" labelOnly="1" outline="0" fieldPosition="0">
        <references count="1">
          <reference field="4294967294" count="7">
            <x v="0"/>
            <x v="1"/>
            <x v="2"/>
            <x v="3"/>
            <x v="4"/>
            <x v="5"/>
            <x v="6"/>
          </reference>
        </references>
      </pivotArea>
    </format>
    <format dxfId="25">
      <pivotArea outline="0" collapsedLevelsAreSubtotals="1" fieldPosition="0">
        <references count="1">
          <reference field="4294967294" count="1" selected="0">
            <x v="7"/>
          </reference>
        </references>
      </pivotArea>
    </format>
    <format dxfId="24">
      <pivotArea dataOnly="0" labelOnly="1" outline="0" fieldPosition="0">
        <references count="1">
          <reference field="4294967294" count="1">
            <x v="7"/>
          </reference>
        </references>
      </pivotArea>
    </format>
    <format dxfId="23">
      <pivotArea field="38" type="button" dataOnly="0" labelOnly="1" outline="0" axis="axisRow" fieldPosition="0"/>
    </format>
    <format dxfId="22">
      <pivotArea dataOnly="0" labelOnly="1" outline="0" fieldPosition="0">
        <references count="1">
          <reference field="4294967294" count="8">
            <x v="0"/>
            <x v="1"/>
            <x v="2"/>
            <x v="3"/>
            <x v="4"/>
            <x v="5"/>
            <x v="6"/>
            <x v="7"/>
          </reference>
        </references>
      </pivotArea>
    </format>
    <format dxfId="21">
      <pivotArea field="38" type="button" dataOnly="0" labelOnly="1" outline="0" axis="axisRow" fieldPosition="0"/>
    </format>
    <format dxfId="20">
      <pivotArea dataOnly="0" labelOnly="1" outline="0" fieldPosition="0">
        <references count="1">
          <reference field="4294967294" count="8">
            <x v="0"/>
            <x v="1"/>
            <x v="2"/>
            <x v="3"/>
            <x v="4"/>
            <x v="5"/>
            <x v="6"/>
            <x v="7"/>
          </reference>
        </references>
      </pivotArea>
    </format>
    <format dxfId="19">
      <pivotArea dataOnly="0" labelOnly="1" outline="0" fieldPosition="0">
        <references count="1">
          <reference field="4294967294" count="2">
            <x v="8"/>
            <x v="9"/>
          </reference>
        </references>
      </pivotArea>
    </format>
    <format dxfId="18">
      <pivotArea dataOnly="0" labelOnly="1" outline="0" fieldPosition="0">
        <references count="1">
          <reference field="4294967294" count="2">
            <x v="8"/>
            <x v="9"/>
          </reference>
        </references>
      </pivotArea>
    </format>
  </formats>
  <conditionalFormats count="10">
    <conditionalFormat priority="7">
      <pivotAreas count="108">
        <pivotArea type="data" collapsedLevelsAreSubtotals="1" fieldPosition="0">
          <references count="2">
            <reference field="4294967294" count="1" selected="0">
              <x v="6"/>
            </reference>
            <reference field="38" count="1">
              <x v="56"/>
            </reference>
          </references>
        </pivotArea>
        <pivotArea type="data" collapsedLevelsAreSubtotals="1" fieldPosition="0">
          <references count="2">
            <reference field="4294967294" count="1" selected="0">
              <x v="6"/>
            </reference>
            <reference field="38" count="1">
              <x v="60"/>
            </reference>
          </references>
        </pivotArea>
        <pivotArea type="data" collapsedLevelsAreSubtotals="1" fieldPosition="0">
          <references count="2">
            <reference field="4294967294" count="1" selected="0">
              <x v="6"/>
            </reference>
            <reference field="38" count="1">
              <x v="25"/>
            </reference>
          </references>
        </pivotArea>
        <pivotArea type="data" collapsedLevelsAreSubtotals="1" fieldPosition="0">
          <references count="2">
            <reference field="4294967294" count="1" selected="0">
              <x v="6"/>
            </reference>
            <reference field="38" count="1">
              <x v="28"/>
            </reference>
          </references>
        </pivotArea>
        <pivotArea type="data" collapsedLevelsAreSubtotals="1" fieldPosition="0">
          <references count="2">
            <reference field="4294967294" count="1" selected="0">
              <x v="6"/>
            </reference>
            <reference field="38" count="1">
              <x v="86"/>
            </reference>
          </references>
        </pivotArea>
        <pivotArea type="data" collapsedLevelsAreSubtotals="1" fieldPosition="0">
          <references count="2">
            <reference field="4294967294" count="1" selected="0">
              <x v="6"/>
            </reference>
            <reference field="38" count="1">
              <x v="102"/>
            </reference>
          </references>
        </pivotArea>
        <pivotArea type="data" collapsedLevelsAreSubtotals="1" fieldPosition="0">
          <references count="2">
            <reference field="4294967294" count="1" selected="0">
              <x v="6"/>
            </reference>
            <reference field="38" count="1">
              <x v="40"/>
            </reference>
          </references>
        </pivotArea>
        <pivotArea type="data" collapsedLevelsAreSubtotals="1" fieldPosition="0">
          <references count="2">
            <reference field="4294967294" count="1" selected="0">
              <x v="6"/>
            </reference>
            <reference field="38" count="1">
              <x v="51"/>
            </reference>
          </references>
        </pivotArea>
        <pivotArea type="data" collapsedLevelsAreSubtotals="1" fieldPosition="0">
          <references count="2">
            <reference field="4294967294" count="1" selected="0">
              <x v="6"/>
            </reference>
            <reference field="38" count="1">
              <x v="75"/>
            </reference>
          </references>
        </pivotArea>
        <pivotArea type="data" collapsedLevelsAreSubtotals="1" fieldPosition="0">
          <references count="2">
            <reference field="4294967294" count="1" selected="0">
              <x v="6"/>
            </reference>
            <reference field="38" count="1">
              <x v="54"/>
            </reference>
          </references>
        </pivotArea>
        <pivotArea type="data" collapsedLevelsAreSubtotals="1" fieldPosition="0">
          <references count="2">
            <reference field="4294967294" count="1" selected="0">
              <x v="6"/>
            </reference>
            <reference field="38" count="1">
              <x v="24"/>
            </reference>
          </references>
        </pivotArea>
        <pivotArea type="data" collapsedLevelsAreSubtotals="1" fieldPosition="0">
          <references count="2">
            <reference field="4294967294" count="1" selected="0">
              <x v="6"/>
            </reference>
            <reference field="38" count="1">
              <x v="77"/>
            </reference>
          </references>
        </pivotArea>
        <pivotArea type="data" collapsedLevelsAreSubtotals="1" fieldPosition="0">
          <references count="2">
            <reference field="4294967294" count="1" selected="0">
              <x v="6"/>
            </reference>
            <reference field="38" count="1">
              <x v="104"/>
            </reference>
          </references>
        </pivotArea>
        <pivotArea type="data" collapsedLevelsAreSubtotals="1" fieldPosition="0">
          <references count="2">
            <reference field="4294967294" count="1" selected="0">
              <x v="6"/>
            </reference>
            <reference field="38" count="1">
              <x v="52"/>
            </reference>
          </references>
        </pivotArea>
        <pivotArea type="data" collapsedLevelsAreSubtotals="1" fieldPosition="0">
          <references count="2">
            <reference field="4294967294" count="1" selected="0">
              <x v="6"/>
            </reference>
            <reference field="38" count="1">
              <x v="33"/>
            </reference>
          </references>
        </pivotArea>
        <pivotArea type="data" collapsedLevelsAreSubtotals="1" fieldPosition="0">
          <references count="2">
            <reference field="4294967294" count="1" selected="0">
              <x v="6"/>
            </reference>
            <reference field="38" count="1">
              <x v="27"/>
            </reference>
          </references>
        </pivotArea>
        <pivotArea type="data" collapsedLevelsAreSubtotals="1" fieldPosition="0">
          <references count="2">
            <reference field="4294967294" count="1" selected="0">
              <x v="6"/>
            </reference>
            <reference field="38" count="1">
              <x v="59"/>
            </reference>
          </references>
        </pivotArea>
        <pivotArea type="data" collapsedLevelsAreSubtotals="1" fieldPosition="0">
          <references count="2">
            <reference field="4294967294" count="1" selected="0">
              <x v="6"/>
            </reference>
            <reference field="38" count="1">
              <x v="11"/>
            </reference>
          </references>
        </pivotArea>
        <pivotArea type="data" collapsedLevelsAreSubtotals="1" fieldPosition="0">
          <references count="2">
            <reference field="4294967294" count="1" selected="0">
              <x v="6"/>
            </reference>
            <reference field="38" count="1">
              <x v="73"/>
            </reference>
          </references>
        </pivotArea>
        <pivotArea type="data" collapsedLevelsAreSubtotals="1" fieldPosition="0">
          <references count="2">
            <reference field="4294967294" count="1" selected="0">
              <x v="6"/>
            </reference>
            <reference field="38" count="1">
              <x v="74"/>
            </reference>
          </references>
        </pivotArea>
        <pivotArea type="data" collapsedLevelsAreSubtotals="1" fieldPosition="0">
          <references count="2">
            <reference field="4294967294" count="1" selected="0">
              <x v="6"/>
            </reference>
            <reference field="38" count="1">
              <x v="5"/>
            </reference>
          </references>
        </pivotArea>
        <pivotArea type="data" collapsedLevelsAreSubtotals="1" fieldPosition="0">
          <references count="2">
            <reference field="4294967294" count="1" selected="0">
              <x v="6"/>
            </reference>
            <reference field="38" count="1">
              <x v="61"/>
            </reference>
          </references>
        </pivotArea>
        <pivotArea type="data" collapsedLevelsAreSubtotals="1" fieldPosition="0">
          <references count="2">
            <reference field="4294967294" count="1" selected="0">
              <x v="6"/>
            </reference>
            <reference field="38" count="1">
              <x v="17"/>
            </reference>
          </references>
        </pivotArea>
        <pivotArea type="data" collapsedLevelsAreSubtotals="1" fieldPosition="0">
          <references count="2">
            <reference field="4294967294" count="1" selected="0">
              <x v="6"/>
            </reference>
            <reference field="38" count="1">
              <x v="62"/>
            </reference>
          </references>
        </pivotArea>
        <pivotArea type="data" collapsedLevelsAreSubtotals="1" fieldPosition="0">
          <references count="2">
            <reference field="4294967294" count="1" selected="0">
              <x v="6"/>
            </reference>
            <reference field="38" count="1">
              <x v="43"/>
            </reference>
          </references>
        </pivotArea>
        <pivotArea type="data" collapsedLevelsAreSubtotals="1" fieldPosition="0">
          <references count="2">
            <reference field="4294967294" count="1" selected="0">
              <x v="6"/>
            </reference>
            <reference field="38" count="1">
              <x v="13"/>
            </reference>
          </references>
        </pivotArea>
        <pivotArea type="data" collapsedLevelsAreSubtotals="1" fieldPosition="0">
          <references count="2">
            <reference field="4294967294" count="1" selected="0">
              <x v="6"/>
            </reference>
            <reference field="38" count="1">
              <x v="68"/>
            </reference>
          </references>
        </pivotArea>
        <pivotArea type="data" collapsedLevelsAreSubtotals="1" fieldPosition="0">
          <references count="2">
            <reference field="4294967294" count="1" selected="0">
              <x v="6"/>
            </reference>
            <reference field="38" count="1">
              <x v="2"/>
            </reference>
          </references>
        </pivotArea>
        <pivotArea type="data" collapsedLevelsAreSubtotals="1" fieldPosition="0">
          <references count="2">
            <reference field="4294967294" count="1" selected="0">
              <x v="6"/>
            </reference>
            <reference field="38" count="1">
              <x v="57"/>
            </reference>
          </references>
        </pivotArea>
        <pivotArea type="data" collapsedLevelsAreSubtotals="1" fieldPosition="0">
          <references count="2">
            <reference field="4294967294" count="1" selected="0">
              <x v="6"/>
            </reference>
            <reference field="38" count="1">
              <x v="19"/>
            </reference>
          </references>
        </pivotArea>
        <pivotArea type="data" collapsedLevelsAreSubtotals="1" fieldPosition="0">
          <references count="2">
            <reference field="4294967294" count="1" selected="0">
              <x v="6"/>
            </reference>
            <reference field="38" count="1">
              <x v="71"/>
            </reference>
          </references>
        </pivotArea>
        <pivotArea type="data" collapsedLevelsAreSubtotals="1" fieldPosition="0">
          <references count="2">
            <reference field="4294967294" count="1" selected="0">
              <x v="6"/>
            </reference>
            <reference field="38" count="1">
              <x v="32"/>
            </reference>
          </references>
        </pivotArea>
        <pivotArea type="data" collapsedLevelsAreSubtotals="1" fieldPosition="0">
          <references count="2">
            <reference field="4294967294" count="1" selected="0">
              <x v="6"/>
            </reference>
            <reference field="38" count="1">
              <x v="6"/>
            </reference>
          </references>
        </pivotArea>
        <pivotArea type="data" collapsedLevelsAreSubtotals="1" fieldPosition="0">
          <references count="2">
            <reference field="4294967294" count="1" selected="0">
              <x v="6"/>
            </reference>
            <reference field="38" count="1">
              <x v="38"/>
            </reference>
          </references>
        </pivotArea>
        <pivotArea type="data" collapsedLevelsAreSubtotals="1" fieldPosition="0">
          <references count="2">
            <reference field="4294967294" count="1" selected="0">
              <x v="6"/>
            </reference>
            <reference field="38" count="1">
              <x v="35"/>
            </reference>
          </references>
        </pivotArea>
        <pivotArea type="data" collapsedLevelsAreSubtotals="1" fieldPosition="0">
          <references count="2">
            <reference field="4294967294" count="1" selected="0">
              <x v="6"/>
            </reference>
            <reference field="38" count="1">
              <x v="9"/>
            </reference>
          </references>
        </pivotArea>
        <pivotArea type="data" collapsedLevelsAreSubtotals="1" fieldPosition="0">
          <references count="2">
            <reference field="4294967294" count="1" selected="0">
              <x v="6"/>
            </reference>
            <reference field="38" count="1">
              <x v="0"/>
            </reference>
          </references>
        </pivotArea>
        <pivotArea type="data" collapsedLevelsAreSubtotals="1" fieldPosition="0">
          <references count="2">
            <reference field="4294967294" count="1" selected="0">
              <x v="6"/>
            </reference>
            <reference field="38" count="1">
              <x v="12"/>
            </reference>
          </references>
        </pivotArea>
        <pivotArea type="data" collapsedLevelsAreSubtotals="1" fieldPosition="0">
          <references count="2">
            <reference field="4294967294" count="1" selected="0">
              <x v="6"/>
            </reference>
            <reference field="38" count="1">
              <x v="14"/>
            </reference>
          </references>
        </pivotArea>
        <pivotArea type="data" collapsedLevelsAreSubtotals="1" fieldPosition="0">
          <references count="2">
            <reference field="4294967294" count="1" selected="0">
              <x v="6"/>
            </reference>
            <reference field="38" count="1">
              <x v="15"/>
            </reference>
          </references>
        </pivotArea>
        <pivotArea type="data" collapsedLevelsAreSubtotals="1" fieldPosition="0">
          <references count="2">
            <reference field="4294967294" count="1" selected="0">
              <x v="6"/>
            </reference>
            <reference field="38" count="1">
              <x v="1"/>
            </reference>
          </references>
        </pivotArea>
        <pivotArea type="data" collapsedLevelsAreSubtotals="1" fieldPosition="0">
          <references count="2">
            <reference field="4294967294" count="1" selected="0">
              <x v="6"/>
            </reference>
            <reference field="38" count="1">
              <x v="8"/>
            </reference>
          </references>
        </pivotArea>
        <pivotArea type="data" collapsedLevelsAreSubtotals="1" fieldPosition="0">
          <references count="2">
            <reference field="4294967294" count="1" selected="0">
              <x v="6"/>
            </reference>
            <reference field="38" count="1">
              <x v="91"/>
            </reference>
          </references>
        </pivotArea>
        <pivotArea type="data" collapsedLevelsAreSubtotals="1" fieldPosition="0">
          <references count="2">
            <reference field="4294967294" count="1" selected="0">
              <x v="6"/>
            </reference>
            <reference field="38" count="1">
              <x v="44"/>
            </reference>
          </references>
        </pivotArea>
        <pivotArea type="data" collapsedLevelsAreSubtotals="1" fieldPosition="0">
          <references count="2">
            <reference field="4294967294" count="1" selected="0">
              <x v="6"/>
            </reference>
            <reference field="38" count="1">
              <x v="7"/>
            </reference>
          </references>
        </pivotArea>
        <pivotArea type="data" collapsedLevelsAreSubtotals="1" fieldPosition="0">
          <references count="2">
            <reference field="4294967294" count="1" selected="0">
              <x v="6"/>
            </reference>
            <reference field="38" count="1">
              <x v="49"/>
            </reference>
          </references>
        </pivotArea>
        <pivotArea type="data" collapsedLevelsAreSubtotals="1" fieldPosition="0">
          <references count="2">
            <reference field="4294967294" count="1" selected="0">
              <x v="6"/>
            </reference>
            <reference field="38" count="1">
              <x v="89"/>
            </reference>
          </references>
        </pivotArea>
        <pivotArea type="data" collapsedLevelsAreSubtotals="1" fieldPosition="0">
          <references count="2">
            <reference field="4294967294" count="1" selected="0">
              <x v="6"/>
            </reference>
            <reference field="38" count="1">
              <x v="3"/>
            </reference>
          </references>
        </pivotArea>
        <pivotArea type="data" collapsedLevelsAreSubtotals="1" fieldPosition="0">
          <references count="2">
            <reference field="4294967294" count="1" selected="0">
              <x v="6"/>
            </reference>
            <reference field="38" count="1">
              <x v="41"/>
            </reference>
          </references>
        </pivotArea>
        <pivotArea type="data" collapsedLevelsAreSubtotals="1" fieldPosition="0">
          <references count="2">
            <reference field="4294967294" count="1" selected="0">
              <x v="6"/>
            </reference>
            <reference field="38" count="1">
              <x v="69"/>
            </reference>
          </references>
        </pivotArea>
        <pivotArea type="data" collapsedLevelsAreSubtotals="1" fieldPosition="0">
          <references count="2">
            <reference field="4294967294" count="1" selected="0">
              <x v="6"/>
            </reference>
            <reference field="38" count="1">
              <x v="42"/>
            </reference>
          </references>
        </pivotArea>
        <pivotArea type="data" collapsedLevelsAreSubtotals="1" fieldPosition="0">
          <references count="2">
            <reference field="4294967294" count="1" selected="0">
              <x v="6"/>
            </reference>
            <reference field="38" count="1">
              <x v="83"/>
            </reference>
          </references>
        </pivotArea>
        <pivotArea type="data" collapsedLevelsAreSubtotals="1" fieldPosition="0">
          <references count="2">
            <reference field="4294967294" count="1" selected="0">
              <x v="6"/>
            </reference>
            <reference field="38" count="1">
              <x v="70"/>
            </reference>
          </references>
        </pivotArea>
        <pivotArea type="data" collapsedLevelsAreSubtotals="1" fieldPosition="0">
          <references count="2">
            <reference field="4294967294" count="1" selected="0">
              <x v="6"/>
            </reference>
            <reference field="38" count="1">
              <x v="84"/>
            </reference>
          </references>
        </pivotArea>
        <pivotArea type="data" collapsedLevelsAreSubtotals="1" fieldPosition="0">
          <references count="2">
            <reference field="4294967294" count="1" selected="0">
              <x v="6"/>
            </reference>
            <reference field="38" count="1">
              <x v="100"/>
            </reference>
          </references>
        </pivotArea>
        <pivotArea type="data" collapsedLevelsAreSubtotals="1" fieldPosition="0">
          <references count="2">
            <reference field="4294967294" count="1" selected="0">
              <x v="6"/>
            </reference>
            <reference field="38" count="1">
              <x v="85"/>
            </reference>
          </references>
        </pivotArea>
        <pivotArea type="data" collapsedLevelsAreSubtotals="1" fieldPosition="0">
          <references count="2">
            <reference field="4294967294" count="1" selected="0">
              <x v="6"/>
            </reference>
            <reference field="38" count="1">
              <x v="80"/>
            </reference>
          </references>
        </pivotArea>
        <pivotArea type="data" collapsedLevelsAreSubtotals="1" fieldPosition="0">
          <references count="2">
            <reference field="4294967294" count="1" selected="0">
              <x v="6"/>
            </reference>
            <reference field="38" count="1">
              <x v="36"/>
            </reference>
          </references>
        </pivotArea>
        <pivotArea type="data" collapsedLevelsAreSubtotals="1" fieldPosition="0">
          <references count="2">
            <reference field="4294967294" count="1" selected="0">
              <x v="6"/>
            </reference>
            <reference field="38" count="1">
              <x v="96"/>
            </reference>
          </references>
        </pivotArea>
        <pivotArea type="data" collapsedLevelsAreSubtotals="1" fieldPosition="0">
          <references count="2">
            <reference field="4294967294" count="1" selected="0">
              <x v="6"/>
            </reference>
            <reference field="38" count="1">
              <x v="26"/>
            </reference>
          </references>
        </pivotArea>
        <pivotArea type="data" collapsedLevelsAreSubtotals="1" fieldPosition="0">
          <references count="2">
            <reference field="4294967294" count="1" selected="0">
              <x v="6"/>
            </reference>
            <reference field="38" count="1">
              <x v="47"/>
            </reference>
          </references>
        </pivotArea>
        <pivotArea type="data" collapsedLevelsAreSubtotals="1" fieldPosition="0">
          <references count="2">
            <reference field="4294967294" count="1" selected="0">
              <x v="6"/>
            </reference>
            <reference field="38" count="1">
              <x v="63"/>
            </reference>
          </references>
        </pivotArea>
        <pivotArea type="data" collapsedLevelsAreSubtotals="1" fieldPosition="0">
          <references count="2">
            <reference field="4294967294" count="1" selected="0">
              <x v="6"/>
            </reference>
            <reference field="38" count="1">
              <x v="82"/>
            </reference>
          </references>
        </pivotArea>
        <pivotArea type="data" collapsedLevelsAreSubtotals="1" fieldPosition="0">
          <references count="2">
            <reference field="4294967294" count="1" selected="0">
              <x v="6"/>
            </reference>
            <reference field="38" count="1">
              <x v="64"/>
            </reference>
          </references>
        </pivotArea>
        <pivotArea type="data" collapsedLevelsAreSubtotals="1" fieldPosition="0">
          <references count="2">
            <reference field="4294967294" count="1" selected="0">
              <x v="6"/>
            </reference>
            <reference field="38" count="1">
              <x v="22"/>
            </reference>
          </references>
        </pivotArea>
        <pivotArea type="data" collapsedLevelsAreSubtotals="1" fieldPosition="0">
          <references count="2">
            <reference field="4294967294" count="1" selected="0">
              <x v="6"/>
            </reference>
            <reference field="38" count="1">
              <x v="65"/>
            </reference>
          </references>
        </pivotArea>
        <pivotArea type="data" collapsedLevelsAreSubtotals="1" fieldPosition="0">
          <references count="2">
            <reference field="4294967294" count="1" selected="0">
              <x v="6"/>
            </reference>
            <reference field="38" count="1">
              <x v="98"/>
            </reference>
          </references>
        </pivotArea>
        <pivotArea type="data" collapsedLevelsAreSubtotals="1" fieldPosition="0">
          <references count="2">
            <reference field="4294967294" count="1" selected="0">
              <x v="6"/>
            </reference>
            <reference field="38" count="1">
              <x v="66"/>
            </reference>
          </references>
        </pivotArea>
        <pivotArea type="data" collapsedLevelsAreSubtotals="1" fieldPosition="0">
          <references count="2">
            <reference field="4294967294" count="1" selected="0">
              <x v="6"/>
            </reference>
            <reference field="38" count="1">
              <x v="23"/>
            </reference>
          </references>
        </pivotArea>
        <pivotArea type="data" collapsedLevelsAreSubtotals="1" fieldPosition="0">
          <references count="2">
            <reference field="4294967294" count="1" selected="0">
              <x v="6"/>
            </reference>
            <reference field="38" count="1">
              <x v="67"/>
            </reference>
          </references>
        </pivotArea>
        <pivotArea type="data" collapsedLevelsAreSubtotals="1" fieldPosition="0">
          <references count="2">
            <reference field="4294967294" count="1" selected="0">
              <x v="6"/>
            </reference>
            <reference field="38" count="1">
              <x v="79"/>
            </reference>
          </references>
        </pivotArea>
        <pivotArea type="data" collapsedLevelsAreSubtotals="1" fieldPosition="0">
          <references count="2">
            <reference field="4294967294" count="1" selected="0">
              <x v="6"/>
            </reference>
            <reference field="38" count="1">
              <x v="39"/>
            </reference>
          </references>
        </pivotArea>
        <pivotArea type="data" collapsedLevelsAreSubtotals="1" fieldPosition="0">
          <references count="2">
            <reference field="4294967294" count="1" selected="0">
              <x v="6"/>
            </reference>
            <reference field="38" count="1">
              <x v="81"/>
            </reference>
          </references>
        </pivotArea>
        <pivotArea type="data" collapsedLevelsAreSubtotals="1" fieldPosition="0">
          <references count="2">
            <reference field="4294967294" count="1" selected="0">
              <x v="6"/>
            </reference>
            <reference field="38" count="1">
              <x v="31"/>
            </reference>
          </references>
        </pivotArea>
        <pivotArea type="data" collapsedLevelsAreSubtotals="1" fieldPosition="0">
          <references count="2">
            <reference field="4294967294" count="1" selected="0">
              <x v="6"/>
            </reference>
            <reference field="38" count="1">
              <x v="16"/>
            </reference>
          </references>
        </pivotArea>
        <pivotArea type="data" collapsedLevelsAreSubtotals="1" fieldPosition="0">
          <references count="2">
            <reference field="4294967294" count="1" selected="0">
              <x v="6"/>
            </reference>
            <reference field="38" count="1">
              <x v="58"/>
            </reference>
          </references>
        </pivotArea>
        <pivotArea type="data" collapsedLevelsAreSubtotals="1" fieldPosition="0">
          <references count="2">
            <reference field="4294967294" count="1" selected="0">
              <x v="6"/>
            </reference>
            <reference field="38" count="1">
              <x v="45"/>
            </reference>
          </references>
        </pivotArea>
        <pivotArea type="data" collapsedLevelsAreSubtotals="1" fieldPosition="0">
          <references count="2">
            <reference field="4294967294" count="1" selected="0">
              <x v="6"/>
            </reference>
            <reference field="38" count="1">
              <x v="18"/>
            </reference>
          </references>
        </pivotArea>
        <pivotArea type="data" collapsedLevelsAreSubtotals="1" fieldPosition="0">
          <references count="2">
            <reference field="4294967294" count="1" selected="0">
              <x v="6"/>
            </reference>
            <reference field="38" count="1">
              <x v="106"/>
            </reference>
          </references>
        </pivotArea>
        <pivotArea type="data" collapsedLevelsAreSubtotals="1" fieldPosition="0">
          <references count="2">
            <reference field="4294967294" count="1" selected="0">
              <x v="6"/>
            </reference>
            <reference field="38" count="1">
              <x v="90"/>
            </reference>
          </references>
        </pivotArea>
        <pivotArea type="data" collapsedLevelsAreSubtotals="1" fieldPosition="0">
          <references count="2">
            <reference field="4294967294" count="1" selected="0">
              <x v="6"/>
            </reference>
            <reference field="38" count="1">
              <x v="48"/>
            </reference>
          </references>
        </pivotArea>
        <pivotArea type="data" collapsedLevelsAreSubtotals="1" fieldPosition="0">
          <references count="2">
            <reference field="4294967294" count="1" selected="0">
              <x v="6"/>
            </reference>
            <reference field="38" count="1">
              <x v="93"/>
            </reference>
          </references>
        </pivotArea>
        <pivotArea type="data" collapsedLevelsAreSubtotals="1" fieldPosition="0">
          <references count="2">
            <reference field="4294967294" count="1" selected="0">
              <x v="6"/>
            </reference>
            <reference field="38" count="1">
              <x v="103"/>
            </reference>
          </references>
        </pivotArea>
        <pivotArea type="data" collapsedLevelsAreSubtotals="1" fieldPosition="0">
          <references count="2">
            <reference field="4294967294" count="1" selected="0">
              <x v="6"/>
            </reference>
            <reference field="38" count="1">
              <x v="97"/>
            </reference>
          </references>
        </pivotArea>
        <pivotArea type="data" collapsedLevelsAreSubtotals="1" fieldPosition="0">
          <references count="2">
            <reference field="4294967294" count="1" selected="0">
              <x v="6"/>
            </reference>
            <reference field="38" count="1">
              <x v="10"/>
            </reference>
          </references>
        </pivotArea>
        <pivotArea type="data" collapsedLevelsAreSubtotals="1" fieldPosition="0">
          <references count="2">
            <reference field="4294967294" count="1" selected="0">
              <x v="6"/>
            </reference>
            <reference field="38" count="1">
              <x v="99"/>
            </reference>
          </references>
        </pivotArea>
        <pivotArea type="data" collapsedLevelsAreSubtotals="1" fieldPosition="0">
          <references count="2">
            <reference field="4294967294" count="1" selected="0">
              <x v="6"/>
            </reference>
            <reference field="38" count="1">
              <x v="29"/>
            </reference>
          </references>
        </pivotArea>
        <pivotArea type="data" collapsedLevelsAreSubtotals="1" fieldPosition="0">
          <references count="2">
            <reference field="4294967294" count="1" selected="0">
              <x v="6"/>
            </reference>
            <reference field="38" count="1">
              <x v="101"/>
            </reference>
          </references>
        </pivotArea>
        <pivotArea type="data" collapsedLevelsAreSubtotals="1" fieldPosition="0">
          <references count="2">
            <reference field="4294967294" count="1" selected="0">
              <x v="6"/>
            </reference>
            <reference field="38" count="1">
              <x v="21"/>
            </reference>
          </references>
        </pivotArea>
        <pivotArea type="data" collapsedLevelsAreSubtotals="1" fieldPosition="0">
          <references count="2">
            <reference field="4294967294" count="1" selected="0">
              <x v="6"/>
            </reference>
            <reference field="38" count="1">
              <x v="76"/>
            </reference>
          </references>
        </pivotArea>
        <pivotArea type="data" collapsedLevelsAreSubtotals="1" fieldPosition="0">
          <references count="2">
            <reference field="4294967294" count="1" selected="0">
              <x v="6"/>
            </reference>
            <reference field="38" count="1">
              <x v="46"/>
            </reference>
          </references>
        </pivotArea>
        <pivotArea type="data" collapsedLevelsAreSubtotals="1" fieldPosition="0">
          <references count="2">
            <reference field="4294967294" count="1" selected="0">
              <x v="6"/>
            </reference>
            <reference field="38" count="1">
              <x v="72"/>
            </reference>
          </references>
        </pivotArea>
        <pivotArea type="data" collapsedLevelsAreSubtotals="1" fieldPosition="0">
          <references count="2">
            <reference field="4294967294" count="1" selected="0">
              <x v="6"/>
            </reference>
            <reference field="38" count="1">
              <x v="4"/>
            </reference>
          </references>
        </pivotArea>
        <pivotArea type="data" collapsedLevelsAreSubtotals="1" fieldPosition="0">
          <references count="2">
            <reference field="4294967294" count="1" selected="0">
              <x v="6"/>
            </reference>
            <reference field="38" count="1">
              <x v="53"/>
            </reference>
          </references>
        </pivotArea>
        <pivotArea type="data" collapsedLevelsAreSubtotals="1" fieldPosition="0">
          <references count="2">
            <reference field="4294967294" count="1" selected="0">
              <x v="6"/>
            </reference>
            <reference field="38" count="1">
              <x v="55"/>
            </reference>
          </references>
        </pivotArea>
        <pivotArea type="data" collapsedLevelsAreSubtotals="1" fieldPosition="0">
          <references count="2">
            <reference field="4294967294" count="1" selected="0">
              <x v="6"/>
            </reference>
            <reference field="38" count="1">
              <x v="20"/>
            </reference>
          </references>
        </pivotArea>
        <pivotArea type="data" collapsedLevelsAreSubtotals="1" fieldPosition="0">
          <references count="2">
            <reference field="4294967294" count="1" selected="0">
              <x v="6"/>
            </reference>
            <reference field="38" count="1">
              <x v="88"/>
            </reference>
          </references>
        </pivotArea>
        <pivotArea type="data" collapsedLevelsAreSubtotals="1" fieldPosition="0">
          <references count="2">
            <reference field="4294967294" count="1" selected="0">
              <x v="6"/>
            </reference>
            <reference field="38" count="1">
              <x v="78"/>
            </reference>
          </references>
        </pivotArea>
        <pivotArea type="data" collapsedLevelsAreSubtotals="1" fieldPosition="0">
          <references count="2">
            <reference field="4294967294" count="1" selected="0">
              <x v="6"/>
            </reference>
            <reference field="38" count="1">
              <x v="50"/>
            </reference>
          </references>
        </pivotArea>
        <pivotArea type="data" collapsedLevelsAreSubtotals="1" fieldPosition="0">
          <references count="2">
            <reference field="4294967294" count="1" selected="0">
              <x v="6"/>
            </reference>
            <reference field="38" count="1">
              <x v="87"/>
            </reference>
          </references>
        </pivotArea>
        <pivotArea type="data" collapsedLevelsAreSubtotals="1" fieldPosition="0">
          <references count="2">
            <reference field="4294967294" count="1" selected="0">
              <x v="6"/>
            </reference>
            <reference field="38" count="1">
              <x v="34"/>
            </reference>
          </references>
        </pivotArea>
        <pivotArea type="data" collapsedLevelsAreSubtotals="1" fieldPosition="0">
          <references count="2">
            <reference field="4294967294" count="1" selected="0">
              <x v="6"/>
            </reference>
            <reference field="38" count="1">
              <x v="95"/>
            </reference>
          </references>
        </pivotArea>
        <pivotArea type="data" collapsedLevelsAreSubtotals="1" fieldPosition="0">
          <references count="3">
            <reference field="4294967294" count="1" selected="0">
              <x v="6"/>
            </reference>
            <reference field="0" count="4">
              <x v="1"/>
              <x v="2"/>
              <x v="3"/>
              <x v="4"/>
            </reference>
            <reference field="38" count="1" selected="0">
              <x v="95"/>
            </reference>
          </references>
        </pivotArea>
        <pivotArea type="data" collapsedLevelsAreSubtotals="1" fieldPosition="0">
          <references count="2">
            <reference field="4294967294" count="1" selected="0">
              <x v="6"/>
            </reference>
            <reference field="38" count="1">
              <x v="105"/>
            </reference>
          </references>
        </pivotArea>
        <pivotArea type="data" collapsedLevelsAreSubtotals="1" fieldPosition="0">
          <references count="2">
            <reference field="4294967294" count="1" selected="0">
              <x v="6"/>
            </reference>
            <reference field="38" count="1">
              <x v="30"/>
            </reference>
          </references>
        </pivotArea>
        <pivotArea type="data" collapsedLevelsAreSubtotals="1" fieldPosition="0">
          <references count="2">
            <reference field="4294967294" count="1" selected="0">
              <x v="6"/>
            </reference>
            <reference field="38" count="1">
              <x v="94"/>
            </reference>
          </references>
        </pivotArea>
        <pivotArea type="data" collapsedLevelsAreSubtotals="1" fieldPosition="0">
          <references count="2">
            <reference field="4294967294" count="1" selected="0">
              <x v="6"/>
            </reference>
            <reference field="38" count="1">
              <x v="37"/>
            </reference>
          </references>
        </pivotArea>
        <pivotArea type="data" collapsedLevelsAreSubtotals="1" fieldPosition="0">
          <references count="2">
            <reference field="4294967294" count="1" selected="0">
              <x v="6"/>
            </reference>
            <reference field="38" count="1">
              <x v="92"/>
            </reference>
          </references>
        </pivotArea>
      </pivotAreas>
    </conditionalFormat>
    <conditionalFormat priority="8">
      <pivotAreas count="108">
        <pivotArea type="data" collapsedLevelsAreSubtotals="1" fieldPosition="0">
          <references count="2">
            <reference field="4294967294" count="1" selected="0">
              <x v="7"/>
            </reference>
            <reference field="38" count="1">
              <x v="56"/>
            </reference>
          </references>
        </pivotArea>
        <pivotArea type="data" collapsedLevelsAreSubtotals="1" fieldPosition="0">
          <references count="2">
            <reference field="4294967294" count="1" selected="0">
              <x v="7"/>
            </reference>
            <reference field="38" count="1">
              <x v="60"/>
            </reference>
          </references>
        </pivotArea>
        <pivotArea type="data" collapsedLevelsAreSubtotals="1" fieldPosition="0">
          <references count="2">
            <reference field="4294967294" count="1" selected="0">
              <x v="7"/>
            </reference>
            <reference field="38" count="1">
              <x v="25"/>
            </reference>
          </references>
        </pivotArea>
        <pivotArea type="data" collapsedLevelsAreSubtotals="1" fieldPosition="0">
          <references count="2">
            <reference field="4294967294" count="1" selected="0">
              <x v="7"/>
            </reference>
            <reference field="38" count="1">
              <x v="28"/>
            </reference>
          </references>
        </pivotArea>
        <pivotArea type="data" collapsedLevelsAreSubtotals="1" fieldPosition="0">
          <references count="2">
            <reference field="4294967294" count="1" selected="0">
              <x v="7"/>
            </reference>
            <reference field="38" count="1">
              <x v="86"/>
            </reference>
          </references>
        </pivotArea>
        <pivotArea type="data" collapsedLevelsAreSubtotals="1" fieldPosition="0">
          <references count="2">
            <reference field="4294967294" count="1" selected="0">
              <x v="7"/>
            </reference>
            <reference field="38" count="1">
              <x v="102"/>
            </reference>
          </references>
        </pivotArea>
        <pivotArea type="data" collapsedLevelsAreSubtotals="1" fieldPosition="0">
          <references count="2">
            <reference field="4294967294" count="1" selected="0">
              <x v="7"/>
            </reference>
            <reference field="38" count="1">
              <x v="40"/>
            </reference>
          </references>
        </pivotArea>
        <pivotArea type="data" collapsedLevelsAreSubtotals="1" fieldPosition="0">
          <references count="2">
            <reference field="4294967294" count="1" selected="0">
              <x v="7"/>
            </reference>
            <reference field="38" count="1">
              <x v="51"/>
            </reference>
          </references>
        </pivotArea>
        <pivotArea type="data" collapsedLevelsAreSubtotals="1" fieldPosition="0">
          <references count="2">
            <reference field="4294967294" count="1" selected="0">
              <x v="7"/>
            </reference>
            <reference field="38" count="1">
              <x v="75"/>
            </reference>
          </references>
        </pivotArea>
        <pivotArea type="data" collapsedLevelsAreSubtotals="1" fieldPosition="0">
          <references count="2">
            <reference field="4294967294" count="1" selected="0">
              <x v="7"/>
            </reference>
            <reference field="38" count="1">
              <x v="54"/>
            </reference>
          </references>
        </pivotArea>
        <pivotArea type="data" collapsedLevelsAreSubtotals="1" fieldPosition="0">
          <references count="2">
            <reference field="4294967294" count="1" selected="0">
              <x v="7"/>
            </reference>
            <reference field="38" count="1">
              <x v="24"/>
            </reference>
          </references>
        </pivotArea>
        <pivotArea type="data" collapsedLevelsAreSubtotals="1" fieldPosition="0">
          <references count="2">
            <reference field="4294967294" count="1" selected="0">
              <x v="7"/>
            </reference>
            <reference field="38" count="1">
              <x v="77"/>
            </reference>
          </references>
        </pivotArea>
        <pivotArea type="data" collapsedLevelsAreSubtotals="1" fieldPosition="0">
          <references count="2">
            <reference field="4294967294" count="1" selected="0">
              <x v="7"/>
            </reference>
            <reference field="38" count="1">
              <x v="104"/>
            </reference>
          </references>
        </pivotArea>
        <pivotArea type="data" collapsedLevelsAreSubtotals="1" fieldPosition="0">
          <references count="2">
            <reference field="4294967294" count="1" selected="0">
              <x v="7"/>
            </reference>
            <reference field="38" count="1">
              <x v="52"/>
            </reference>
          </references>
        </pivotArea>
        <pivotArea type="data" collapsedLevelsAreSubtotals="1" fieldPosition="0">
          <references count="2">
            <reference field="4294967294" count="1" selected="0">
              <x v="7"/>
            </reference>
            <reference field="38" count="1">
              <x v="33"/>
            </reference>
          </references>
        </pivotArea>
        <pivotArea type="data" collapsedLevelsAreSubtotals="1" fieldPosition="0">
          <references count="2">
            <reference field="4294967294" count="1" selected="0">
              <x v="7"/>
            </reference>
            <reference field="38" count="1">
              <x v="27"/>
            </reference>
          </references>
        </pivotArea>
        <pivotArea type="data" collapsedLevelsAreSubtotals="1" fieldPosition="0">
          <references count="2">
            <reference field="4294967294" count="1" selected="0">
              <x v="7"/>
            </reference>
            <reference field="38" count="1">
              <x v="59"/>
            </reference>
          </references>
        </pivotArea>
        <pivotArea type="data" collapsedLevelsAreSubtotals="1" fieldPosition="0">
          <references count="2">
            <reference field="4294967294" count="1" selected="0">
              <x v="7"/>
            </reference>
            <reference field="38" count="1">
              <x v="11"/>
            </reference>
          </references>
        </pivotArea>
        <pivotArea type="data" collapsedLevelsAreSubtotals="1" fieldPosition="0">
          <references count="2">
            <reference field="4294967294" count="1" selected="0">
              <x v="7"/>
            </reference>
            <reference field="38" count="1">
              <x v="73"/>
            </reference>
          </references>
        </pivotArea>
        <pivotArea type="data" collapsedLevelsAreSubtotals="1" fieldPosition="0">
          <references count="2">
            <reference field="4294967294" count="1" selected="0">
              <x v="7"/>
            </reference>
            <reference field="38" count="1">
              <x v="74"/>
            </reference>
          </references>
        </pivotArea>
        <pivotArea type="data" collapsedLevelsAreSubtotals="1" fieldPosition="0">
          <references count="2">
            <reference field="4294967294" count="1" selected="0">
              <x v="7"/>
            </reference>
            <reference field="38" count="1">
              <x v="5"/>
            </reference>
          </references>
        </pivotArea>
        <pivotArea type="data" collapsedLevelsAreSubtotals="1" fieldPosition="0">
          <references count="2">
            <reference field="4294967294" count="1" selected="0">
              <x v="7"/>
            </reference>
            <reference field="38" count="1">
              <x v="61"/>
            </reference>
          </references>
        </pivotArea>
        <pivotArea type="data" collapsedLevelsAreSubtotals="1" fieldPosition="0">
          <references count="2">
            <reference field="4294967294" count="1" selected="0">
              <x v="7"/>
            </reference>
            <reference field="38" count="1">
              <x v="17"/>
            </reference>
          </references>
        </pivotArea>
        <pivotArea type="data" collapsedLevelsAreSubtotals="1" fieldPosition="0">
          <references count="2">
            <reference field="4294967294" count="1" selected="0">
              <x v="7"/>
            </reference>
            <reference field="38" count="1">
              <x v="62"/>
            </reference>
          </references>
        </pivotArea>
        <pivotArea type="data" collapsedLevelsAreSubtotals="1" fieldPosition="0">
          <references count="2">
            <reference field="4294967294" count="1" selected="0">
              <x v="7"/>
            </reference>
            <reference field="38" count="1">
              <x v="43"/>
            </reference>
          </references>
        </pivotArea>
        <pivotArea type="data" collapsedLevelsAreSubtotals="1" fieldPosition="0">
          <references count="2">
            <reference field="4294967294" count="1" selected="0">
              <x v="7"/>
            </reference>
            <reference field="38" count="1">
              <x v="13"/>
            </reference>
          </references>
        </pivotArea>
        <pivotArea type="data" collapsedLevelsAreSubtotals="1" fieldPosition="0">
          <references count="2">
            <reference field="4294967294" count="1" selected="0">
              <x v="7"/>
            </reference>
            <reference field="38" count="1">
              <x v="68"/>
            </reference>
          </references>
        </pivotArea>
        <pivotArea type="data" collapsedLevelsAreSubtotals="1" fieldPosition="0">
          <references count="2">
            <reference field="4294967294" count="1" selected="0">
              <x v="7"/>
            </reference>
            <reference field="38" count="1">
              <x v="2"/>
            </reference>
          </references>
        </pivotArea>
        <pivotArea type="data" collapsedLevelsAreSubtotals="1" fieldPosition="0">
          <references count="2">
            <reference field="4294967294" count="1" selected="0">
              <x v="7"/>
            </reference>
            <reference field="38" count="1">
              <x v="57"/>
            </reference>
          </references>
        </pivotArea>
        <pivotArea type="data" collapsedLevelsAreSubtotals="1" fieldPosition="0">
          <references count="2">
            <reference field="4294967294" count="1" selected="0">
              <x v="7"/>
            </reference>
            <reference field="38" count="1">
              <x v="19"/>
            </reference>
          </references>
        </pivotArea>
        <pivotArea type="data" collapsedLevelsAreSubtotals="1" fieldPosition="0">
          <references count="2">
            <reference field="4294967294" count="1" selected="0">
              <x v="7"/>
            </reference>
            <reference field="38" count="1">
              <x v="71"/>
            </reference>
          </references>
        </pivotArea>
        <pivotArea type="data" collapsedLevelsAreSubtotals="1" fieldPosition="0">
          <references count="2">
            <reference field="4294967294" count="1" selected="0">
              <x v="7"/>
            </reference>
            <reference field="38" count="1">
              <x v="32"/>
            </reference>
          </references>
        </pivotArea>
        <pivotArea type="data" collapsedLevelsAreSubtotals="1" fieldPosition="0">
          <references count="2">
            <reference field="4294967294" count="1" selected="0">
              <x v="7"/>
            </reference>
            <reference field="38" count="1">
              <x v="6"/>
            </reference>
          </references>
        </pivotArea>
        <pivotArea type="data" collapsedLevelsAreSubtotals="1" fieldPosition="0">
          <references count="2">
            <reference field="4294967294" count="1" selected="0">
              <x v="7"/>
            </reference>
            <reference field="38" count="1">
              <x v="38"/>
            </reference>
          </references>
        </pivotArea>
        <pivotArea type="data" collapsedLevelsAreSubtotals="1" fieldPosition="0">
          <references count="2">
            <reference field="4294967294" count="1" selected="0">
              <x v="7"/>
            </reference>
            <reference field="38" count="1">
              <x v="35"/>
            </reference>
          </references>
        </pivotArea>
        <pivotArea type="data" collapsedLevelsAreSubtotals="1" fieldPosition="0">
          <references count="2">
            <reference field="4294967294" count="1" selected="0">
              <x v="7"/>
            </reference>
            <reference field="38" count="1">
              <x v="9"/>
            </reference>
          </references>
        </pivotArea>
        <pivotArea type="data" collapsedLevelsAreSubtotals="1" fieldPosition="0">
          <references count="2">
            <reference field="4294967294" count="1" selected="0">
              <x v="7"/>
            </reference>
            <reference field="38" count="1">
              <x v="0"/>
            </reference>
          </references>
        </pivotArea>
        <pivotArea type="data" collapsedLevelsAreSubtotals="1" fieldPosition="0">
          <references count="2">
            <reference field="4294967294" count="1" selected="0">
              <x v="7"/>
            </reference>
            <reference field="38" count="1">
              <x v="12"/>
            </reference>
          </references>
        </pivotArea>
        <pivotArea type="data" collapsedLevelsAreSubtotals="1" fieldPosition="0">
          <references count="2">
            <reference field="4294967294" count="1" selected="0">
              <x v="7"/>
            </reference>
            <reference field="38" count="1">
              <x v="14"/>
            </reference>
          </references>
        </pivotArea>
        <pivotArea type="data" collapsedLevelsAreSubtotals="1" fieldPosition="0">
          <references count="2">
            <reference field="4294967294" count="1" selected="0">
              <x v="7"/>
            </reference>
            <reference field="38" count="1">
              <x v="15"/>
            </reference>
          </references>
        </pivotArea>
        <pivotArea type="data" collapsedLevelsAreSubtotals="1" fieldPosition="0">
          <references count="2">
            <reference field="4294967294" count="1" selected="0">
              <x v="7"/>
            </reference>
            <reference field="38" count="1">
              <x v="1"/>
            </reference>
          </references>
        </pivotArea>
        <pivotArea type="data" collapsedLevelsAreSubtotals="1" fieldPosition="0">
          <references count="2">
            <reference field="4294967294" count="1" selected="0">
              <x v="7"/>
            </reference>
            <reference field="38" count="1">
              <x v="8"/>
            </reference>
          </references>
        </pivotArea>
        <pivotArea type="data" collapsedLevelsAreSubtotals="1" fieldPosition="0">
          <references count="2">
            <reference field="4294967294" count="1" selected="0">
              <x v="7"/>
            </reference>
            <reference field="38" count="1">
              <x v="91"/>
            </reference>
          </references>
        </pivotArea>
        <pivotArea type="data" collapsedLevelsAreSubtotals="1" fieldPosition="0">
          <references count="2">
            <reference field="4294967294" count="1" selected="0">
              <x v="7"/>
            </reference>
            <reference field="38" count="1">
              <x v="44"/>
            </reference>
          </references>
        </pivotArea>
        <pivotArea type="data" collapsedLevelsAreSubtotals="1" fieldPosition="0">
          <references count="2">
            <reference field="4294967294" count="1" selected="0">
              <x v="7"/>
            </reference>
            <reference field="38" count="1">
              <x v="7"/>
            </reference>
          </references>
        </pivotArea>
        <pivotArea type="data" collapsedLevelsAreSubtotals="1" fieldPosition="0">
          <references count="2">
            <reference field="4294967294" count="1" selected="0">
              <x v="7"/>
            </reference>
            <reference field="38" count="1">
              <x v="49"/>
            </reference>
          </references>
        </pivotArea>
        <pivotArea type="data" collapsedLevelsAreSubtotals="1" fieldPosition="0">
          <references count="2">
            <reference field="4294967294" count="1" selected="0">
              <x v="7"/>
            </reference>
            <reference field="38" count="1">
              <x v="89"/>
            </reference>
          </references>
        </pivotArea>
        <pivotArea type="data" collapsedLevelsAreSubtotals="1" fieldPosition="0">
          <references count="2">
            <reference field="4294967294" count="1" selected="0">
              <x v="7"/>
            </reference>
            <reference field="38" count="1">
              <x v="3"/>
            </reference>
          </references>
        </pivotArea>
        <pivotArea type="data" collapsedLevelsAreSubtotals="1" fieldPosition="0">
          <references count="2">
            <reference field="4294967294" count="1" selected="0">
              <x v="7"/>
            </reference>
            <reference field="38" count="1">
              <x v="41"/>
            </reference>
          </references>
        </pivotArea>
        <pivotArea type="data" collapsedLevelsAreSubtotals="1" fieldPosition="0">
          <references count="2">
            <reference field="4294967294" count="1" selected="0">
              <x v="7"/>
            </reference>
            <reference field="38" count="1">
              <x v="69"/>
            </reference>
          </references>
        </pivotArea>
        <pivotArea type="data" collapsedLevelsAreSubtotals="1" fieldPosition="0">
          <references count="2">
            <reference field="4294967294" count="1" selected="0">
              <x v="7"/>
            </reference>
            <reference field="38" count="1">
              <x v="42"/>
            </reference>
          </references>
        </pivotArea>
        <pivotArea type="data" collapsedLevelsAreSubtotals="1" fieldPosition="0">
          <references count="2">
            <reference field="4294967294" count="1" selected="0">
              <x v="7"/>
            </reference>
            <reference field="38" count="1">
              <x v="83"/>
            </reference>
          </references>
        </pivotArea>
        <pivotArea type="data" collapsedLevelsAreSubtotals="1" fieldPosition="0">
          <references count="2">
            <reference field="4294967294" count="1" selected="0">
              <x v="7"/>
            </reference>
            <reference field="38" count="1">
              <x v="70"/>
            </reference>
          </references>
        </pivotArea>
        <pivotArea type="data" collapsedLevelsAreSubtotals="1" fieldPosition="0">
          <references count="2">
            <reference field="4294967294" count="1" selected="0">
              <x v="7"/>
            </reference>
            <reference field="38" count="1">
              <x v="84"/>
            </reference>
          </references>
        </pivotArea>
        <pivotArea type="data" collapsedLevelsAreSubtotals="1" fieldPosition="0">
          <references count="2">
            <reference field="4294967294" count="1" selected="0">
              <x v="7"/>
            </reference>
            <reference field="38" count="1">
              <x v="100"/>
            </reference>
          </references>
        </pivotArea>
        <pivotArea type="data" collapsedLevelsAreSubtotals="1" fieldPosition="0">
          <references count="2">
            <reference field="4294967294" count="1" selected="0">
              <x v="7"/>
            </reference>
            <reference field="38" count="1">
              <x v="85"/>
            </reference>
          </references>
        </pivotArea>
        <pivotArea type="data" collapsedLevelsAreSubtotals="1" fieldPosition="0">
          <references count="2">
            <reference field="4294967294" count="1" selected="0">
              <x v="7"/>
            </reference>
            <reference field="38" count="1">
              <x v="80"/>
            </reference>
          </references>
        </pivotArea>
        <pivotArea type="data" collapsedLevelsAreSubtotals="1" fieldPosition="0">
          <references count="2">
            <reference field="4294967294" count="1" selected="0">
              <x v="7"/>
            </reference>
            <reference field="38" count="1">
              <x v="36"/>
            </reference>
          </references>
        </pivotArea>
        <pivotArea type="data" collapsedLevelsAreSubtotals="1" fieldPosition="0">
          <references count="2">
            <reference field="4294967294" count="1" selected="0">
              <x v="7"/>
            </reference>
            <reference field="38" count="1">
              <x v="96"/>
            </reference>
          </references>
        </pivotArea>
        <pivotArea type="data" collapsedLevelsAreSubtotals="1" fieldPosition="0">
          <references count="2">
            <reference field="4294967294" count="1" selected="0">
              <x v="7"/>
            </reference>
            <reference field="38" count="1">
              <x v="26"/>
            </reference>
          </references>
        </pivotArea>
        <pivotArea type="data" collapsedLevelsAreSubtotals="1" fieldPosition="0">
          <references count="2">
            <reference field="4294967294" count="1" selected="0">
              <x v="7"/>
            </reference>
            <reference field="38" count="1">
              <x v="47"/>
            </reference>
          </references>
        </pivotArea>
        <pivotArea type="data" collapsedLevelsAreSubtotals="1" fieldPosition="0">
          <references count="2">
            <reference field="4294967294" count="1" selected="0">
              <x v="7"/>
            </reference>
            <reference field="38" count="1">
              <x v="63"/>
            </reference>
          </references>
        </pivotArea>
        <pivotArea type="data" collapsedLevelsAreSubtotals="1" fieldPosition="0">
          <references count="2">
            <reference field="4294967294" count="1" selected="0">
              <x v="7"/>
            </reference>
            <reference field="38" count="1">
              <x v="82"/>
            </reference>
          </references>
        </pivotArea>
        <pivotArea type="data" collapsedLevelsAreSubtotals="1" fieldPosition="0">
          <references count="2">
            <reference field="4294967294" count="1" selected="0">
              <x v="7"/>
            </reference>
            <reference field="38" count="1">
              <x v="64"/>
            </reference>
          </references>
        </pivotArea>
        <pivotArea type="data" collapsedLevelsAreSubtotals="1" fieldPosition="0">
          <references count="2">
            <reference field="4294967294" count="1" selected="0">
              <x v="7"/>
            </reference>
            <reference field="38" count="1">
              <x v="22"/>
            </reference>
          </references>
        </pivotArea>
        <pivotArea type="data" collapsedLevelsAreSubtotals="1" fieldPosition="0">
          <references count="2">
            <reference field="4294967294" count="1" selected="0">
              <x v="7"/>
            </reference>
            <reference field="38" count="1">
              <x v="65"/>
            </reference>
          </references>
        </pivotArea>
        <pivotArea type="data" collapsedLevelsAreSubtotals="1" fieldPosition="0">
          <references count="2">
            <reference field="4294967294" count="1" selected="0">
              <x v="7"/>
            </reference>
            <reference field="38" count="1">
              <x v="98"/>
            </reference>
          </references>
        </pivotArea>
        <pivotArea type="data" collapsedLevelsAreSubtotals="1" fieldPosition="0">
          <references count="2">
            <reference field="4294967294" count="1" selected="0">
              <x v="7"/>
            </reference>
            <reference field="38" count="1">
              <x v="66"/>
            </reference>
          </references>
        </pivotArea>
        <pivotArea type="data" collapsedLevelsAreSubtotals="1" fieldPosition="0">
          <references count="2">
            <reference field="4294967294" count="1" selected="0">
              <x v="7"/>
            </reference>
            <reference field="38" count="1">
              <x v="23"/>
            </reference>
          </references>
        </pivotArea>
        <pivotArea type="data" collapsedLevelsAreSubtotals="1" fieldPosition="0">
          <references count="2">
            <reference field="4294967294" count="1" selected="0">
              <x v="7"/>
            </reference>
            <reference field="38" count="1">
              <x v="67"/>
            </reference>
          </references>
        </pivotArea>
        <pivotArea type="data" collapsedLevelsAreSubtotals="1" fieldPosition="0">
          <references count="2">
            <reference field="4294967294" count="1" selected="0">
              <x v="7"/>
            </reference>
            <reference field="38" count="1">
              <x v="79"/>
            </reference>
          </references>
        </pivotArea>
        <pivotArea type="data" collapsedLevelsAreSubtotals="1" fieldPosition="0">
          <references count="2">
            <reference field="4294967294" count="1" selected="0">
              <x v="7"/>
            </reference>
            <reference field="38" count="1">
              <x v="39"/>
            </reference>
          </references>
        </pivotArea>
        <pivotArea type="data" collapsedLevelsAreSubtotals="1" fieldPosition="0">
          <references count="2">
            <reference field="4294967294" count="1" selected="0">
              <x v="7"/>
            </reference>
            <reference field="38" count="1">
              <x v="81"/>
            </reference>
          </references>
        </pivotArea>
        <pivotArea type="data" collapsedLevelsAreSubtotals="1" fieldPosition="0">
          <references count="2">
            <reference field="4294967294" count="1" selected="0">
              <x v="7"/>
            </reference>
            <reference field="38" count="1">
              <x v="31"/>
            </reference>
          </references>
        </pivotArea>
        <pivotArea type="data" collapsedLevelsAreSubtotals="1" fieldPosition="0">
          <references count="2">
            <reference field="4294967294" count="1" selected="0">
              <x v="7"/>
            </reference>
            <reference field="38" count="1">
              <x v="16"/>
            </reference>
          </references>
        </pivotArea>
        <pivotArea type="data" collapsedLevelsAreSubtotals="1" fieldPosition="0">
          <references count="2">
            <reference field="4294967294" count="1" selected="0">
              <x v="7"/>
            </reference>
            <reference field="38" count="1">
              <x v="58"/>
            </reference>
          </references>
        </pivotArea>
        <pivotArea type="data" collapsedLevelsAreSubtotals="1" fieldPosition="0">
          <references count="2">
            <reference field="4294967294" count="1" selected="0">
              <x v="7"/>
            </reference>
            <reference field="38" count="1">
              <x v="45"/>
            </reference>
          </references>
        </pivotArea>
        <pivotArea type="data" collapsedLevelsAreSubtotals="1" fieldPosition="0">
          <references count="2">
            <reference field="4294967294" count="1" selected="0">
              <x v="7"/>
            </reference>
            <reference field="38" count="1">
              <x v="18"/>
            </reference>
          </references>
        </pivotArea>
        <pivotArea type="data" collapsedLevelsAreSubtotals="1" fieldPosition="0">
          <references count="2">
            <reference field="4294967294" count="1" selected="0">
              <x v="7"/>
            </reference>
            <reference field="38" count="1">
              <x v="106"/>
            </reference>
          </references>
        </pivotArea>
        <pivotArea type="data" collapsedLevelsAreSubtotals="1" fieldPosition="0">
          <references count="2">
            <reference field="4294967294" count="1" selected="0">
              <x v="7"/>
            </reference>
            <reference field="38" count="1">
              <x v="90"/>
            </reference>
          </references>
        </pivotArea>
        <pivotArea type="data" collapsedLevelsAreSubtotals="1" fieldPosition="0">
          <references count="2">
            <reference field="4294967294" count="1" selected="0">
              <x v="7"/>
            </reference>
            <reference field="38" count="1">
              <x v="48"/>
            </reference>
          </references>
        </pivotArea>
        <pivotArea type="data" collapsedLevelsAreSubtotals="1" fieldPosition="0">
          <references count="2">
            <reference field="4294967294" count="1" selected="0">
              <x v="7"/>
            </reference>
            <reference field="38" count="1">
              <x v="93"/>
            </reference>
          </references>
        </pivotArea>
        <pivotArea type="data" collapsedLevelsAreSubtotals="1" fieldPosition="0">
          <references count="2">
            <reference field="4294967294" count="1" selected="0">
              <x v="7"/>
            </reference>
            <reference field="38" count="1">
              <x v="103"/>
            </reference>
          </references>
        </pivotArea>
        <pivotArea type="data" collapsedLevelsAreSubtotals="1" fieldPosition="0">
          <references count="2">
            <reference field="4294967294" count="1" selected="0">
              <x v="7"/>
            </reference>
            <reference field="38" count="1">
              <x v="97"/>
            </reference>
          </references>
        </pivotArea>
        <pivotArea type="data" collapsedLevelsAreSubtotals="1" fieldPosition="0">
          <references count="2">
            <reference field="4294967294" count="1" selected="0">
              <x v="7"/>
            </reference>
            <reference field="38" count="1">
              <x v="10"/>
            </reference>
          </references>
        </pivotArea>
        <pivotArea type="data" collapsedLevelsAreSubtotals="1" fieldPosition="0">
          <references count="2">
            <reference field="4294967294" count="1" selected="0">
              <x v="7"/>
            </reference>
            <reference field="38" count="1">
              <x v="99"/>
            </reference>
          </references>
        </pivotArea>
        <pivotArea type="data" collapsedLevelsAreSubtotals="1" fieldPosition="0">
          <references count="2">
            <reference field="4294967294" count="1" selected="0">
              <x v="7"/>
            </reference>
            <reference field="38" count="1">
              <x v="29"/>
            </reference>
          </references>
        </pivotArea>
        <pivotArea type="data" collapsedLevelsAreSubtotals="1" fieldPosition="0">
          <references count="2">
            <reference field="4294967294" count="1" selected="0">
              <x v="7"/>
            </reference>
            <reference field="38" count="1">
              <x v="101"/>
            </reference>
          </references>
        </pivotArea>
        <pivotArea type="data" collapsedLevelsAreSubtotals="1" fieldPosition="0">
          <references count="2">
            <reference field="4294967294" count="1" selected="0">
              <x v="7"/>
            </reference>
            <reference field="38" count="1">
              <x v="21"/>
            </reference>
          </references>
        </pivotArea>
        <pivotArea type="data" collapsedLevelsAreSubtotals="1" fieldPosition="0">
          <references count="2">
            <reference field="4294967294" count="1" selected="0">
              <x v="7"/>
            </reference>
            <reference field="38" count="1">
              <x v="76"/>
            </reference>
          </references>
        </pivotArea>
        <pivotArea type="data" collapsedLevelsAreSubtotals="1" fieldPosition="0">
          <references count="2">
            <reference field="4294967294" count="1" selected="0">
              <x v="7"/>
            </reference>
            <reference field="38" count="1">
              <x v="46"/>
            </reference>
          </references>
        </pivotArea>
        <pivotArea type="data" collapsedLevelsAreSubtotals="1" fieldPosition="0">
          <references count="2">
            <reference field="4294967294" count="1" selected="0">
              <x v="7"/>
            </reference>
            <reference field="38" count="1">
              <x v="72"/>
            </reference>
          </references>
        </pivotArea>
        <pivotArea type="data" collapsedLevelsAreSubtotals="1" fieldPosition="0">
          <references count="2">
            <reference field="4294967294" count="1" selected="0">
              <x v="7"/>
            </reference>
            <reference field="38" count="1">
              <x v="4"/>
            </reference>
          </references>
        </pivotArea>
        <pivotArea type="data" collapsedLevelsAreSubtotals="1" fieldPosition="0">
          <references count="2">
            <reference field="4294967294" count="1" selected="0">
              <x v="7"/>
            </reference>
            <reference field="38" count="1">
              <x v="53"/>
            </reference>
          </references>
        </pivotArea>
        <pivotArea type="data" collapsedLevelsAreSubtotals="1" fieldPosition="0">
          <references count="2">
            <reference field="4294967294" count="1" selected="0">
              <x v="7"/>
            </reference>
            <reference field="38" count="1">
              <x v="55"/>
            </reference>
          </references>
        </pivotArea>
        <pivotArea type="data" collapsedLevelsAreSubtotals="1" fieldPosition="0">
          <references count="2">
            <reference field="4294967294" count="1" selected="0">
              <x v="7"/>
            </reference>
            <reference field="38" count="1">
              <x v="20"/>
            </reference>
          </references>
        </pivotArea>
        <pivotArea type="data" collapsedLevelsAreSubtotals="1" fieldPosition="0">
          <references count="2">
            <reference field="4294967294" count="1" selected="0">
              <x v="7"/>
            </reference>
            <reference field="38" count="1">
              <x v="88"/>
            </reference>
          </references>
        </pivotArea>
        <pivotArea type="data" collapsedLevelsAreSubtotals="1" fieldPosition="0">
          <references count="2">
            <reference field="4294967294" count="1" selected="0">
              <x v="7"/>
            </reference>
            <reference field="38" count="1">
              <x v="78"/>
            </reference>
          </references>
        </pivotArea>
        <pivotArea type="data" collapsedLevelsAreSubtotals="1" fieldPosition="0">
          <references count="2">
            <reference field="4294967294" count="1" selected="0">
              <x v="7"/>
            </reference>
            <reference field="38" count="1">
              <x v="50"/>
            </reference>
          </references>
        </pivotArea>
        <pivotArea type="data" collapsedLevelsAreSubtotals="1" fieldPosition="0">
          <references count="2">
            <reference field="4294967294" count="1" selected="0">
              <x v="7"/>
            </reference>
            <reference field="38" count="1">
              <x v="87"/>
            </reference>
          </references>
        </pivotArea>
        <pivotArea type="data" collapsedLevelsAreSubtotals="1" fieldPosition="0">
          <references count="2">
            <reference field="4294967294" count="1" selected="0">
              <x v="7"/>
            </reference>
            <reference field="38" count="1">
              <x v="34"/>
            </reference>
          </references>
        </pivotArea>
        <pivotArea type="data" collapsedLevelsAreSubtotals="1" fieldPosition="0">
          <references count="2">
            <reference field="4294967294" count="1" selected="0">
              <x v="7"/>
            </reference>
            <reference field="38" count="1">
              <x v="95"/>
            </reference>
          </references>
        </pivotArea>
        <pivotArea type="data" collapsedLevelsAreSubtotals="1" fieldPosition="0">
          <references count="3">
            <reference field="4294967294" count="1" selected="0">
              <x v="7"/>
            </reference>
            <reference field="0" count="4">
              <x v="1"/>
              <x v="2"/>
              <x v="3"/>
              <x v="4"/>
            </reference>
            <reference field="38" count="1" selected="0">
              <x v="95"/>
            </reference>
          </references>
        </pivotArea>
        <pivotArea type="data" collapsedLevelsAreSubtotals="1" fieldPosition="0">
          <references count="2">
            <reference field="4294967294" count="1" selected="0">
              <x v="7"/>
            </reference>
            <reference field="38" count="1">
              <x v="105"/>
            </reference>
          </references>
        </pivotArea>
        <pivotArea type="data" collapsedLevelsAreSubtotals="1" fieldPosition="0">
          <references count="2">
            <reference field="4294967294" count="1" selected="0">
              <x v="7"/>
            </reference>
            <reference field="38" count="1">
              <x v="30"/>
            </reference>
          </references>
        </pivotArea>
        <pivotArea type="data" collapsedLevelsAreSubtotals="1" fieldPosition="0">
          <references count="2">
            <reference field="4294967294" count="1" selected="0">
              <x v="7"/>
            </reference>
            <reference field="38" count="1">
              <x v="94"/>
            </reference>
          </references>
        </pivotArea>
        <pivotArea type="data" collapsedLevelsAreSubtotals="1" fieldPosition="0">
          <references count="2">
            <reference field="4294967294" count="1" selected="0">
              <x v="7"/>
            </reference>
            <reference field="38" count="1">
              <x v="37"/>
            </reference>
          </references>
        </pivotArea>
        <pivotArea type="data" collapsedLevelsAreSubtotals="1" fieldPosition="0">
          <references count="2">
            <reference field="4294967294" count="1" selected="0">
              <x v="7"/>
            </reference>
            <reference field="38" count="1">
              <x v="92"/>
            </reference>
          </references>
        </pivotArea>
      </pivotAreas>
    </conditionalFormat>
    <conditionalFormat priority="9">
      <pivotAreas count="108">
        <pivotArea type="data" collapsedLevelsAreSubtotals="1" fieldPosition="0">
          <references count="2">
            <reference field="4294967294" count="1" selected="0">
              <x v="8"/>
            </reference>
            <reference field="38" count="1">
              <x v="56"/>
            </reference>
          </references>
        </pivotArea>
        <pivotArea type="data" collapsedLevelsAreSubtotals="1" fieldPosition="0">
          <references count="2">
            <reference field="4294967294" count="1" selected="0">
              <x v="8"/>
            </reference>
            <reference field="38" count="1">
              <x v="60"/>
            </reference>
          </references>
        </pivotArea>
        <pivotArea type="data" collapsedLevelsAreSubtotals="1" fieldPosition="0">
          <references count="2">
            <reference field="4294967294" count="1" selected="0">
              <x v="8"/>
            </reference>
            <reference field="38" count="1">
              <x v="25"/>
            </reference>
          </references>
        </pivotArea>
        <pivotArea type="data" collapsedLevelsAreSubtotals="1" fieldPosition="0">
          <references count="2">
            <reference field="4294967294" count="1" selected="0">
              <x v="8"/>
            </reference>
            <reference field="38" count="1">
              <x v="28"/>
            </reference>
          </references>
        </pivotArea>
        <pivotArea type="data" collapsedLevelsAreSubtotals="1" fieldPosition="0">
          <references count="2">
            <reference field="4294967294" count="1" selected="0">
              <x v="8"/>
            </reference>
            <reference field="38" count="1">
              <x v="86"/>
            </reference>
          </references>
        </pivotArea>
        <pivotArea type="data" collapsedLevelsAreSubtotals="1" fieldPosition="0">
          <references count="2">
            <reference field="4294967294" count="1" selected="0">
              <x v="8"/>
            </reference>
            <reference field="38" count="1">
              <x v="102"/>
            </reference>
          </references>
        </pivotArea>
        <pivotArea type="data" collapsedLevelsAreSubtotals="1" fieldPosition="0">
          <references count="2">
            <reference field="4294967294" count="1" selected="0">
              <x v="8"/>
            </reference>
            <reference field="38" count="1">
              <x v="40"/>
            </reference>
          </references>
        </pivotArea>
        <pivotArea type="data" collapsedLevelsAreSubtotals="1" fieldPosition="0">
          <references count="2">
            <reference field="4294967294" count="1" selected="0">
              <x v="8"/>
            </reference>
            <reference field="38" count="1">
              <x v="51"/>
            </reference>
          </references>
        </pivotArea>
        <pivotArea type="data" collapsedLevelsAreSubtotals="1" fieldPosition="0">
          <references count="2">
            <reference field="4294967294" count="1" selected="0">
              <x v="8"/>
            </reference>
            <reference field="38" count="1">
              <x v="75"/>
            </reference>
          </references>
        </pivotArea>
        <pivotArea type="data" collapsedLevelsAreSubtotals="1" fieldPosition="0">
          <references count="2">
            <reference field="4294967294" count="1" selected="0">
              <x v="8"/>
            </reference>
            <reference field="38" count="1">
              <x v="54"/>
            </reference>
          </references>
        </pivotArea>
        <pivotArea type="data" collapsedLevelsAreSubtotals="1" fieldPosition="0">
          <references count="2">
            <reference field="4294967294" count="1" selected="0">
              <x v="8"/>
            </reference>
            <reference field="38" count="1">
              <x v="24"/>
            </reference>
          </references>
        </pivotArea>
        <pivotArea type="data" collapsedLevelsAreSubtotals="1" fieldPosition="0">
          <references count="2">
            <reference field="4294967294" count="1" selected="0">
              <x v="8"/>
            </reference>
            <reference field="38" count="1">
              <x v="77"/>
            </reference>
          </references>
        </pivotArea>
        <pivotArea type="data" collapsedLevelsAreSubtotals="1" fieldPosition="0">
          <references count="2">
            <reference field="4294967294" count="1" selected="0">
              <x v="8"/>
            </reference>
            <reference field="38" count="1">
              <x v="104"/>
            </reference>
          </references>
        </pivotArea>
        <pivotArea type="data" collapsedLevelsAreSubtotals="1" fieldPosition="0">
          <references count="2">
            <reference field="4294967294" count="1" selected="0">
              <x v="8"/>
            </reference>
            <reference field="38" count="1">
              <x v="52"/>
            </reference>
          </references>
        </pivotArea>
        <pivotArea type="data" collapsedLevelsAreSubtotals="1" fieldPosition="0">
          <references count="2">
            <reference field="4294967294" count="1" selected="0">
              <x v="8"/>
            </reference>
            <reference field="38" count="1">
              <x v="33"/>
            </reference>
          </references>
        </pivotArea>
        <pivotArea type="data" collapsedLevelsAreSubtotals="1" fieldPosition="0">
          <references count="2">
            <reference field="4294967294" count="1" selected="0">
              <x v="8"/>
            </reference>
            <reference field="38" count="1">
              <x v="27"/>
            </reference>
          </references>
        </pivotArea>
        <pivotArea type="data" collapsedLevelsAreSubtotals="1" fieldPosition="0">
          <references count="2">
            <reference field="4294967294" count="1" selected="0">
              <x v="8"/>
            </reference>
            <reference field="38" count="1">
              <x v="59"/>
            </reference>
          </references>
        </pivotArea>
        <pivotArea type="data" collapsedLevelsAreSubtotals="1" fieldPosition="0">
          <references count="2">
            <reference field="4294967294" count="1" selected="0">
              <x v="8"/>
            </reference>
            <reference field="38" count="1">
              <x v="11"/>
            </reference>
          </references>
        </pivotArea>
        <pivotArea type="data" collapsedLevelsAreSubtotals="1" fieldPosition="0">
          <references count="2">
            <reference field="4294967294" count="1" selected="0">
              <x v="8"/>
            </reference>
            <reference field="38" count="1">
              <x v="73"/>
            </reference>
          </references>
        </pivotArea>
        <pivotArea type="data" collapsedLevelsAreSubtotals="1" fieldPosition="0">
          <references count="2">
            <reference field="4294967294" count="1" selected="0">
              <x v="8"/>
            </reference>
            <reference field="38" count="1">
              <x v="74"/>
            </reference>
          </references>
        </pivotArea>
        <pivotArea type="data" collapsedLevelsAreSubtotals="1" fieldPosition="0">
          <references count="2">
            <reference field="4294967294" count="1" selected="0">
              <x v="8"/>
            </reference>
            <reference field="38" count="1">
              <x v="5"/>
            </reference>
          </references>
        </pivotArea>
        <pivotArea type="data" collapsedLevelsAreSubtotals="1" fieldPosition="0">
          <references count="2">
            <reference field="4294967294" count="1" selected="0">
              <x v="8"/>
            </reference>
            <reference field="38" count="1">
              <x v="61"/>
            </reference>
          </references>
        </pivotArea>
        <pivotArea type="data" collapsedLevelsAreSubtotals="1" fieldPosition="0">
          <references count="2">
            <reference field="4294967294" count="1" selected="0">
              <x v="8"/>
            </reference>
            <reference field="38" count="1">
              <x v="17"/>
            </reference>
          </references>
        </pivotArea>
        <pivotArea type="data" collapsedLevelsAreSubtotals="1" fieldPosition="0">
          <references count="2">
            <reference field="4294967294" count="1" selected="0">
              <x v="8"/>
            </reference>
            <reference field="38" count="1">
              <x v="62"/>
            </reference>
          </references>
        </pivotArea>
        <pivotArea type="data" collapsedLevelsAreSubtotals="1" fieldPosition="0">
          <references count="2">
            <reference field="4294967294" count="1" selected="0">
              <x v="8"/>
            </reference>
            <reference field="38" count="1">
              <x v="43"/>
            </reference>
          </references>
        </pivotArea>
        <pivotArea type="data" collapsedLevelsAreSubtotals="1" fieldPosition="0">
          <references count="2">
            <reference field="4294967294" count="1" selected="0">
              <x v="8"/>
            </reference>
            <reference field="38" count="1">
              <x v="13"/>
            </reference>
          </references>
        </pivotArea>
        <pivotArea type="data" collapsedLevelsAreSubtotals="1" fieldPosition="0">
          <references count="2">
            <reference field="4294967294" count="1" selected="0">
              <x v="8"/>
            </reference>
            <reference field="38" count="1">
              <x v="68"/>
            </reference>
          </references>
        </pivotArea>
        <pivotArea type="data" collapsedLevelsAreSubtotals="1" fieldPosition="0">
          <references count="2">
            <reference field="4294967294" count="1" selected="0">
              <x v="8"/>
            </reference>
            <reference field="38" count="1">
              <x v="2"/>
            </reference>
          </references>
        </pivotArea>
        <pivotArea type="data" collapsedLevelsAreSubtotals="1" fieldPosition="0">
          <references count="2">
            <reference field="4294967294" count="1" selected="0">
              <x v="8"/>
            </reference>
            <reference field="38" count="1">
              <x v="57"/>
            </reference>
          </references>
        </pivotArea>
        <pivotArea type="data" collapsedLevelsAreSubtotals="1" fieldPosition="0">
          <references count="2">
            <reference field="4294967294" count="1" selected="0">
              <x v="8"/>
            </reference>
            <reference field="38" count="1">
              <x v="19"/>
            </reference>
          </references>
        </pivotArea>
        <pivotArea type="data" collapsedLevelsAreSubtotals="1" fieldPosition="0">
          <references count="2">
            <reference field="4294967294" count="1" selected="0">
              <x v="8"/>
            </reference>
            <reference field="38" count="1">
              <x v="71"/>
            </reference>
          </references>
        </pivotArea>
        <pivotArea type="data" collapsedLevelsAreSubtotals="1" fieldPosition="0">
          <references count="2">
            <reference field="4294967294" count="1" selected="0">
              <x v="8"/>
            </reference>
            <reference field="38" count="1">
              <x v="32"/>
            </reference>
          </references>
        </pivotArea>
        <pivotArea type="data" collapsedLevelsAreSubtotals="1" fieldPosition="0">
          <references count="2">
            <reference field="4294967294" count="1" selected="0">
              <x v="8"/>
            </reference>
            <reference field="38" count="1">
              <x v="6"/>
            </reference>
          </references>
        </pivotArea>
        <pivotArea type="data" collapsedLevelsAreSubtotals="1" fieldPosition="0">
          <references count="2">
            <reference field="4294967294" count="1" selected="0">
              <x v="8"/>
            </reference>
            <reference field="38" count="1">
              <x v="38"/>
            </reference>
          </references>
        </pivotArea>
        <pivotArea type="data" collapsedLevelsAreSubtotals="1" fieldPosition="0">
          <references count="2">
            <reference field="4294967294" count="1" selected="0">
              <x v="8"/>
            </reference>
            <reference field="38" count="1">
              <x v="35"/>
            </reference>
          </references>
        </pivotArea>
        <pivotArea type="data" collapsedLevelsAreSubtotals="1" fieldPosition="0">
          <references count="2">
            <reference field="4294967294" count="1" selected="0">
              <x v="8"/>
            </reference>
            <reference field="38" count="1">
              <x v="9"/>
            </reference>
          </references>
        </pivotArea>
        <pivotArea type="data" collapsedLevelsAreSubtotals="1" fieldPosition="0">
          <references count="2">
            <reference field="4294967294" count="1" selected="0">
              <x v="8"/>
            </reference>
            <reference field="38" count="1">
              <x v="0"/>
            </reference>
          </references>
        </pivotArea>
        <pivotArea type="data" collapsedLevelsAreSubtotals="1" fieldPosition="0">
          <references count="2">
            <reference field="4294967294" count="1" selected="0">
              <x v="8"/>
            </reference>
            <reference field="38" count="1">
              <x v="12"/>
            </reference>
          </references>
        </pivotArea>
        <pivotArea type="data" collapsedLevelsAreSubtotals="1" fieldPosition="0">
          <references count="2">
            <reference field="4294967294" count="1" selected="0">
              <x v="8"/>
            </reference>
            <reference field="38" count="1">
              <x v="14"/>
            </reference>
          </references>
        </pivotArea>
        <pivotArea type="data" collapsedLevelsAreSubtotals="1" fieldPosition="0">
          <references count="2">
            <reference field="4294967294" count="1" selected="0">
              <x v="8"/>
            </reference>
            <reference field="38" count="1">
              <x v="15"/>
            </reference>
          </references>
        </pivotArea>
        <pivotArea type="data" collapsedLevelsAreSubtotals="1" fieldPosition="0">
          <references count="2">
            <reference field="4294967294" count="1" selected="0">
              <x v="8"/>
            </reference>
            <reference field="38" count="1">
              <x v="1"/>
            </reference>
          </references>
        </pivotArea>
        <pivotArea type="data" collapsedLevelsAreSubtotals="1" fieldPosition="0">
          <references count="2">
            <reference field="4294967294" count="1" selected="0">
              <x v="8"/>
            </reference>
            <reference field="38" count="1">
              <x v="8"/>
            </reference>
          </references>
        </pivotArea>
        <pivotArea type="data" collapsedLevelsAreSubtotals="1" fieldPosition="0">
          <references count="2">
            <reference field="4294967294" count="1" selected="0">
              <x v="8"/>
            </reference>
            <reference field="38" count="1">
              <x v="91"/>
            </reference>
          </references>
        </pivotArea>
        <pivotArea type="data" collapsedLevelsAreSubtotals="1" fieldPosition="0">
          <references count="2">
            <reference field="4294967294" count="1" selected="0">
              <x v="8"/>
            </reference>
            <reference field="38" count="1">
              <x v="44"/>
            </reference>
          </references>
        </pivotArea>
        <pivotArea type="data" collapsedLevelsAreSubtotals="1" fieldPosition="0">
          <references count="2">
            <reference field="4294967294" count="1" selected="0">
              <x v="8"/>
            </reference>
            <reference field="38" count="1">
              <x v="7"/>
            </reference>
          </references>
        </pivotArea>
        <pivotArea type="data" collapsedLevelsAreSubtotals="1" fieldPosition="0">
          <references count="2">
            <reference field="4294967294" count="1" selected="0">
              <x v="8"/>
            </reference>
            <reference field="38" count="1">
              <x v="49"/>
            </reference>
          </references>
        </pivotArea>
        <pivotArea type="data" collapsedLevelsAreSubtotals="1" fieldPosition="0">
          <references count="2">
            <reference field="4294967294" count="1" selected="0">
              <x v="8"/>
            </reference>
            <reference field="38" count="1">
              <x v="89"/>
            </reference>
          </references>
        </pivotArea>
        <pivotArea type="data" collapsedLevelsAreSubtotals="1" fieldPosition="0">
          <references count="2">
            <reference field="4294967294" count="1" selected="0">
              <x v="8"/>
            </reference>
            <reference field="38" count="1">
              <x v="3"/>
            </reference>
          </references>
        </pivotArea>
        <pivotArea type="data" collapsedLevelsAreSubtotals="1" fieldPosition="0">
          <references count="2">
            <reference field="4294967294" count="1" selected="0">
              <x v="8"/>
            </reference>
            <reference field="38" count="1">
              <x v="41"/>
            </reference>
          </references>
        </pivotArea>
        <pivotArea type="data" collapsedLevelsAreSubtotals="1" fieldPosition="0">
          <references count="2">
            <reference field="4294967294" count="1" selected="0">
              <x v="8"/>
            </reference>
            <reference field="38" count="1">
              <x v="69"/>
            </reference>
          </references>
        </pivotArea>
        <pivotArea type="data" collapsedLevelsAreSubtotals="1" fieldPosition="0">
          <references count="2">
            <reference field="4294967294" count="1" selected="0">
              <x v="8"/>
            </reference>
            <reference field="38" count="1">
              <x v="42"/>
            </reference>
          </references>
        </pivotArea>
        <pivotArea type="data" collapsedLevelsAreSubtotals="1" fieldPosition="0">
          <references count="2">
            <reference field="4294967294" count="1" selected="0">
              <x v="8"/>
            </reference>
            <reference field="38" count="1">
              <x v="83"/>
            </reference>
          </references>
        </pivotArea>
        <pivotArea type="data" collapsedLevelsAreSubtotals="1" fieldPosition="0">
          <references count="2">
            <reference field="4294967294" count="1" selected="0">
              <x v="8"/>
            </reference>
            <reference field="38" count="1">
              <x v="70"/>
            </reference>
          </references>
        </pivotArea>
        <pivotArea type="data" collapsedLevelsAreSubtotals="1" fieldPosition="0">
          <references count="2">
            <reference field="4294967294" count="1" selected="0">
              <x v="8"/>
            </reference>
            <reference field="38" count="1">
              <x v="84"/>
            </reference>
          </references>
        </pivotArea>
        <pivotArea type="data" collapsedLevelsAreSubtotals="1" fieldPosition="0">
          <references count="2">
            <reference field="4294967294" count="1" selected="0">
              <x v="8"/>
            </reference>
            <reference field="38" count="1">
              <x v="100"/>
            </reference>
          </references>
        </pivotArea>
        <pivotArea type="data" collapsedLevelsAreSubtotals="1" fieldPosition="0">
          <references count="2">
            <reference field="4294967294" count="1" selected="0">
              <x v="8"/>
            </reference>
            <reference field="38" count="1">
              <x v="85"/>
            </reference>
          </references>
        </pivotArea>
        <pivotArea type="data" collapsedLevelsAreSubtotals="1" fieldPosition="0">
          <references count="2">
            <reference field="4294967294" count="1" selected="0">
              <x v="8"/>
            </reference>
            <reference field="38" count="1">
              <x v="80"/>
            </reference>
          </references>
        </pivotArea>
        <pivotArea type="data" collapsedLevelsAreSubtotals="1" fieldPosition="0">
          <references count="2">
            <reference field="4294967294" count="1" selected="0">
              <x v="8"/>
            </reference>
            <reference field="38" count="1">
              <x v="36"/>
            </reference>
          </references>
        </pivotArea>
        <pivotArea type="data" collapsedLevelsAreSubtotals="1" fieldPosition="0">
          <references count="2">
            <reference field="4294967294" count="1" selected="0">
              <x v="8"/>
            </reference>
            <reference field="38" count="1">
              <x v="96"/>
            </reference>
          </references>
        </pivotArea>
        <pivotArea type="data" collapsedLevelsAreSubtotals="1" fieldPosition="0">
          <references count="2">
            <reference field="4294967294" count="1" selected="0">
              <x v="8"/>
            </reference>
            <reference field="38" count="1">
              <x v="26"/>
            </reference>
          </references>
        </pivotArea>
        <pivotArea type="data" collapsedLevelsAreSubtotals="1" fieldPosition="0">
          <references count="2">
            <reference field="4294967294" count="1" selected="0">
              <x v="8"/>
            </reference>
            <reference field="38" count="1">
              <x v="47"/>
            </reference>
          </references>
        </pivotArea>
        <pivotArea type="data" collapsedLevelsAreSubtotals="1" fieldPosition="0">
          <references count="2">
            <reference field="4294967294" count="1" selected="0">
              <x v="8"/>
            </reference>
            <reference field="38" count="1">
              <x v="63"/>
            </reference>
          </references>
        </pivotArea>
        <pivotArea type="data" collapsedLevelsAreSubtotals="1" fieldPosition="0">
          <references count="2">
            <reference field="4294967294" count="1" selected="0">
              <x v="8"/>
            </reference>
            <reference field="38" count="1">
              <x v="82"/>
            </reference>
          </references>
        </pivotArea>
        <pivotArea type="data" collapsedLevelsAreSubtotals="1" fieldPosition="0">
          <references count="2">
            <reference field="4294967294" count="1" selected="0">
              <x v="8"/>
            </reference>
            <reference field="38" count="1">
              <x v="64"/>
            </reference>
          </references>
        </pivotArea>
        <pivotArea type="data" collapsedLevelsAreSubtotals="1" fieldPosition="0">
          <references count="2">
            <reference field="4294967294" count="1" selected="0">
              <x v="8"/>
            </reference>
            <reference field="38" count="1">
              <x v="22"/>
            </reference>
          </references>
        </pivotArea>
        <pivotArea type="data" collapsedLevelsAreSubtotals="1" fieldPosition="0">
          <references count="2">
            <reference field="4294967294" count="1" selected="0">
              <x v="8"/>
            </reference>
            <reference field="38" count="1">
              <x v="65"/>
            </reference>
          </references>
        </pivotArea>
        <pivotArea type="data" collapsedLevelsAreSubtotals="1" fieldPosition="0">
          <references count="2">
            <reference field="4294967294" count="1" selected="0">
              <x v="8"/>
            </reference>
            <reference field="38" count="1">
              <x v="98"/>
            </reference>
          </references>
        </pivotArea>
        <pivotArea type="data" collapsedLevelsAreSubtotals="1" fieldPosition="0">
          <references count="2">
            <reference field="4294967294" count="1" selected="0">
              <x v="8"/>
            </reference>
            <reference field="38" count="1">
              <x v="66"/>
            </reference>
          </references>
        </pivotArea>
        <pivotArea type="data" collapsedLevelsAreSubtotals="1" fieldPosition="0">
          <references count="2">
            <reference field="4294967294" count="1" selected="0">
              <x v="8"/>
            </reference>
            <reference field="38" count="1">
              <x v="23"/>
            </reference>
          </references>
        </pivotArea>
        <pivotArea type="data" collapsedLevelsAreSubtotals="1" fieldPosition="0">
          <references count="2">
            <reference field="4294967294" count="1" selected="0">
              <x v="8"/>
            </reference>
            <reference field="38" count="1">
              <x v="67"/>
            </reference>
          </references>
        </pivotArea>
        <pivotArea type="data" collapsedLevelsAreSubtotals="1" fieldPosition="0">
          <references count="2">
            <reference field="4294967294" count="1" selected="0">
              <x v="8"/>
            </reference>
            <reference field="38" count="1">
              <x v="79"/>
            </reference>
          </references>
        </pivotArea>
        <pivotArea type="data" collapsedLevelsAreSubtotals="1" fieldPosition="0">
          <references count="2">
            <reference field="4294967294" count="1" selected="0">
              <x v="8"/>
            </reference>
            <reference field="38" count="1">
              <x v="39"/>
            </reference>
          </references>
        </pivotArea>
        <pivotArea type="data" collapsedLevelsAreSubtotals="1" fieldPosition="0">
          <references count="2">
            <reference field="4294967294" count="1" selected="0">
              <x v="8"/>
            </reference>
            <reference field="38" count="1">
              <x v="81"/>
            </reference>
          </references>
        </pivotArea>
        <pivotArea type="data" collapsedLevelsAreSubtotals="1" fieldPosition="0">
          <references count="2">
            <reference field="4294967294" count="1" selected="0">
              <x v="8"/>
            </reference>
            <reference field="38" count="1">
              <x v="31"/>
            </reference>
          </references>
        </pivotArea>
        <pivotArea type="data" collapsedLevelsAreSubtotals="1" fieldPosition="0">
          <references count="2">
            <reference field="4294967294" count="1" selected="0">
              <x v="8"/>
            </reference>
            <reference field="38" count="1">
              <x v="16"/>
            </reference>
          </references>
        </pivotArea>
        <pivotArea type="data" collapsedLevelsAreSubtotals="1" fieldPosition="0">
          <references count="2">
            <reference field="4294967294" count="1" selected="0">
              <x v="8"/>
            </reference>
            <reference field="38" count="1">
              <x v="58"/>
            </reference>
          </references>
        </pivotArea>
        <pivotArea type="data" collapsedLevelsAreSubtotals="1" fieldPosition="0">
          <references count="2">
            <reference field="4294967294" count="1" selected="0">
              <x v="8"/>
            </reference>
            <reference field="38" count="1">
              <x v="45"/>
            </reference>
          </references>
        </pivotArea>
        <pivotArea type="data" collapsedLevelsAreSubtotals="1" fieldPosition="0">
          <references count="2">
            <reference field="4294967294" count="1" selected="0">
              <x v="8"/>
            </reference>
            <reference field="38" count="1">
              <x v="18"/>
            </reference>
          </references>
        </pivotArea>
        <pivotArea type="data" collapsedLevelsAreSubtotals="1" fieldPosition="0">
          <references count="2">
            <reference field="4294967294" count="1" selected="0">
              <x v="8"/>
            </reference>
            <reference field="38" count="1">
              <x v="106"/>
            </reference>
          </references>
        </pivotArea>
        <pivotArea type="data" collapsedLevelsAreSubtotals="1" fieldPosition="0">
          <references count="2">
            <reference field="4294967294" count="1" selected="0">
              <x v="8"/>
            </reference>
            <reference field="38" count="1">
              <x v="90"/>
            </reference>
          </references>
        </pivotArea>
        <pivotArea type="data" collapsedLevelsAreSubtotals="1" fieldPosition="0">
          <references count="2">
            <reference field="4294967294" count="1" selected="0">
              <x v="8"/>
            </reference>
            <reference field="38" count="1">
              <x v="48"/>
            </reference>
          </references>
        </pivotArea>
        <pivotArea type="data" collapsedLevelsAreSubtotals="1" fieldPosition="0">
          <references count="2">
            <reference field="4294967294" count="1" selected="0">
              <x v="8"/>
            </reference>
            <reference field="38" count="1">
              <x v="93"/>
            </reference>
          </references>
        </pivotArea>
        <pivotArea type="data" collapsedLevelsAreSubtotals="1" fieldPosition="0">
          <references count="2">
            <reference field="4294967294" count="1" selected="0">
              <x v="8"/>
            </reference>
            <reference field="38" count="1">
              <x v="103"/>
            </reference>
          </references>
        </pivotArea>
        <pivotArea type="data" collapsedLevelsAreSubtotals="1" fieldPosition="0">
          <references count="2">
            <reference field="4294967294" count="1" selected="0">
              <x v="8"/>
            </reference>
            <reference field="38" count="1">
              <x v="97"/>
            </reference>
          </references>
        </pivotArea>
        <pivotArea type="data" collapsedLevelsAreSubtotals="1" fieldPosition="0">
          <references count="2">
            <reference field="4294967294" count="1" selected="0">
              <x v="8"/>
            </reference>
            <reference field="38" count="1">
              <x v="10"/>
            </reference>
          </references>
        </pivotArea>
        <pivotArea type="data" collapsedLevelsAreSubtotals="1" fieldPosition="0">
          <references count="2">
            <reference field="4294967294" count="1" selected="0">
              <x v="8"/>
            </reference>
            <reference field="38" count="1">
              <x v="99"/>
            </reference>
          </references>
        </pivotArea>
        <pivotArea type="data" collapsedLevelsAreSubtotals="1" fieldPosition="0">
          <references count="2">
            <reference field="4294967294" count="1" selected="0">
              <x v="8"/>
            </reference>
            <reference field="38" count="1">
              <x v="29"/>
            </reference>
          </references>
        </pivotArea>
        <pivotArea type="data" collapsedLevelsAreSubtotals="1" fieldPosition="0">
          <references count="2">
            <reference field="4294967294" count="1" selected="0">
              <x v="8"/>
            </reference>
            <reference field="38" count="1">
              <x v="101"/>
            </reference>
          </references>
        </pivotArea>
        <pivotArea type="data" collapsedLevelsAreSubtotals="1" fieldPosition="0">
          <references count="2">
            <reference field="4294967294" count="1" selected="0">
              <x v="8"/>
            </reference>
            <reference field="38" count="1">
              <x v="21"/>
            </reference>
          </references>
        </pivotArea>
        <pivotArea type="data" collapsedLevelsAreSubtotals="1" fieldPosition="0">
          <references count="2">
            <reference field="4294967294" count="1" selected="0">
              <x v="8"/>
            </reference>
            <reference field="38" count="1">
              <x v="76"/>
            </reference>
          </references>
        </pivotArea>
        <pivotArea type="data" collapsedLevelsAreSubtotals="1" fieldPosition="0">
          <references count="2">
            <reference field="4294967294" count="1" selected="0">
              <x v="8"/>
            </reference>
            <reference field="38" count="1">
              <x v="46"/>
            </reference>
          </references>
        </pivotArea>
        <pivotArea type="data" collapsedLevelsAreSubtotals="1" fieldPosition="0">
          <references count="2">
            <reference field="4294967294" count="1" selected="0">
              <x v="8"/>
            </reference>
            <reference field="38" count="1">
              <x v="72"/>
            </reference>
          </references>
        </pivotArea>
        <pivotArea type="data" collapsedLevelsAreSubtotals="1" fieldPosition="0">
          <references count="2">
            <reference field="4294967294" count="1" selected="0">
              <x v="8"/>
            </reference>
            <reference field="38" count="1">
              <x v="4"/>
            </reference>
          </references>
        </pivotArea>
        <pivotArea type="data" collapsedLevelsAreSubtotals="1" fieldPosition="0">
          <references count="2">
            <reference field="4294967294" count="1" selected="0">
              <x v="8"/>
            </reference>
            <reference field="38" count="1">
              <x v="53"/>
            </reference>
          </references>
        </pivotArea>
        <pivotArea type="data" collapsedLevelsAreSubtotals="1" fieldPosition="0">
          <references count="2">
            <reference field="4294967294" count="1" selected="0">
              <x v="8"/>
            </reference>
            <reference field="38" count="1">
              <x v="55"/>
            </reference>
          </references>
        </pivotArea>
        <pivotArea type="data" collapsedLevelsAreSubtotals="1" fieldPosition="0">
          <references count="2">
            <reference field="4294967294" count="1" selected="0">
              <x v="8"/>
            </reference>
            <reference field="38" count="1">
              <x v="20"/>
            </reference>
          </references>
        </pivotArea>
        <pivotArea type="data" collapsedLevelsAreSubtotals="1" fieldPosition="0">
          <references count="2">
            <reference field="4294967294" count="1" selected="0">
              <x v="8"/>
            </reference>
            <reference field="38" count="1">
              <x v="88"/>
            </reference>
          </references>
        </pivotArea>
        <pivotArea type="data" collapsedLevelsAreSubtotals="1" fieldPosition="0">
          <references count="2">
            <reference field="4294967294" count="1" selected="0">
              <x v="8"/>
            </reference>
            <reference field="38" count="1">
              <x v="78"/>
            </reference>
          </references>
        </pivotArea>
        <pivotArea type="data" collapsedLevelsAreSubtotals="1" fieldPosition="0">
          <references count="2">
            <reference field="4294967294" count="1" selected="0">
              <x v="8"/>
            </reference>
            <reference field="38" count="1">
              <x v="50"/>
            </reference>
          </references>
        </pivotArea>
        <pivotArea type="data" collapsedLevelsAreSubtotals="1" fieldPosition="0">
          <references count="2">
            <reference field="4294967294" count="1" selected="0">
              <x v="8"/>
            </reference>
            <reference field="38" count="1">
              <x v="87"/>
            </reference>
          </references>
        </pivotArea>
        <pivotArea type="data" collapsedLevelsAreSubtotals="1" fieldPosition="0">
          <references count="2">
            <reference field="4294967294" count="1" selected="0">
              <x v="8"/>
            </reference>
            <reference field="38" count="1">
              <x v="34"/>
            </reference>
          </references>
        </pivotArea>
        <pivotArea type="data" collapsedLevelsAreSubtotals="1" fieldPosition="0">
          <references count="2">
            <reference field="4294967294" count="1" selected="0">
              <x v="8"/>
            </reference>
            <reference field="38" count="1">
              <x v="95"/>
            </reference>
          </references>
        </pivotArea>
        <pivotArea type="data" collapsedLevelsAreSubtotals="1" fieldPosition="0">
          <references count="3">
            <reference field="4294967294" count="1" selected="0">
              <x v="8"/>
            </reference>
            <reference field="0" count="4">
              <x v="1"/>
              <x v="2"/>
              <x v="3"/>
              <x v="4"/>
            </reference>
            <reference field="38" count="1" selected="0">
              <x v="95"/>
            </reference>
          </references>
        </pivotArea>
        <pivotArea type="data" collapsedLevelsAreSubtotals="1" fieldPosition="0">
          <references count="2">
            <reference field="4294967294" count="1" selected="0">
              <x v="8"/>
            </reference>
            <reference field="38" count="1">
              <x v="105"/>
            </reference>
          </references>
        </pivotArea>
        <pivotArea type="data" collapsedLevelsAreSubtotals="1" fieldPosition="0">
          <references count="2">
            <reference field="4294967294" count="1" selected="0">
              <x v="8"/>
            </reference>
            <reference field="38" count="1">
              <x v="30"/>
            </reference>
          </references>
        </pivotArea>
        <pivotArea type="data" collapsedLevelsAreSubtotals="1" fieldPosition="0">
          <references count="2">
            <reference field="4294967294" count="1" selected="0">
              <x v="8"/>
            </reference>
            <reference field="38" count="1">
              <x v="94"/>
            </reference>
          </references>
        </pivotArea>
        <pivotArea type="data" collapsedLevelsAreSubtotals="1" fieldPosition="0">
          <references count="2">
            <reference field="4294967294" count="1" selected="0">
              <x v="8"/>
            </reference>
            <reference field="38" count="1">
              <x v="37"/>
            </reference>
          </references>
        </pivotArea>
        <pivotArea type="data" collapsedLevelsAreSubtotals="1" fieldPosition="0">
          <references count="2">
            <reference field="4294967294" count="1" selected="0">
              <x v="8"/>
            </reference>
            <reference field="38" count="1">
              <x v="92"/>
            </reference>
          </references>
        </pivotArea>
      </pivotAreas>
    </conditionalFormat>
    <conditionalFormat priority="18">
      <pivotAreas count="108">
        <pivotArea type="data" collapsedLevelsAreSubtotals="1" fieldPosition="0">
          <references count="2">
            <reference field="4294967294" count="1" selected="0">
              <x v="9"/>
            </reference>
            <reference field="38" count="1">
              <x v="56"/>
            </reference>
          </references>
        </pivotArea>
        <pivotArea type="data" collapsedLevelsAreSubtotals="1" fieldPosition="0">
          <references count="2">
            <reference field="4294967294" count="1" selected="0">
              <x v="9"/>
            </reference>
            <reference field="38" count="1">
              <x v="60"/>
            </reference>
          </references>
        </pivotArea>
        <pivotArea type="data" collapsedLevelsAreSubtotals="1" fieldPosition="0">
          <references count="2">
            <reference field="4294967294" count="1" selected="0">
              <x v="9"/>
            </reference>
            <reference field="38" count="1">
              <x v="25"/>
            </reference>
          </references>
        </pivotArea>
        <pivotArea type="data" collapsedLevelsAreSubtotals="1" fieldPosition="0">
          <references count="2">
            <reference field="4294967294" count="1" selected="0">
              <x v="9"/>
            </reference>
            <reference field="38" count="1">
              <x v="28"/>
            </reference>
          </references>
        </pivotArea>
        <pivotArea type="data" collapsedLevelsAreSubtotals="1" fieldPosition="0">
          <references count="2">
            <reference field="4294967294" count="1" selected="0">
              <x v="9"/>
            </reference>
            <reference field="38" count="1">
              <x v="86"/>
            </reference>
          </references>
        </pivotArea>
        <pivotArea type="data" collapsedLevelsAreSubtotals="1" fieldPosition="0">
          <references count="2">
            <reference field="4294967294" count="1" selected="0">
              <x v="9"/>
            </reference>
            <reference field="38" count="1">
              <x v="102"/>
            </reference>
          </references>
        </pivotArea>
        <pivotArea type="data" collapsedLevelsAreSubtotals="1" fieldPosition="0">
          <references count="2">
            <reference field="4294967294" count="1" selected="0">
              <x v="9"/>
            </reference>
            <reference field="38" count="1">
              <x v="40"/>
            </reference>
          </references>
        </pivotArea>
        <pivotArea type="data" collapsedLevelsAreSubtotals="1" fieldPosition="0">
          <references count="2">
            <reference field="4294967294" count="1" selected="0">
              <x v="9"/>
            </reference>
            <reference field="38" count="1">
              <x v="51"/>
            </reference>
          </references>
        </pivotArea>
        <pivotArea type="data" collapsedLevelsAreSubtotals="1" fieldPosition="0">
          <references count="2">
            <reference field="4294967294" count="1" selected="0">
              <x v="9"/>
            </reference>
            <reference field="38" count="1">
              <x v="75"/>
            </reference>
          </references>
        </pivotArea>
        <pivotArea type="data" collapsedLevelsAreSubtotals="1" fieldPosition="0">
          <references count="2">
            <reference field="4294967294" count="1" selected="0">
              <x v="9"/>
            </reference>
            <reference field="38" count="1">
              <x v="54"/>
            </reference>
          </references>
        </pivotArea>
        <pivotArea type="data" collapsedLevelsAreSubtotals="1" fieldPosition="0">
          <references count="2">
            <reference field="4294967294" count="1" selected="0">
              <x v="9"/>
            </reference>
            <reference field="38" count="1">
              <x v="24"/>
            </reference>
          </references>
        </pivotArea>
        <pivotArea type="data" collapsedLevelsAreSubtotals="1" fieldPosition="0">
          <references count="2">
            <reference field="4294967294" count="1" selected="0">
              <x v="9"/>
            </reference>
            <reference field="38" count="1">
              <x v="77"/>
            </reference>
          </references>
        </pivotArea>
        <pivotArea type="data" collapsedLevelsAreSubtotals="1" fieldPosition="0">
          <references count="2">
            <reference field="4294967294" count="1" selected="0">
              <x v="9"/>
            </reference>
            <reference field="38" count="1">
              <x v="104"/>
            </reference>
          </references>
        </pivotArea>
        <pivotArea type="data" collapsedLevelsAreSubtotals="1" fieldPosition="0">
          <references count="2">
            <reference field="4294967294" count="1" selected="0">
              <x v="9"/>
            </reference>
            <reference field="38" count="1">
              <x v="52"/>
            </reference>
          </references>
        </pivotArea>
        <pivotArea type="data" collapsedLevelsAreSubtotals="1" fieldPosition="0">
          <references count="2">
            <reference field="4294967294" count="1" selected="0">
              <x v="9"/>
            </reference>
            <reference field="38" count="1">
              <x v="33"/>
            </reference>
          </references>
        </pivotArea>
        <pivotArea type="data" collapsedLevelsAreSubtotals="1" fieldPosition="0">
          <references count="2">
            <reference field="4294967294" count="1" selected="0">
              <x v="9"/>
            </reference>
            <reference field="38" count="1">
              <x v="27"/>
            </reference>
          </references>
        </pivotArea>
        <pivotArea type="data" collapsedLevelsAreSubtotals="1" fieldPosition="0">
          <references count="2">
            <reference field="4294967294" count="1" selected="0">
              <x v="9"/>
            </reference>
            <reference field="38" count="1">
              <x v="59"/>
            </reference>
          </references>
        </pivotArea>
        <pivotArea type="data" collapsedLevelsAreSubtotals="1" fieldPosition="0">
          <references count="2">
            <reference field="4294967294" count="1" selected="0">
              <x v="9"/>
            </reference>
            <reference field="38" count="1">
              <x v="11"/>
            </reference>
          </references>
        </pivotArea>
        <pivotArea type="data" collapsedLevelsAreSubtotals="1" fieldPosition="0">
          <references count="2">
            <reference field="4294967294" count="1" selected="0">
              <x v="9"/>
            </reference>
            <reference field="38" count="1">
              <x v="73"/>
            </reference>
          </references>
        </pivotArea>
        <pivotArea type="data" collapsedLevelsAreSubtotals="1" fieldPosition="0">
          <references count="2">
            <reference field="4294967294" count="1" selected="0">
              <x v="9"/>
            </reference>
            <reference field="38" count="1">
              <x v="74"/>
            </reference>
          </references>
        </pivotArea>
        <pivotArea type="data" collapsedLevelsAreSubtotals="1" fieldPosition="0">
          <references count="2">
            <reference field="4294967294" count="1" selected="0">
              <x v="9"/>
            </reference>
            <reference field="38" count="1">
              <x v="5"/>
            </reference>
          </references>
        </pivotArea>
        <pivotArea type="data" collapsedLevelsAreSubtotals="1" fieldPosition="0">
          <references count="2">
            <reference field="4294967294" count="1" selected="0">
              <x v="9"/>
            </reference>
            <reference field="38" count="1">
              <x v="61"/>
            </reference>
          </references>
        </pivotArea>
        <pivotArea type="data" collapsedLevelsAreSubtotals="1" fieldPosition="0">
          <references count="2">
            <reference field="4294967294" count="1" selected="0">
              <x v="9"/>
            </reference>
            <reference field="38" count="1">
              <x v="17"/>
            </reference>
          </references>
        </pivotArea>
        <pivotArea type="data" collapsedLevelsAreSubtotals="1" fieldPosition="0">
          <references count="2">
            <reference field="4294967294" count="1" selected="0">
              <x v="9"/>
            </reference>
            <reference field="38" count="1">
              <x v="62"/>
            </reference>
          </references>
        </pivotArea>
        <pivotArea type="data" collapsedLevelsAreSubtotals="1" fieldPosition="0">
          <references count="2">
            <reference field="4294967294" count="1" selected="0">
              <x v="9"/>
            </reference>
            <reference field="38" count="1">
              <x v="43"/>
            </reference>
          </references>
        </pivotArea>
        <pivotArea type="data" collapsedLevelsAreSubtotals="1" fieldPosition="0">
          <references count="2">
            <reference field="4294967294" count="1" selected="0">
              <x v="9"/>
            </reference>
            <reference field="38" count="1">
              <x v="13"/>
            </reference>
          </references>
        </pivotArea>
        <pivotArea type="data" collapsedLevelsAreSubtotals="1" fieldPosition="0">
          <references count="2">
            <reference field="4294967294" count="1" selected="0">
              <x v="9"/>
            </reference>
            <reference field="38" count="1">
              <x v="68"/>
            </reference>
          </references>
        </pivotArea>
        <pivotArea type="data" collapsedLevelsAreSubtotals="1" fieldPosition="0">
          <references count="2">
            <reference field="4294967294" count="1" selected="0">
              <x v="9"/>
            </reference>
            <reference field="38" count="1">
              <x v="2"/>
            </reference>
          </references>
        </pivotArea>
        <pivotArea type="data" collapsedLevelsAreSubtotals="1" fieldPosition="0">
          <references count="2">
            <reference field="4294967294" count="1" selected="0">
              <x v="9"/>
            </reference>
            <reference field="38" count="1">
              <x v="57"/>
            </reference>
          </references>
        </pivotArea>
        <pivotArea type="data" collapsedLevelsAreSubtotals="1" fieldPosition="0">
          <references count="2">
            <reference field="4294967294" count="1" selected="0">
              <x v="9"/>
            </reference>
            <reference field="38" count="1">
              <x v="19"/>
            </reference>
          </references>
        </pivotArea>
        <pivotArea type="data" collapsedLevelsAreSubtotals="1" fieldPosition="0">
          <references count="2">
            <reference field="4294967294" count="1" selected="0">
              <x v="9"/>
            </reference>
            <reference field="38" count="1">
              <x v="71"/>
            </reference>
          </references>
        </pivotArea>
        <pivotArea type="data" collapsedLevelsAreSubtotals="1" fieldPosition="0">
          <references count="2">
            <reference field="4294967294" count="1" selected="0">
              <x v="9"/>
            </reference>
            <reference field="38" count="1">
              <x v="32"/>
            </reference>
          </references>
        </pivotArea>
        <pivotArea type="data" collapsedLevelsAreSubtotals="1" fieldPosition="0">
          <references count="2">
            <reference field="4294967294" count="1" selected="0">
              <x v="9"/>
            </reference>
            <reference field="38" count="1">
              <x v="6"/>
            </reference>
          </references>
        </pivotArea>
        <pivotArea type="data" collapsedLevelsAreSubtotals="1" fieldPosition="0">
          <references count="2">
            <reference field="4294967294" count="1" selected="0">
              <x v="9"/>
            </reference>
            <reference field="38" count="1">
              <x v="38"/>
            </reference>
          </references>
        </pivotArea>
        <pivotArea type="data" collapsedLevelsAreSubtotals="1" fieldPosition="0">
          <references count="2">
            <reference field="4294967294" count="1" selected="0">
              <x v="9"/>
            </reference>
            <reference field="38" count="1">
              <x v="35"/>
            </reference>
          </references>
        </pivotArea>
        <pivotArea type="data" collapsedLevelsAreSubtotals="1" fieldPosition="0">
          <references count="2">
            <reference field="4294967294" count="1" selected="0">
              <x v="9"/>
            </reference>
            <reference field="38" count="1">
              <x v="9"/>
            </reference>
          </references>
        </pivotArea>
        <pivotArea type="data" collapsedLevelsAreSubtotals="1" fieldPosition="0">
          <references count="2">
            <reference field="4294967294" count="1" selected="0">
              <x v="9"/>
            </reference>
            <reference field="38" count="1">
              <x v="0"/>
            </reference>
          </references>
        </pivotArea>
        <pivotArea type="data" collapsedLevelsAreSubtotals="1" fieldPosition="0">
          <references count="2">
            <reference field="4294967294" count="1" selected="0">
              <x v="9"/>
            </reference>
            <reference field="38" count="1">
              <x v="12"/>
            </reference>
          </references>
        </pivotArea>
        <pivotArea type="data" collapsedLevelsAreSubtotals="1" fieldPosition="0">
          <references count="2">
            <reference field="4294967294" count="1" selected="0">
              <x v="9"/>
            </reference>
            <reference field="38" count="1">
              <x v="14"/>
            </reference>
          </references>
        </pivotArea>
        <pivotArea type="data" collapsedLevelsAreSubtotals="1" fieldPosition="0">
          <references count="2">
            <reference field="4294967294" count="1" selected="0">
              <x v="9"/>
            </reference>
            <reference field="38" count="1">
              <x v="15"/>
            </reference>
          </references>
        </pivotArea>
        <pivotArea type="data" collapsedLevelsAreSubtotals="1" fieldPosition="0">
          <references count="2">
            <reference field="4294967294" count="1" selected="0">
              <x v="9"/>
            </reference>
            <reference field="38" count="1">
              <x v="1"/>
            </reference>
          </references>
        </pivotArea>
        <pivotArea type="data" collapsedLevelsAreSubtotals="1" fieldPosition="0">
          <references count="2">
            <reference field="4294967294" count="1" selected="0">
              <x v="9"/>
            </reference>
            <reference field="38" count="1">
              <x v="8"/>
            </reference>
          </references>
        </pivotArea>
        <pivotArea type="data" collapsedLevelsAreSubtotals="1" fieldPosition="0">
          <references count="2">
            <reference field="4294967294" count="1" selected="0">
              <x v="9"/>
            </reference>
            <reference field="38" count="1">
              <x v="91"/>
            </reference>
          </references>
        </pivotArea>
        <pivotArea type="data" collapsedLevelsAreSubtotals="1" fieldPosition="0">
          <references count="2">
            <reference field="4294967294" count="1" selected="0">
              <x v="9"/>
            </reference>
            <reference field="38" count="1">
              <x v="44"/>
            </reference>
          </references>
        </pivotArea>
        <pivotArea type="data" collapsedLevelsAreSubtotals="1" fieldPosition="0">
          <references count="2">
            <reference field="4294967294" count="1" selected="0">
              <x v="9"/>
            </reference>
            <reference field="38" count="1">
              <x v="7"/>
            </reference>
          </references>
        </pivotArea>
        <pivotArea type="data" collapsedLevelsAreSubtotals="1" fieldPosition="0">
          <references count="2">
            <reference field="4294967294" count="1" selected="0">
              <x v="9"/>
            </reference>
            <reference field="38" count="1">
              <x v="49"/>
            </reference>
          </references>
        </pivotArea>
        <pivotArea type="data" collapsedLevelsAreSubtotals="1" fieldPosition="0">
          <references count="2">
            <reference field="4294967294" count="1" selected="0">
              <x v="9"/>
            </reference>
            <reference field="38" count="1">
              <x v="89"/>
            </reference>
          </references>
        </pivotArea>
        <pivotArea type="data" collapsedLevelsAreSubtotals="1" fieldPosition="0">
          <references count="2">
            <reference field="4294967294" count="1" selected="0">
              <x v="9"/>
            </reference>
            <reference field="38" count="1">
              <x v="3"/>
            </reference>
          </references>
        </pivotArea>
        <pivotArea type="data" collapsedLevelsAreSubtotals="1" fieldPosition="0">
          <references count="2">
            <reference field="4294967294" count="1" selected="0">
              <x v="9"/>
            </reference>
            <reference field="38" count="1">
              <x v="41"/>
            </reference>
          </references>
        </pivotArea>
        <pivotArea type="data" collapsedLevelsAreSubtotals="1" fieldPosition="0">
          <references count="2">
            <reference field="4294967294" count="1" selected="0">
              <x v="9"/>
            </reference>
            <reference field="38" count="1">
              <x v="69"/>
            </reference>
          </references>
        </pivotArea>
        <pivotArea type="data" collapsedLevelsAreSubtotals="1" fieldPosition="0">
          <references count="2">
            <reference field="4294967294" count="1" selected="0">
              <x v="9"/>
            </reference>
            <reference field="38" count="1">
              <x v="42"/>
            </reference>
          </references>
        </pivotArea>
        <pivotArea type="data" collapsedLevelsAreSubtotals="1" fieldPosition="0">
          <references count="2">
            <reference field="4294967294" count="1" selected="0">
              <x v="9"/>
            </reference>
            <reference field="38" count="1">
              <x v="83"/>
            </reference>
          </references>
        </pivotArea>
        <pivotArea type="data" collapsedLevelsAreSubtotals="1" fieldPosition="0">
          <references count="2">
            <reference field="4294967294" count="1" selected="0">
              <x v="9"/>
            </reference>
            <reference field="38" count="1">
              <x v="70"/>
            </reference>
          </references>
        </pivotArea>
        <pivotArea type="data" collapsedLevelsAreSubtotals="1" fieldPosition="0">
          <references count="2">
            <reference field="4294967294" count="1" selected="0">
              <x v="9"/>
            </reference>
            <reference field="38" count="1">
              <x v="84"/>
            </reference>
          </references>
        </pivotArea>
        <pivotArea type="data" collapsedLevelsAreSubtotals="1" fieldPosition="0">
          <references count="2">
            <reference field="4294967294" count="1" selected="0">
              <x v="9"/>
            </reference>
            <reference field="38" count="1">
              <x v="100"/>
            </reference>
          </references>
        </pivotArea>
        <pivotArea type="data" collapsedLevelsAreSubtotals="1" fieldPosition="0">
          <references count="2">
            <reference field="4294967294" count="1" selected="0">
              <x v="9"/>
            </reference>
            <reference field="38" count="1">
              <x v="85"/>
            </reference>
          </references>
        </pivotArea>
        <pivotArea type="data" collapsedLevelsAreSubtotals="1" fieldPosition="0">
          <references count="2">
            <reference field="4294967294" count="1" selected="0">
              <x v="9"/>
            </reference>
            <reference field="38" count="1">
              <x v="80"/>
            </reference>
          </references>
        </pivotArea>
        <pivotArea type="data" collapsedLevelsAreSubtotals="1" fieldPosition="0">
          <references count="2">
            <reference field="4294967294" count="1" selected="0">
              <x v="9"/>
            </reference>
            <reference field="38" count="1">
              <x v="36"/>
            </reference>
          </references>
        </pivotArea>
        <pivotArea type="data" collapsedLevelsAreSubtotals="1" fieldPosition="0">
          <references count="2">
            <reference field="4294967294" count="1" selected="0">
              <x v="9"/>
            </reference>
            <reference field="38" count="1">
              <x v="96"/>
            </reference>
          </references>
        </pivotArea>
        <pivotArea type="data" collapsedLevelsAreSubtotals="1" fieldPosition="0">
          <references count="2">
            <reference field="4294967294" count="1" selected="0">
              <x v="9"/>
            </reference>
            <reference field="38" count="1">
              <x v="26"/>
            </reference>
          </references>
        </pivotArea>
        <pivotArea type="data" collapsedLevelsAreSubtotals="1" fieldPosition="0">
          <references count="2">
            <reference field="4294967294" count="1" selected="0">
              <x v="9"/>
            </reference>
            <reference field="38" count="1">
              <x v="47"/>
            </reference>
          </references>
        </pivotArea>
        <pivotArea type="data" collapsedLevelsAreSubtotals="1" fieldPosition="0">
          <references count="2">
            <reference field="4294967294" count="1" selected="0">
              <x v="9"/>
            </reference>
            <reference field="38" count="1">
              <x v="63"/>
            </reference>
          </references>
        </pivotArea>
        <pivotArea type="data" collapsedLevelsAreSubtotals="1" fieldPosition="0">
          <references count="2">
            <reference field="4294967294" count="1" selected="0">
              <x v="9"/>
            </reference>
            <reference field="38" count="1">
              <x v="82"/>
            </reference>
          </references>
        </pivotArea>
        <pivotArea type="data" collapsedLevelsAreSubtotals="1" fieldPosition="0">
          <references count="2">
            <reference field="4294967294" count="1" selected="0">
              <x v="9"/>
            </reference>
            <reference field="38" count="1">
              <x v="64"/>
            </reference>
          </references>
        </pivotArea>
        <pivotArea type="data" collapsedLevelsAreSubtotals="1" fieldPosition="0">
          <references count="2">
            <reference field="4294967294" count="1" selected="0">
              <x v="9"/>
            </reference>
            <reference field="38" count="1">
              <x v="22"/>
            </reference>
          </references>
        </pivotArea>
        <pivotArea type="data" collapsedLevelsAreSubtotals="1" fieldPosition="0">
          <references count="2">
            <reference field="4294967294" count="1" selected="0">
              <x v="9"/>
            </reference>
            <reference field="38" count="1">
              <x v="65"/>
            </reference>
          </references>
        </pivotArea>
        <pivotArea type="data" collapsedLevelsAreSubtotals="1" fieldPosition="0">
          <references count="2">
            <reference field="4294967294" count="1" selected="0">
              <x v="9"/>
            </reference>
            <reference field="38" count="1">
              <x v="98"/>
            </reference>
          </references>
        </pivotArea>
        <pivotArea type="data" collapsedLevelsAreSubtotals="1" fieldPosition="0">
          <references count="2">
            <reference field="4294967294" count="1" selected="0">
              <x v="9"/>
            </reference>
            <reference field="38" count="1">
              <x v="66"/>
            </reference>
          </references>
        </pivotArea>
        <pivotArea type="data" collapsedLevelsAreSubtotals="1" fieldPosition="0">
          <references count="2">
            <reference field="4294967294" count="1" selected="0">
              <x v="9"/>
            </reference>
            <reference field="38" count="1">
              <x v="23"/>
            </reference>
          </references>
        </pivotArea>
        <pivotArea type="data" collapsedLevelsAreSubtotals="1" fieldPosition="0">
          <references count="2">
            <reference field="4294967294" count="1" selected="0">
              <x v="9"/>
            </reference>
            <reference field="38" count="1">
              <x v="67"/>
            </reference>
          </references>
        </pivotArea>
        <pivotArea type="data" collapsedLevelsAreSubtotals="1" fieldPosition="0">
          <references count="2">
            <reference field="4294967294" count="1" selected="0">
              <x v="9"/>
            </reference>
            <reference field="38" count="1">
              <x v="79"/>
            </reference>
          </references>
        </pivotArea>
        <pivotArea type="data" collapsedLevelsAreSubtotals="1" fieldPosition="0">
          <references count="2">
            <reference field="4294967294" count="1" selected="0">
              <x v="9"/>
            </reference>
            <reference field="38" count="1">
              <x v="39"/>
            </reference>
          </references>
        </pivotArea>
        <pivotArea type="data" collapsedLevelsAreSubtotals="1" fieldPosition="0">
          <references count="2">
            <reference field="4294967294" count="1" selected="0">
              <x v="9"/>
            </reference>
            <reference field="38" count="1">
              <x v="81"/>
            </reference>
          </references>
        </pivotArea>
        <pivotArea type="data" collapsedLevelsAreSubtotals="1" fieldPosition="0">
          <references count="2">
            <reference field="4294967294" count="1" selected="0">
              <x v="9"/>
            </reference>
            <reference field="38" count="1">
              <x v="31"/>
            </reference>
          </references>
        </pivotArea>
        <pivotArea type="data" collapsedLevelsAreSubtotals="1" fieldPosition="0">
          <references count="2">
            <reference field="4294967294" count="1" selected="0">
              <x v="9"/>
            </reference>
            <reference field="38" count="1">
              <x v="16"/>
            </reference>
          </references>
        </pivotArea>
        <pivotArea type="data" collapsedLevelsAreSubtotals="1" fieldPosition="0">
          <references count="2">
            <reference field="4294967294" count="1" selected="0">
              <x v="9"/>
            </reference>
            <reference field="38" count="1">
              <x v="58"/>
            </reference>
          </references>
        </pivotArea>
        <pivotArea type="data" collapsedLevelsAreSubtotals="1" fieldPosition="0">
          <references count="2">
            <reference field="4294967294" count="1" selected="0">
              <x v="9"/>
            </reference>
            <reference field="38" count="1">
              <x v="45"/>
            </reference>
          </references>
        </pivotArea>
        <pivotArea type="data" collapsedLevelsAreSubtotals="1" fieldPosition="0">
          <references count="2">
            <reference field="4294967294" count="1" selected="0">
              <x v="9"/>
            </reference>
            <reference field="38" count="1">
              <x v="18"/>
            </reference>
          </references>
        </pivotArea>
        <pivotArea type="data" collapsedLevelsAreSubtotals="1" fieldPosition="0">
          <references count="2">
            <reference field="4294967294" count="1" selected="0">
              <x v="9"/>
            </reference>
            <reference field="38" count="1">
              <x v="106"/>
            </reference>
          </references>
        </pivotArea>
        <pivotArea type="data" collapsedLevelsAreSubtotals="1" fieldPosition="0">
          <references count="2">
            <reference field="4294967294" count="1" selected="0">
              <x v="9"/>
            </reference>
            <reference field="38" count="1">
              <x v="90"/>
            </reference>
          </references>
        </pivotArea>
        <pivotArea type="data" collapsedLevelsAreSubtotals="1" fieldPosition="0">
          <references count="2">
            <reference field="4294967294" count="1" selected="0">
              <x v="9"/>
            </reference>
            <reference field="38" count="1">
              <x v="48"/>
            </reference>
          </references>
        </pivotArea>
        <pivotArea type="data" collapsedLevelsAreSubtotals="1" fieldPosition="0">
          <references count="2">
            <reference field="4294967294" count="1" selected="0">
              <x v="9"/>
            </reference>
            <reference field="38" count="1">
              <x v="93"/>
            </reference>
          </references>
        </pivotArea>
        <pivotArea type="data" collapsedLevelsAreSubtotals="1" fieldPosition="0">
          <references count="2">
            <reference field="4294967294" count="1" selected="0">
              <x v="9"/>
            </reference>
            <reference field="38" count="1">
              <x v="103"/>
            </reference>
          </references>
        </pivotArea>
        <pivotArea type="data" collapsedLevelsAreSubtotals="1" fieldPosition="0">
          <references count="2">
            <reference field="4294967294" count="1" selected="0">
              <x v="9"/>
            </reference>
            <reference field="38" count="1">
              <x v="97"/>
            </reference>
          </references>
        </pivotArea>
        <pivotArea type="data" collapsedLevelsAreSubtotals="1" fieldPosition="0">
          <references count="2">
            <reference field="4294967294" count="1" selected="0">
              <x v="9"/>
            </reference>
            <reference field="38" count="1">
              <x v="10"/>
            </reference>
          </references>
        </pivotArea>
        <pivotArea type="data" collapsedLevelsAreSubtotals="1" fieldPosition="0">
          <references count="2">
            <reference field="4294967294" count="1" selected="0">
              <x v="9"/>
            </reference>
            <reference field="38" count="1">
              <x v="99"/>
            </reference>
          </references>
        </pivotArea>
        <pivotArea type="data" collapsedLevelsAreSubtotals="1" fieldPosition="0">
          <references count="2">
            <reference field="4294967294" count="1" selected="0">
              <x v="9"/>
            </reference>
            <reference field="38" count="1">
              <x v="29"/>
            </reference>
          </references>
        </pivotArea>
        <pivotArea type="data" collapsedLevelsAreSubtotals="1" fieldPosition="0">
          <references count="2">
            <reference field="4294967294" count="1" selected="0">
              <x v="9"/>
            </reference>
            <reference field="38" count="1">
              <x v="101"/>
            </reference>
          </references>
        </pivotArea>
        <pivotArea type="data" collapsedLevelsAreSubtotals="1" fieldPosition="0">
          <references count="2">
            <reference field="4294967294" count="1" selected="0">
              <x v="9"/>
            </reference>
            <reference field="38" count="1">
              <x v="21"/>
            </reference>
          </references>
        </pivotArea>
        <pivotArea type="data" collapsedLevelsAreSubtotals="1" fieldPosition="0">
          <references count="2">
            <reference field="4294967294" count="1" selected="0">
              <x v="9"/>
            </reference>
            <reference field="38" count="1">
              <x v="76"/>
            </reference>
          </references>
        </pivotArea>
        <pivotArea type="data" collapsedLevelsAreSubtotals="1" fieldPosition="0">
          <references count="2">
            <reference field="4294967294" count="1" selected="0">
              <x v="9"/>
            </reference>
            <reference field="38" count="1">
              <x v="46"/>
            </reference>
          </references>
        </pivotArea>
        <pivotArea type="data" collapsedLevelsAreSubtotals="1" fieldPosition="0">
          <references count="2">
            <reference field="4294967294" count="1" selected="0">
              <x v="9"/>
            </reference>
            <reference field="38" count="1">
              <x v="72"/>
            </reference>
          </references>
        </pivotArea>
        <pivotArea type="data" collapsedLevelsAreSubtotals="1" fieldPosition="0">
          <references count="2">
            <reference field="4294967294" count="1" selected="0">
              <x v="9"/>
            </reference>
            <reference field="38" count="1">
              <x v="4"/>
            </reference>
          </references>
        </pivotArea>
        <pivotArea type="data" collapsedLevelsAreSubtotals="1" fieldPosition="0">
          <references count="2">
            <reference field="4294967294" count="1" selected="0">
              <x v="9"/>
            </reference>
            <reference field="38" count="1">
              <x v="53"/>
            </reference>
          </references>
        </pivotArea>
        <pivotArea type="data" collapsedLevelsAreSubtotals="1" fieldPosition="0">
          <references count="2">
            <reference field="4294967294" count="1" selected="0">
              <x v="9"/>
            </reference>
            <reference field="38" count="1">
              <x v="55"/>
            </reference>
          </references>
        </pivotArea>
        <pivotArea type="data" collapsedLevelsAreSubtotals="1" fieldPosition="0">
          <references count="2">
            <reference field="4294967294" count="1" selected="0">
              <x v="9"/>
            </reference>
            <reference field="38" count="1">
              <x v="20"/>
            </reference>
          </references>
        </pivotArea>
        <pivotArea type="data" collapsedLevelsAreSubtotals="1" fieldPosition="0">
          <references count="2">
            <reference field="4294967294" count="1" selected="0">
              <x v="9"/>
            </reference>
            <reference field="38" count="1">
              <x v="88"/>
            </reference>
          </references>
        </pivotArea>
        <pivotArea type="data" collapsedLevelsAreSubtotals="1" fieldPosition="0">
          <references count="2">
            <reference field="4294967294" count="1" selected="0">
              <x v="9"/>
            </reference>
            <reference field="38" count="1">
              <x v="78"/>
            </reference>
          </references>
        </pivotArea>
        <pivotArea type="data" collapsedLevelsAreSubtotals="1" fieldPosition="0">
          <references count="2">
            <reference field="4294967294" count="1" selected="0">
              <x v="9"/>
            </reference>
            <reference field="38" count="1">
              <x v="50"/>
            </reference>
          </references>
        </pivotArea>
        <pivotArea type="data" collapsedLevelsAreSubtotals="1" fieldPosition="0">
          <references count="2">
            <reference field="4294967294" count="1" selected="0">
              <x v="9"/>
            </reference>
            <reference field="38" count="1">
              <x v="87"/>
            </reference>
          </references>
        </pivotArea>
        <pivotArea type="data" collapsedLevelsAreSubtotals="1" fieldPosition="0">
          <references count="2">
            <reference field="4294967294" count="1" selected="0">
              <x v="9"/>
            </reference>
            <reference field="38" count="1">
              <x v="34"/>
            </reference>
          </references>
        </pivotArea>
        <pivotArea type="data" collapsedLevelsAreSubtotals="1" fieldPosition="0">
          <references count="2">
            <reference field="4294967294" count="1" selected="0">
              <x v="9"/>
            </reference>
            <reference field="38" count="1">
              <x v="95"/>
            </reference>
          </references>
        </pivotArea>
        <pivotArea type="data" collapsedLevelsAreSubtotals="1" fieldPosition="0">
          <references count="3">
            <reference field="4294967294" count="1" selected="0">
              <x v="9"/>
            </reference>
            <reference field="0" count="4">
              <x v="1"/>
              <x v="2"/>
              <x v="3"/>
              <x v="4"/>
            </reference>
            <reference field="38" count="1" selected="0">
              <x v="95"/>
            </reference>
          </references>
        </pivotArea>
        <pivotArea type="data" collapsedLevelsAreSubtotals="1" fieldPosition="0">
          <references count="2">
            <reference field="4294967294" count="1" selected="0">
              <x v="9"/>
            </reference>
            <reference field="38" count="1">
              <x v="105"/>
            </reference>
          </references>
        </pivotArea>
        <pivotArea type="data" collapsedLevelsAreSubtotals="1" fieldPosition="0">
          <references count="2">
            <reference field="4294967294" count="1" selected="0">
              <x v="9"/>
            </reference>
            <reference field="38" count="1">
              <x v="30"/>
            </reference>
          </references>
        </pivotArea>
        <pivotArea type="data" collapsedLevelsAreSubtotals="1" fieldPosition="0">
          <references count="2">
            <reference field="4294967294" count="1" selected="0">
              <x v="9"/>
            </reference>
            <reference field="38" count="1">
              <x v="94"/>
            </reference>
          </references>
        </pivotArea>
        <pivotArea type="data" collapsedLevelsAreSubtotals="1" fieldPosition="0">
          <references count="2">
            <reference field="4294967294" count="1" selected="0">
              <x v="9"/>
            </reference>
            <reference field="38" count="1">
              <x v="37"/>
            </reference>
          </references>
        </pivotArea>
        <pivotArea type="data" collapsedLevelsAreSubtotals="1" fieldPosition="0">
          <references count="2">
            <reference field="4294967294" count="1" selected="0">
              <x v="9"/>
            </reference>
            <reference field="38" count="1">
              <x v="92"/>
            </reference>
          </references>
        </pivotArea>
      </pivotAreas>
    </conditionalFormat>
    <conditionalFormat priority="6">
      <pivotAreas count="108">
        <pivotArea type="data" collapsedLevelsAreSubtotals="1" fieldPosition="0">
          <references count="2">
            <reference field="4294967294" count="1" selected="0">
              <x v="5"/>
            </reference>
            <reference field="38" count="1">
              <x v="56"/>
            </reference>
          </references>
        </pivotArea>
        <pivotArea type="data" collapsedLevelsAreSubtotals="1" fieldPosition="0">
          <references count="2">
            <reference field="4294967294" count="1" selected="0">
              <x v="5"/>
            </reference>
            <reference field="38" count="1">
              <x v="60"/>
            </reference>
          </references>
        </pivotArea>
        <pivotArea type="data" collapsedLevelsAreSubtotals="1" fieldPosition="0">
          <references count="2">
            <reference field="4294967294" count="1" selected="0">
              <x v="5"/>
            </reference>
            <reference field="38" count="1">
              <x v="25"/>
            </reference>
          </references>
        </pivotArea>
        <pivotArea type="data" collapsedLevelsAreSubtotals="1" fieldPosition="0">
          <references count="2">
            <reference field="4294967294" count="1" selected="0">
              <x v="5"/>
            </reference>
            <reference field="38" count="1">
              <x v="28"/>
            </reference>
          </references>
        </pivotArea>
        <pivotArea type="data" collapsedLevelsAreSubtotals="1" fieldPosition="0">
          <references count="2">
            <reference field="4294967294" count="1" selected="0">
              <x v="5"/>
            </reference>
            <reference field="38" count="1">
              <x v="86"/>
            </reference>
          </references>
        </pivotArea>
        <pivotArea type="data" collapsedLevelsAreSubtotals="1" fieldPosition="0">
          <references count="2">
            <reference field="4294967294" count="1" selected="0">
              <x v="5"/>
            </reference>
            <reference field="38" count="1">
              <x v="102"/>
            </reference>
          </references>
        </pivotArea>
        <pivotArea type="data" collapsedLevelsAreSubtotals="1" fieldPosition="0">
          <references count="2">
            <reference field="4294967294" count="1" selected="0">
              <x v="5"/>
            </reference>
            <reference field="38" count="1">
              <x v="40"/>
            </reference>
          </references>
        </pivotArea>
        <pivotArea type="data" collapsedLevelsAreSubtotals="1" fieldPosition="0">
          <references count="2">
            <reference field="4294967294" count="1" selected="0">
              <x v="5"/>
            </reference>
            <reference field="38" count="1">
              <x v="51"/>
            </reference>
          </references>
        </pivotArea>
        <pivotArea type="data" collapsedLevelsAreSubtotals="1" fieldPosition="0">
          <references count="2">
            <reference field="4294967294" count="1" selected="0">
              <x v="5"/>
            </reference>
            <reference field="38" count="1">
              <x v="75"/>
            </reference>
          </references>
        </pivotArea>
        <pivotArea type="data" collapsedLevelsAreSubtotals="1" fieldPosition="0">
          <references count="2">
            <reference field="4294967294" count="1" selected="0">
              <x v="5"/>
            </reference>
            <reference field="38" count="1">
              <x v="54"/>
            </reference>
          </references>
        </pivotArea>
        <pivotArea type="data" collapsedLevelsAreSubtotals="1" fieldPosition="0">
          <references count="2">
            <reference field="4294967294" count="1" selected="0">
              <x v="5"/>
            </reference>
            <reference field="38" count="1">
              <x v="24"/>
            </reference>
          </references>
        </pivotArea>
        <pivotArea type="data" collapsedLevelsAreSubtotals="1" fieldPosition="0">
          <references count="2">
            <reference field="4294967294" count="1" selected="0">
              <x v="5"/>
            </reference>
            <reference field="38" count="1">
              <x v="77"/>
            </reference>
          </references>
        </pivotArea>
        <pivotArea type="data" collapsedLevelsAreSubtotals="1" fieldPosition="0">
          <references count="2">
            <reference field="4294967294" count="1" selected="0">
              <x v="5"/>
            </reference>
            <reference field="38" count="1">
              <x v="104"/>
            </reference>
          </references>
        </pivotArea>
        <pivotArea type="data" collapsedLevelsAreSubtotals="1" fieldPosition="0">
          <references count="2">
            <reference field="4294967294" count="1" selected="0">
              <x v="5"/>
            </reference>
            <reference field="38" count="1">
              <x v="52"/>
            </reference>
          </references>
        </pivotArea>
        <pivotArea type="data" collapsedLevelsAreSubtotals="1" fieldPosition="0">
          <references count="2">
            <reference field="4294967294" count="1" selected="0">
              <x v="5"/>
            </reference>
            <reference field="38" count="1">
              <x v="33"/>
            </reference>
          </references>
        </pivotArea>
        <pivotArea type="data" collapsedLevelsAreSubtotals="1" fieldPosition="0">
          <references count="2">
            <reference field="4294967294" count="1" selected="0">
              <x v="5"/>
            </reference>
            <reference field="38" count="1">
              <x v="27"/>
            </reference>
          </references>
        </pivotArea>
        <pivotArea type="data" collapsedLevelsAreSubtotals="1" fieldPosition="0">
          <references count="2">
            <reference field="4294967294" count="1" selected="0">
              <x v="5"/>
            </reference>
            <reference field="38" count="1">
              <x v="59"/>
            </reference>
          </references>
        </pivotArea>
        <pivotArea type="data" collapsedLevelsAreSubtotals="1" fieldPosition="0">
          <references count="2">
            <reference field="4294967294" count="1" selected="0">
              <x v="5"/>
            </reference>
            <reference field="38" count="1">
              <x v="11"/>
            </reference>
          </references>
        </pivotArea>
        <pivotArea type="data" collapsedLevelsAreSubtotals="1" fieldPosition="0">
          <references count="2">
            <reference field="4294967294" count="1" selected="0">
              <x v="5"/>
            </reference>
            <reference field="38" count="1">
              <x v="73"/>
            </reference>
          </references>
        </pivotArea>
        <pivotArea type="data" collapsedLevelsAreSubtotals="1" fieldPosition="0">
          <references count="2">
            <reference field="4294967294" count="1" selected="0">
              <x v="5"/>
            </reference>
            <reference field="38" count="1">
              <x v="74"/>
            </reference>
          </references>
        </pivotArea>
        <pivotArea type="data" collapsedLevelsAreSubtotals="1" fieldPosition="0">
          <references count="2">
            <reference field="4294967294" count="1" selected="0">
              <x v="5"/>
            </reference>
            <reference field="38" count="1">
              <x v="5"/>
            </reference>
          </references>
        </pivotArea>
        <pivotArea type="data" collapsedLevelsAreSubtotals="1" fieldPosition="0">
          <references count="2">
            <reference field="4294967294" count="1" selected="0">
              <x v="5"/>
            </reference>
            <reference field="38" count="1">
              <x v="61"/>
            </reference>
          </references>
        </pivotArea>
        <pivotArea type="data" collapsedLevelsAreSubtotals="1" fieldPosition="0">
          <references count="2">
            <reference field="4294967294" count="1" selected="0">
              <x v="5"/>
            </reference>
            <reference field="38" count="1">
              <x v="17"/>
            </reference>
          </references>
        </pivotArea>
        <pivotArea type="data" collapsedLevelsAreSubtotals="1" fieldPosition="0">
          <references count="2">
            <reference field="4294967294" count="1" selected="0">
              <x v="5"/>
            </reference>
            <reference field="38" count="1">
              <x v="62"/>
            </reference>
          </references>
        </pivotArea>
        <pivotArea type="data" collapsedLevelsAreSubtotals="1" fieldPosition="0">
          <references count="2">
            <reference field="4294967294" count="1" selected="0">
              <x v="5"/>
            </reference>
            <reference field="38" count="1">
              <x v="43"/>
            </reference>
          </references>
        </pivotArea>
        <pivotArea type="data" collapsedLevelsAreSubtotals="1" fieldPosition="0">
          <references count="2">
            <reference field="4294967294" count="1" selected="0">
              <x v="5"/>
            </reference>
            <reference field="38" count="1">
              <x v="13"/>
            </reference>
          </references>
        </pivotArea>
        <pivotArea type="data" collapsedLevelsAreSubtotals="1" fieldPosition="0">
          <references count="2">
            <reference field="4294967294" count="1" selected="0">
              <x v="5"/>
            </reference>
            <reference field="38" count="1">
              <x v="68"/>
            </reference>
          </references>
        </pivotArea>
        <pivotArea type="data" collapsedLevelsAreSubtotals="1" fieldPosition="0">
          <references count="2">
            <reference field="4294967294" count="1" selected="0">
              <x v="5"/>
            </reference>
            <reference field="38" count="1">
              <x v="2"/>
            </reference>
          </references>
        </pivotArea>
        <pivotArea type="data" collapsedLevelsAreSubtotals="1" fieldPosition="0">
          <references count="2">
            <reference field="4294967294" count="1" selected="0">
              <x v="5"/>
            </reference>
            <reference field="38" count="1">
              <x v="57"/>
            </reference>
          </references>
        </pivotArea>
        <pivotArea type="data" collapsedLevelsAreSubtotals="1" fieldPosition="0">
          <references count="2">
            <reference field="4294967294" count="1" selected="0">
              <x v="5"/>
            </reference>
            <reference field="38" count="1">
              <x v="19"/>
            </reference>
          </references>
        </pivotArea>
        <pivotArea type="data" collapsedLevelsAreSubtotals="1" fieldPosition="0">
          <references count="2">
            <reference field="4294967294" count="1" selected="0">
              <x v="5"/>
            </reference>
            <reference field="38" count="1">
              <x v="71"/>
            </reference>
          </references>
        </pivotArea>
        <pivotArea type="data" collapsedLevelsAreSubtotals="1" fieldPosition="0">
          <references count="2">
            <reference field="4294967294" count="1" selected="0">
              <x v="5"/>
            </reference>
            <reference field="38" count="1">
              <x v="32"/>
            </reference>
          </references>
        </pivotArea>
        <pivotArea type="data" collapsedLevelsAreSubtotals="1" fieldPosition="0">
          <references count="2">
            <reference field="4294967294" count="1" selected="0">
              <x v="5"/>
            </reference>
            <reference field="38" count="1">
              <x v="6"/>
            </reference>
          </references>
        </pivotArea>
        <pivotArea type="data" collapsedLevelsAreSubtotals="1" fieldPosition="0">
          <references count="2">
            <reference field="4294967294" count="1" selected="0">
              <x v="5"/>
            </reference>
            <reference field="38" count="1">
              <x v="38"/>
            </reference>
          </references>
        </pivotArea>
        <pivotArea type="data" collapsedLevelsAreSubtotals="1" fieldPosition="0">
          <references count="2">
            <reference field="4294967294" count="1" selected="0">
              <x v="5"/>
            </reference>
            <reference field="38" count="1">
              <x v="35"/>
            </reference>
          </references>
        </pivotArea>
        <pivotArea type="data" collapsedLevelsAreSubtotals="1" fieldPosition="0">
          <references count="2">
            <reference field="4294967294" count="1" selected="0">
              <x v="5"/>
            </reference>
            <reference field="38" count="1">
              <x v="9"/>
            </reference>
          </references>
        </pivotArea>
        <pivotArea type="data" collapsedLevelsAreSubtotals="1" fieldPosition="0">
          <references count="2">
            <reference field="4294967294" count="1" selected="0">
              <x v="5"/>
            </reference>
            <reference field="38" count="1">
              <x v="0"/>
            </reference>
          </references>
        </pivotArea>
        <pivotArea type="data" collapsedLevelsAreSubtotals="1" fieldPosition="0">
          <references count="2">
            <reference field="4294967294" count="1" selected="0">
              <x v="5"/>
            </reference>
            <reference field="38" count="1">
              <x v="12"/>
            </reference>
          </references>
        </pivotArea>
        <pivotArea type="data" collapsedLevelsAreSubtotals="1" fieldPosition="0">
          <references count="2">
            <reference field="4294967294" count="1" selected="0">
              <x v="5"/>
            </reference>
            <reference field="38" count="1">
              <x v="14"/>
            </reference>
          </references>
        </pivotArea>
        <pivotArea type="data" collapsedLevelsAreSubtotals="1" fieldPosition="0">
          <references count="2">
            <reference field="4294967294" count="1" selected="0">
              <x v="5"/>
            </reference>
            <reference field="38" count="1">
              <x v="15"/>
            </reference>
          </references>
        </pivotArea>
        <pivotArea type="data" collapsedLevelsAreSubtotals="1" fieldPosition="0">
          <references count="2">
            <reference field="4294967294" count="1" selected="0">
              <x v="5"/>
            </reference>
            <reference field="38" count="1">
              <x v="1"/>
            </reference>
          </references>
        </pivotArea>
        <pivotArea type="data" collapsedLevelsAreSubtotals="1" fieldPosition="0">
          <references count="2">
            <reference field="4294967294" count="1" selected="0">
              <x v="5"/>
            </reference>
            <reference field="38" count="1">
              <x v="8"/>
            </reference>
          </references>
        </pivotArea>
        <pivotArea type="data" collapsedLevelsAreSubtotals="1" fieldPosition="0">
          <references count="2">
            <reference field="4294967294" count="1" selected="0">
              <x v="5"/>
            </reference>
            <reference field="38" count="1">
              <x v="91"/>
            </reference>
          </references>
        </pivotArea>
        <pivotArea type="data" collapsedLevelsAreSubtotals="1" fieldPosition="0">
          <references count="2">
            <reference field="4294967294" count="1" selected="0">
              <x v="5"/>
            </reference>
            <reference field="38" count="1">
              <x v="44"/>
            </reference>
          </references>
        </pivotArea>
        <pivotArea type="data" collapsedLevelsAreSubtotals="1" fieldPosition="0">
          <references count="2">
            <reference field="4294967294" count="1" selected="0">
              <x v="5"/>
            </reference>
            <reference field="38" count="1">
              <x v="7"/>
            </reference>
          </references>
        </pivotArea>
        <pivotArea type="data" collapsedLevelsAreSubtotals="1" fieldPosition="0">
          <references count="2">
            <reference field="4294967294" count="1" selected="0">
              <x v="5"/>
            </reference>
            <reference field="38" count="1">
              <x v="49"/>
            </reference>
          </references>
        </pivotArea>
        <pivotArea type="data" collapsedLevelsAreSubtotals="1" fieldPosition="0">
          <references count="2">
            <reference field="4294967294" count="1" selected="0">
              <x v="5"/>
            </reference>
            <reference field="38" count="1">
              <x v="89"/>
            </reference>
          </references>
        </pivotArea>
        <pivotArea type="data" collapsedLevelsAreSubtotals="1" fieldPosition="0">
          <references count="2">
            <reference field="4294967294" count="1" selected="0">
              <x v="5"/>
            </reference>
            <reference field="38" count="1">
              <x v="3"/>
            </reference>
          </references>
        </pivotArea>
        <pivotArea type="data" collapsedLevelsAreSubtotals="1" fieldPosition="0">
          <references count="2">
            <reference field="4294967294" count="1" selected="0">
              <x v="5"/>
            </reference>
            <reference field="38" count="1">
              <x v="41"/>
            </reference>
          </references>
        </pivotArea>
        <pivotArea type="data" collapsedLevelsAreSubtotals="1" fieldPosition="0">
          <references count="2">
            <reference field="4294967294" count="1" selected="0">
              <x v="5"/>
            </reference>
            <reference field="38" count="1">
              <x v="69"/>
            </reference>
          </references>
        </pivotArea>
        <pivotArea type="data" collapsedLevelsAreSubtotals="1" fieldPosition="0">
          <references count="2">
            <reference field="4294967294" count="1" selected="0">
              <x v="5"/>
            </reference>
            <reference field="38" count="1">
              <x v="42"/>
            </reference>
          </references>
        </pivotArea>
        <pivotArea type="data" collapsedLevelsAreSubtotals="1" fieldPosition="0">
          <references count="2">
            <reference field="4294967294" count="1" selected="0">
              <x v="5"/>
            </reference>
            <reference field="38" count="1">
              <x v="83"/>
            </reference>
          </references>
        </pivotArea>
        <pivotArea type="data" collapsedLevelsAreSubtotals="1" fieldPosition="0">
          <references count="2">
            <reference field="4294967294" count="1" selected="0">
              <x v="5"/>
            </reference>
            <reference field="38" count="1">
              <x v="70"/>
            </reference>
          </references>
        </pivotArea>
        <pivotArea type="data" collapsedLevelsAreSubtotals="1" fieldPosition="0">
          <references count="2">
            <reference field="4294967294" count="1" selected="0">
              <x v="5"/>
            </reference>
            <reference field="38" count="1">
              <x v="84"/>
            </reference>
          </references>
        </pivotArea>
        <pivotArea type="data" collapsedLevelsAreSubtotals="1" fieldPosition="0">
          <references count="2">
            <reference field="4294967294" count="1" selected="0">
              <x v="5"/>
            </reference>
            <reference field="38" count="1">
              <x v="100"/>
            </reference>
          </references>
        </pivotArea>
        <pivotArea type="data" collapsedLevelsAreSubtotals="1" fieldPosition="0">
          <references count="2">
            <reference field="4294967294" count="1" selected="0">
              <x v="5"/>
            </reference>
            <reference field="38" count="1">
              <x v="85"/>
            </reference>
          </references>
        </pivotArea>
        <pivotArea type="data" collapsedLevelsAreSubtotals="1" fieldPosition="0">
          <references count="2">
            <reference field="4294967294" count="1" selected="0">
              <x v="5"/>
            </reference>
            <reference field="38" count="1">
              <x v="80"/>
            </reference>
          </references>
        </pivotArea>
        <pivotArea type="data" collapsedLevelsAreSubtotals="1" fieldPosition="0">
          <references count="2">
            <reference field="4294967294" count="1" selected="0">
              <x v="5"/>
            </reference>
            <reference field="38" count="1">
              <x v="36"/>
            </reference>
          </references>
        </pivotArea>
        <pivotArea type="data" collapsedLevelsAreSubtotals="1" fieldPosition="0">
          <references count="2">
            <reference field="4294967294" count="1" selected="0">
              <x v="5"/>
            </reference>
            <reference field="38" count="1">
              <x v="96"/>
            </reference>
          </references>
        </pivotArea>
        <pivotArea type="data" collapsedLevelsAreSubtotals="1" fieldPosition="0">
          <references count="2">
            <reference field="4294967294" count="1" selected="0">
              <x v="5"/>
            </reference>
            <reference field="38" count="1">
              <x v="26"/>
            </reference>
          </references>
        </pivotArea>
        <pivotArea type="data" collapsedLevelsAreSubtotals="1" fieldPosition="0">
          <references count="2">
            <reference field="4294967294" count="1" selected="0">
              <x v="5"/>
            </reference>
            <reference field="38" count="1">
              <x v="47"/>
            </reference>
          </references>
        </pivotArea>
        <pivotArea type="data" collapsedLevelsAreSubtotals="1" fieldPosition="0">
          <references count="2">
            <reference field="4294967294" count="1" selected="0">
              <x v="5"/>
            </reference>
            <reference field="38" count="1">
              <x v="63"/>
            </reference>
          </references>
        </pivotArea>
        <pivotArea type="data" collapsedLevelsAreSubtotals="1" fieldPosition="0">
          <references count="2">
            <reference field="4294967294" count="1" selected="0">
              <x v="5"/>
            </reference>
            <reference field="38" count="1">
              <x v="82"/>
            </reference>
          </references>
        </pivotArea>
        <pivotArea type="data" collapsedLevelsAreSubtotals="1" fieldPosition="0">
          <references count="2">
            <reference field="4294967294" count="1" selected="0">
              <x v="5"/>
            </reference>
            <reference field="38" count="1">
              <x v="64"/>
            </reference>
          </references>
        </pivotArea>
        <pivotArea type="data" collapsedLevelsAreSubtotals="1" fieldPosition="0">
          <references count="2">
            <reference field="4294967294" count="1" selected="0">
              <x v="5"/>
            </reference>
            <reference field="38" count="1">
              <x v="22"/>
            </reference>
          </references>
        </pivotArea>
        <pivotArea type="data" collapsedLevelsAreSubtotals="1" fieldPosition="0">
          <references count="2">
            <reference field="4294967294" count="1" selected="0">
              <x v="5"/>
            </reference>
            <reference field="38" count="1">
              <x v="65"/>
            </reference>
          </references>
        </pivotArea>
        <pivotArea type="data" collapsedLevelsAreSubtotals="1" fieldPosition="0">
          <references count="2">
            <reference field="4294967294" count="1" selected="0">
              <x v="5"/>
            </reference>
            <reference field="38" count="1">
              <x v="98"/>
            </reference>
          </references>
        </pivotArea>
        <pivotArea type="data" collapsedLevelsAreSubtotals="1" fieldPosition="0">
          <references count="2">
            <reference field="4294967294" count="1" selected="0">
              <x v="5"/>
            </reference>
            <reference field="38" count="1">
              <x v="66"/>
            </reference>
          </references>
        </pivotArea>
        <pivotArea type="data" collapsedLevelsAreSubtotals="1" fieldPosition="0">
          <references count="2">
            <reference field="4294967294" count="1" selected="0">
              <x v="5"/>
            </reference>
            <reference field="38" count="1">
              <x v="23"/>
            </reference>
          </references>
        </pivotArea>
        <pivotArea type="data" collapsedLevelsAreSubtotals="1" fieldPosition="0">
          <references count="2">
            <reference field="4294967294" count="1" selected="0">
              <x v="5"/>
            </reference>
            <reference field="38" count="1">
              <x v="67"/>
            </reference>
          </references>
        </pivotArea>
        <pivotArea type="data" collapsedLevelsAreSubtotals="1" fieldPosition="0">
          <references count="2">
            <reference field="4294967294" count="1" selected="0">
              <x v="5"/>
            </reference>
            <reference field="38" count="1">
              <x v="79"/>
            </reference>
          </references>
        </pivotArea>
        <pivotArea type="data" collapsedLevelsAreSubtotals="1" fieldPosition="0">
          <references count="2">
            <reference field="4294967294" count="1" selected="0">
              <x v="5"/>
            </reference>
            <reference field="38" count="1">
              <x v="39"/>
            </reference>
          </references>
        </pivotArea>
        <pivotArea type="data" collapsedLevelsAreSubtotals="1" fieldPosition="0">
          <references count="2">
            <reference field="4294967294" count="1" selected="0">
              <x v="5"/>
            </reference>
            <reference field="38" count="1">
              <x v="81"/>
            </reference>
          </references>
        </pivotArea>
        <pivotArea type="data" collapsedLevelsAreSubtotals="1" fieldPosition="0">
          <references count="2">
            <reference field="4294967294" count="1" selected="0">
              <x v="5"/>
            </reference>
            <reference field="38" count="1">
              <x v="31"/>
            </reference>
          </references>
        </pivotArea>
        <pivotArea type="data" collapsedLevelsAreSubtotals="1" fieldPosition="0">
          <references count="2">
            <reference field="4294967294" count="1" selected="0">
              <x v="5"/>
            </reference>
            <reference field="38" count="1">
              <x v="16"/>
            </reference>
          </references>
        </pivotArea>
        <pivotArea type="data" collapsedLevelsAreSubtotals="1" fieldPosition="0">
          <references count="2">
            <reference field="4294967294" count="1" selected="0">
              <x v="5"/>
            </reference>
            <reference field="38" count="1">
              <x v="58"/>
            </reference>
          </references>
        </pivotArea>
        <pivotArea type="data" collapsedLevelsAreSubtotals="1" fieldPosition="0">
          <references count="2">
            <reference field="4294967294" count="1" selected="0">
              <x v="5"/>
            </reference>
            <reference field="38" count="1">
              <x v="45"/>
            </reference>
          </references>
        </pivotArea>
        <pivotArea type="data" collapsedLevelsAreSubtotals="1" fieldPosition="0">
          <references count="2">
            <reference field="4294967294" count="1" selected="0">
              <x v="5"/>
            </reference>
            <reference field="38" count="1">
              <x v="18"/>
            </reference>
          </references>
        </pivotArea>
        <pivotArea type="data" collapsedLevelsAreSubtotals="1" fieldPosition="0">
          <references count="2">
            <reference field="4294967294" count="1" selected="0">
              <x v="5"/>
            </reference>
            <reference field="38" count="1">
              <x v="106"/>
            </reference>
          </references>
        </pivotArea>
        <pivotArea type="data" collapsedLevelsAreSubtotals="1" fieldPosition="0">
          <references count="2">
            <reference field="4294967294" count="1" selected="0">
              <x v="5"/>
            </reference>
            <reference field="38" count="1">
              <x v="90"/>
            </reference>
          </references>
        </pivotArea>
        <pivotArea type="data" collapsedLevelsAreSubtotals="1" fieldPosition="0">
          <references count="2">
            <reference field="4294967294" count="1" selected="0">
              <x v="5"/>
            </reference>
            <reference field="38" count="1">
              <x v="48"/>
            </reference>
          </references>
        </pivotArea>
        <pivotArea type="data" collapsedLevelsAreSubtotals="1" fieldPosition="0">
          <references count="2">
            <reference field="4294967294" count="1" selected="0">
              <x v="5"/>
            </reference>
            <reference field="38" count="1">
              <x v="93"/>
            </reference>
          </references>
        </pivotArea>
        <pivotArea type="data" collapsedLevelsAreSubtotals="1" fieldPosition="0">
          <references count="2">
            <reference field="4294967294" count="1" selected="0">
              <x v="5"/>
            </reference>
            <reference field="38" count="1">
              <x v="103"/>
            </reference>
          </references>
        </pivotArea>
        <pivotArea type="data" collapsedLevelsAreSubtotals="1" fieldPosition="0">
          <references count="2">
            <reference field="4294967294" count="1" selected="0">
              <x v="5"/>
            </reference>
            <reference field="38" count="1">
              <x v="97"/>
            </reference>
          </references>
        </pivotArea>
        <pivotArea type="data" collapsedLevelsAreSubtotals="1" fieldPosition="0">
          <references count="2">
            <reference field="4294967294" count="1" selected="0">
              <x v="5"/>
            </reference>
            <reference field="38" count="1">
              <x v="10"/>
            </reference>
          </references>
        </pivotArea>
        <pivotArea type="data" collapsedLevelsAreSubtotals="1" fieldPosition="0">
          <references count="2">
            <reference field="4294967294" count="1" selected="0">
              <x v="5"/>
            </reference>
            <reference field="38" count="1">
              <x v="99"/>
            </reference>
          </references>
        </pivotArea>
        <pivotArea type="data" collapsedLevelsAreSubtotals="1" fieldPosition="0">
          <references count="2">
            <reference field="4294967294" count="1" selected="0">
              <x v="5"/>
            </reference>
            <reference field="38" count="1">
              <x v="29"/>
            </reference>
          </references>
        </pivotArea>
        <pivotArea type="data" collapsedLevelsAreSubtotals="1" fieldPosition="0">
          <references count="2">
            <reference field="4294967294" count="1" selected="0">
              <x v="5"/>
            </reference>
            <reference field="38" count="1">
              <x v="101"/>
            </reference>
          </references>
        </pivotArea>
        <pivotArea type="data" collapsedLevelsAreSubtotals="1" fieldPosition="0">
          <references count="2">
            <reference field="4294967294" count="1" selected="0">
              <x v="5"/>
            </reference>
            <reference field="38" count="1">
              <x v="21"/>
            </reference>
          </references>
        </pivotArea>
        <pivotArea type="data" collapsedLevelsAreSubtotals="1" fieldPosition="0">
          <references count="2">
            <reference field="4294967294" count="1" selected="0">
              <x v="5"/>
            </reference>
            <reference field="38" count="1">
              <x v="76"/>
            </reference>
          </references>
        </pivotArea>
        <pivotArea type="data" collapsedLevelsAreSubtotals="1" fieldPosition="0">
          <references count="2">
            <reference field="4294967294" count="1" selected="0">
              <x v="5"/>
            </reference>
            <reference field="38" count="1">
              <x v="46"/>
            </reference>
          </references>
        </pivotArea>
        <pivotArea type="data" collapsedLevelsAreSubtotals="1" fieldPosition="0">
          <references count="2">
            <reference field="4294967294" count="1" selected="0">
              <x v="5"/>
            </reference>
            <reference field="38" count="1">
              <x v="72"/>
            </reference>
          </references>
        </pivotArea>
        <pivotArea type="data" collapsedLevelsAreSubtotals="1" fieldPosition="0">
          <references count="2">
            <reference field="4294967294" count="1" selected="0">
              <x v="5"/>
            </reference>
            <reference field="38" count="1">
              <x v="4"/>
            </reference>
          </references>
        </pivotArea>
        <pivotArea type="data" collapsedLevelsAreSubtotals="1" fieldPosition="0">
          <references count="2">
            <reference field="4294967294" count="1" selected="0">
              <x v="5"/>
            </reference>
            <reference field="38" count="1">
              <x v="53"/>
            </reference>
          </references>
        </pivotArea>
        <pivotArea type="data" collapsedLevelsAreSubtotals="1" fieldPosition="0">
          <references count="2">
            <reference field="4294967294" count="1" selected="0">
              <x v="5"/>
            </reference>
            <reference field="38" count="1">
              <x v="55"/>
            </reference>
          </references>
        </pivotArea>
        <pivotArea type="data" collapsedLevelsAreSubtotals="1" fieldPosition="0">
          <references count="2">
            <reference field="4294967294" count="1" selected="0">
              <x v="5"/>
            </reference>
            <reference field="38" count="1">
              <x v="20"/>
            </reference>
          </references>
        </pivotArea>
        <pivotArea type="data" collapsedLevelsAreSubtotals="1" fieldPosition="0">
          <references count="2">
            <reference field="4294967294" count="1" selected="0">
              <x v="5"/>
            </reference>
            <reference field="38" count="1">
              <x v="88"/>
            </reference>
          </references>
        </pivotArea>
        <pivotArea type="data" collapsedLevelsAreSubtotals="1" fieldPosition="0">
          <references count="2">
            <reference field="4294967294" count="1" selected="0">
              <x v="5"/>
            </reference>
            <reference field="38" count="1">
              <x v="78"/>
            </reference>
          </references>
        </pivotArea>
        <pivotArea type="data" collapsedLevelsAreSubtotals="1" fieldPosition="0">
          <references count="2">
            <reference field="4294967294" count="1" selected="0">
              <x v="5"/>
            </reference>
            <reference field="38" count="1">
              <x v="50"/>
            </reference>
          </references>
        </pivotArea>
        <pivotArea type="data" collapsedLevelsAreSubtotals="1" fieldPosition="0">
          <references count="2">
            <reference field="4294967294" count="1" selected="0">
              <x v="5"/>
            </reference>
            <reference field="38" count="1">
              <x v="87"/>
            </reference>
          </references>
        </pivotArea>
        <pivotArea type="data" collapsedLevelsAreSubtotals="1" fieldPosition="0">
          <references count="2">
            <reference field="4294967294" count="1" selected="0">
              <x v="5"/>
            </reference>
            <reference field="38" count="1">
              <x v="34"/>
            </reference>
          </references>
        </pivotArea>
        <pivotArea type="data" collapsedLevelsAreSubtotals="1" fieldPosition="0">
          <references count="2">
            <reference field="4294967294" count="1" selected="0">
              <x v="5"/>
            </reference>
            <reference field="38" count="1">
              <x v="95"/>
            </reference>
          </references>
        </pivotArea>
        <pivotArea type="data" collapsedLevelsAreSubtotals="1" fieldPosition="0">
          <references count="3">
            <reference field="4294967294" count="1" selected="0">
              <x v="5"/>
            </reference>
            <reference field="0" count="4">
              <x v="1"/>
              <x v="2"/>
              <x v="3"/>
              <x v="4"/>
            </reference>
            <reference field="38" count="1" selected="0">
              <x v="95"/>
            </reference>
          </references>
        </pivotArea>
        <pivotArea type="data" collapsedLevelsAreSubtotals="1" fieldPosition="0">
          <references count="2">
            <reference field="4294967294" count="1" selected="0">
              <x v="5"/>
            </reference>
            <reference field="38" count="1">
              <x v="105"/>
            </reference>
          </references>
        </pivotArea>
        <pivotArea type="data" collapsedLevelsAreSubtotals="1" fieldPosition="0">
          <references count="2">
            <reference field="4294967294" count="1" selected="0">
              <x v="5"/>
            </reference>
            <reference field="38" count="1">
              <x v="30"/>
            </reference>
          </references>
        </pivotArea>
        <pivotArea type="data" collapsedLevelsAreSubtotals="1" fieldPosition="0">
          <references count="2">
            <reference field="4294967294" count="1" selected="0">
              <x v="5"/>
            </reference>
            <reference field="38" count="1">
              <x v="94"/>
            </reference>
          </references>
        </pivotArea>
        <pivotArea type="data" collapsedLevelsAreSubtotals="1" fieldPosition="0">
          <references count="2">
            <reference field="4294967294" count="1" selected="0">
              <x v="5"/>
            </reference>
            <reference field="38" count="1">
              <x v="37"/>
            </reference>
          </references>
        </pivotArea>
        <pivotArea type="data" collapsedLevelsAreSubtotals="1" fieldPosition="0">
          <references count="2">
            <reference field="4294967294" count="1" selected="0">
              <x v="5"/>
            </reference>
            <reference field="38" count="1">
              <x v="92"/>
            </reference>
          </references>
        </pivotArea>
      </pivotAreas>
    </conditionalFormat>
    <conditionalFormat priority="5">
      <pivotAreas count="108">
        <pivotArea type="data" collapsedLevelsAreSubtotals="1" fieldPosition="0">
          <references count="2">
            <reference field="4294967294" count="1" selected="0">
              <x v="4"/>
            </reference>
            <reference field="38" count="1">
              <x v="56"/>
            </reference>
          </references>
        </pivotArea>
        <pivotArea type="data" collapsedLevelsAreSubtotals="1" fieldPosition="0">
          <references count="2">
            <reference field="4294967294" count="1" selected="0">
              <x v="4"/>
            </reference>
            <reference field="38" count="1">
              <x v="60"/>
            </reference>
          </references>
        </pivotArea>
        <pivotArea type="data" collapsedLevelsAreSubtotals="1" fieldPosition="0">
          <references count="2">
            <reference field="4294967294" count="1" selected="0">
              <x v="4"/>
            </reference>
            <reference field="38" count="1">
              <x v="25"/>
            </reference>
          </references>
        </pivotArea>
        <pivotArea type="data" collapsedLevelsAreSubtotals="1" fieldPosition="0">
          <references count="2">
            <reference field="4294967294" count="1" selected="0">
              <x v="4"/>
            </reference>
            <reference field="38" count="1">
              <x v="28"/>
            </reference>
          </references>
        </pivotArea>
        <pivotArea type="data" collapsedLevelsAreSubtotals="1" fieldPosition="0">
          <references count="2">
            <reference field="4294967294" count="1" selected="0">
              <x v="4"/>
            </reference>
            <reference field="38" count="1">
              <x v="86"/>
            </reference>
          </references>
        </pivotArea>
        <pivotArea type="data" collapsedLevelsAreSubtotals="1" fieldPosition="0">
          <references count="2">
            <reference field="4294967294" count="1" selected="0">
              <x v="4"/>
            </reference>
            <reference field="38" count="1">
              <x v="102"/>
            </reference>
          </references>
        </pivotArea>
        <pivotArea type="data" collapsedLevelsAreSubtotals="1" fieldPosition="0">
          <references count="2">
            <reference field="4294967294" count="1" selected="0">
              <x v="4"/>
            </reference>
            <reference field="38" count="1">
              <x v="40"/>
            </reference>
          </references>
        </pivotArea>
        <pivotArea type="data" collapsedLevelsAreSubtotals="1" fieldPosition="0">
          <references count="2">
            <reference field="4294967294" count="1" selected="0">
              <x v="4"/>
            </reference>
            <reference field="38" count="1">
              <x v="51"/>
            </reference>
          </references>
        </pivotArea>
        <pivotArea type="data" collapsedLevelsAreSubtotals="1" fieldPosition="0">
          <references count="2">
            <reference field="4294967294" count="1" selected="0">
              <x v="4"/>
            </reference>
            <reference field="38" count="1">
              <x v="75"/>
            </reference>
          </references>
        </pivotArea>
        <pivotArea type="data" collapsedLevelsAreSubtotals="1" fieldPosition="0">
          <references count="2">
            <reference field="4294967294" count="1" selected="0">
              <x v="4"/>
            </reference>
            <reference field="38" count="1">
              <x v="54"/>
            </reference>
          </references>
        </pivotArea>
        <pivotArea type="data" collapsedLevelsAreSubtotals="1" fieldPosition="0">
          <references count="2">
            <reference field="4294967294" count="1" selected="0">
              <x v="4"/>
            </reference>
            <reference field="38" count="1">
              <x v="24"/>
            </reference>
          </references>
        </pivotArea>
        <pivotArea type="data" collapsedLevelsAreSubtotals="1" fieldPosition="0">
          <references count="2">
            <reference field="4294967294" count="1" selected="0">
              <x v="4"/>
            </reference>
            <reference field="38" count="1">
              <x v="77"/>
            </reference>
          </references>
        </pivotArea>
        <pivotArea type="data" collapsedLevelsAreSubtotals="1" fieldPosition="0">
          <references count="2">
            <reference field="4294967294" count="1" selected="0">
              <x v="4"/>
            </reference>
            <reference field="38" count="1">
              <x v="104"/>
            </reference>
          </references>
        </pivotArea>
        <pivotArea type="data" collapsedLevelsAreSubtotals="1" fieldPosition="0">
          <references count="2">
            <reference field="4294967294" count="1" selected="0">
              <x v="4"/>
            </reference>
            <reference field="38" count="1">
              <x v="52"/>
            </reference>
          </references>
        </pivotArea>
        <pivotArea type="data" collapsedLevelsAreSubtotals="1" fieldPosition="0">
          <references count="2">
            <reference field="4294967294" count="1" selected="0">
              <x v="4"/>
            </reference>
            <reference field="38" count="1">
              <x v="33"/>
            </reference>
          </references>
        </pivotArea>
        <pivotArea type="data" collapsedLevelsAreSubtotals="1" fieldPosition="0">
          <references count="2">
            <reference field="4294967294" count="1" selected="0">
              <x v="4"/>
            </reference>
            <reference field="38" count="1">
              <x v="27"/>
            </reference>
          </references>
        </pivotArea>
        <pivotArea type="data" collapsedLevelsAreSubtotals="1" fieldPosition="0">
          <references count="2">
            <reference field="4294967294" count="1" selected="0">
              <x v="4"/>
            </reference>
            <reference field="38" count="1">
              <x v="59"/>
            </reference>
          </references>
        </pivotArea>
        <pivotArea type="data" collapsedLevelsAreSubtotals="1" fieldPosition="0">
          <references count="2">
            <reference field="4294967294" count="1" selected="0">
              <x v="4"/>
            </reference>
            <reference field="38" count="1">
              <x v="11"/>
            </reference>
          </references>
        </pivotArea>
        <pivotArea type="data" collapsedLevelsAreSubtotals="1" fieldPosition="0">
          <references count="2">
            <reference field="4294967294" count="1" selected="0">
              <x v="4"/>
            </reference>
            <reference field="38" count="1">
              <x v="73"/>
            </reference>
          </references>
        </pivotArea>
        <pivotArea type="data" collapsedLevelsAreSubtotals="1" fieldPosition="0">
          <references count="2">
            <reference field="4294967294" count="1" selected="0">
              <x v="4"/>
            </reference>
            <reference field="38" count="1">
              <x v="74"/>
            </reference>
          </references>
        </pivotArea>
        <pivotArea type="data" collapsedLevelsAreSubtotals="1" fieldPosition="0">
          <references count="2">
            <reference field="4294967294" count="1" selected="0">
              <x v="4"/>
            </reference>
            <reference field="38" count="1">
              <x v="5"/>
            </reference>
          </references>
        </pivotArea>
        <pivotArea type="data" collapsedLevelsAreSubtotals="1" fieldPosition="0">
          <references count="2">
            <reference field="4294967294" count="1" selected="0">
              <x v="4"/>
            </reference>
            <reference field="38" count="1">
              <x v="61"/>
            </reference>
          </references>
        </pivotArea>
        <pivotArea type="data" collapsedLevelsAreSubtotals="1" fieldPosition="0">
          <references count="2">
            <reference field="4294967294" count="1" selected="0">
              <x v="4"/>
            </reference>
            <reference field="38" count="1">
              <x v="17"/>
            </reference>
          </references>
        </pivotArea>
        <pivotArea type="data" collapsedLevelsAreSubtotals="1" fieldPosition="0">
          <references count="2">
            <reference field="4294967294" count="1" selected="0">
              <x v="4"/>
            </reference>
            <reference field="38" count="1">
              <x v="62"/>
            </reference>
          </references>
        </pivotArea>
        <pivotArea type="data" collapsedLevelsAreSubtotals="1" fieldPosition="0">
          <references count="2">
            <reference field="4294967294" count="1" selected="0">
              <x v="4"/>
            </reference>
            <reference field="38" count="1">
              <x v="43"/>
            </reference>
          </references>
        </pivotArea>
        <pivotArea type="data" collapsedLevelsAreSubtotals="1" fieldPosition="0">
          <references count="2">
            <reference field="4294967294" count="1" selected="0">
              <x v="4"/>
            </reference>
            <reference field="38" count="1">
              <x v="13"/>
            </reference>
          </references>
        </pivotArea>
        <pivotArea type="data" collapsedLevelsAreSubtotals="1" fieldPosition="0">
          <references count="2">
            <reference field="4294967294" count="1" selected="0">
              <x v="4"/>
            </reference>
            <reference field="38" count="1">
              <x v="68"/>
            </reference>
          </references>
        </pivotArea>
        <pivotArea type="data" collapsedLevelsAreSubtotals="1" fieldPosition="0">
          <references count="2">
            <reference field="4294967294" count="1" selected="0">
              <x v="4"/>
            </reference>
            <reference field="38" count="1">
              <x v="2"/>
            </reference>
          </references>
        </pivotArea>
        <pivotArea type="data" collapsedLevelsAreSubtotals="1" fieldPosition="0">
          <references count="2">
            <reference field="4294967294" count="1" selected="0">
              <x v="4"/>
            </reference>
            <reference field="38" count="1">
              <x v="57"/>
            </reference>
          </references>
        </pivotArea>
        <pivotArea type="data" collapsedLevelsAreSubtotals="1" fieldPosition="0">
          <references count="2">
            <reference field="4294967294" count="1" selected="0">
              <x v="4"/>
            </reference>
            <reference field="38" count="1">
              <x v="19"/>
            </reference>
          </references>
        </pivotArea>
        <pivotArea type="data" collapsedLevelsAreSubtotals="1" fieldPosition="0">
          <references count="2">
            <reference field="4294967294" count="1" selected="0">
              <x v="4"/>
            </reference>
            <reference field="38" count="1">
              <x v="71"/>
            </reference>
          </references>
        </pivotArea>
        <pivotArea type="data" collapsedLevelsAreSubtotals="1" fieldPosition="0">
          <references count="2">
            <reference field="4294967294" count="1" selected="0">
              <x v="4"/>
            </reference>
            <reference field="38" count="1">
              <x v="32"/>
            </reference>
          </references>
        </pivotArea>
        <pivotArea type="data" collapsedLevelsAreSubtotals="1" fieldPosition="0">
          <references count="2">
            <reference field="4294967294" count="1" selected="0">
              <x v="4"/>
            </reference>
            <reference field="38" count="1">
              <x v="6"/>
            </reference>
          </references>
        </pivotArea>
        <pivotArea type="data" collapsedLevelsAreSubtotals="1" fieldPosition="0">
          <references count="2">
            <reference field="4294967294" count="1" selected="0">
              <x v="4"/>
            </reference>
            <reference field="38" count="1">
              <x v="38"/>
            </reference>
          </references>
        </pivotArea>
        <pivotArea type="data" collapsedLevelsAreSubtotals="1" fieldPosition="0">
          <references count="2">
            <reference field="4294967294" count="1" selected="0">
              <x v="4"/>
            </reference>
            <reference field="38" count="1">
              <x v="35"/>
            </reference>
          </references>
        </pivotArea>
        <pivotArea type="data" collapsedLevelsAreSubtotals="1" fieldPosition="0">
          <references count="2">
            <reference field="4294967294" count="1" selected="0">
              <x v="4"/>
            </reference>
            <reference field="38" count="1">
              <x v="9"/>
            </reference>
          </references>
        </pivotArea>
        <pivotArea type="data" collapsedLevelsAreSubtotals="1" fieldPosition="0">
          <references count="2">
            <reference field="4294967294" count="1" selected="0">
              <x v="4"/>
            </reference>
            <reference field="38" count="1">
              <x v="0"/>
            </reference>
          </references>
        </pivotArea>
        <pivotArea type="data" collapsedLevelsAreSubtotals="1" fieldPosition="0">
          <references count="2">
            <reference field="4294967294" count="1" selected="0">
              <x v="4"/>
            </reference>
            <reference field="38" count="1">
              <x v="12"/>
            </reference>
          </references>
        </pivotArea>
        <pivotArea type="data" collapsedLevelsAreSubtotals="1" fieldPosition="0">
          <references count="2">
            <reference field="4294967294" count="1" selected="0">
              <x v="4"/>
            </reference>
            <reference field="38" count="1">
              <x v="14"/>
            </reference>
          </references>
        </pivotArea>
        <pivotArea type="data" collapsedLevelsAreSubtotals="1" fieldPosition="0">
          <references count="2">
            <reference field="4294967294" count="1" selected="0">
              <x v="4"/>
            </reference>
            <reference field="38" count="1">
              <x v="15"/>
            </reference>
          </references>
        </pivotArea>
        <pivotArea type="data" collapsedLevelsAreSubtotals="1" fieldPosition="0">
          <references count="2">
            <reference field="4294967294" count="1" selected="0">
              <x v="4"/>
            </reference>
            <reference field="38" count="1">
              <x v="1"/>
            </reference>
          </references>
        </pivotArea>
        <pivotArea type="data" collapsedLevelsAreSubtotals="1" fieldPosition="0">
          <references count="2">
            <reference field="4294967294" count="1" selected="0">
              <x v="4"/>
            </reference>
            <reference field="38" count="1">
              <x v="8"/>
            </reference>
          </references>
        </pivotArea>
        <pivotArea type="data" collapsedLevelsAreSubtotals="1" fieldPosition="0">
          <references count="2">
            <reference field="4294967294" count="1" selected="0">
              <x v="4"/>
            </reference>
            <reference field="38" count="1">
              <x v="91"/>
            </reference>
          </references>
        </pivotArea>
        <pivotArea type="data" collapsedLevelsAreSubtotals="1" fieldPosition="0">
          <references count="2">
            <reference field="4294967294" count="1" selected="0">
              <x v="4"/>
            </reference>
            <reference field="38" count="1">
              <x v="44"/>
            </reference>
          </references>
        </pivotArea>
        <pivotArea type="data" collapsedLevelsAreSubtotals="1" fieldPosition="0">
          <references count="2">
            <reference field="4294967294" count="1" selected="0">
              <x v="4"/>
            </reference>
            <reference field="38" count="1">
              <x v="7"/>
            </reference>
          </references>
        </pivotArea>
        <pivotArea type="data" collapsedLevelsAreSubtotals="1" fieldPosition="0">
          <references count="2">
            <reference field="4294967294" count="1" selected="0">
              <x v="4"/>
            </reference>
            <reference field="38" count="1">
              <x v="49"/>
            </reference>
          </references>
        </pivotArea>
        <pivotArea type="data" collapsedLevelsAreSubtotals="1" fieldPosition="0">
          <references count="2">
            <reference field="4294967294" count="1" selected="0">
              <x v="4"/>
            </reference>
            <reference field="38" count="1">
              <x v="89"/>
            </reference>
          </references>
        </pivotArea>
        <pivotArea type="data" collapsedLevelsAreSubtotals="1" fieldPosition="0">
          <references count="2">
            <reference field="4294967294" count="1" selected="0">
              <x v="4"/>
            </reference>
            <reference field="38" count="1">
              <x v="3"/>
            </reference>
          </references>
        </pivotArea>
        <pivotArea type="data" collapsedLevelsAreSubtotals="1" fieldPosition="0">
          <references count="2">
            <reference field="4294967294" count="1" selected="0">
              <x v="4"/>
            </reference>
            <reference field="38" count="1">
              <x v="41"/>
            </reference>
          </references>
        </pivotArea>
        <pivotArea type="data" collapsedLevelsAreSubtotals="1" fieldPosition="0">
          <references count="2">
            <reference field="4294967294" count="1" selected="0">
              <x v="4"/>
            </reference>
            <reference field="38" count="1">
              <x v="69"/>
            </reference>
          </references>
        </pivotArea>
        <pivotArea type="data" collapsedLevelsAreSubtotals="1" fieldPosition="0">
          <references count="2">
            <reference field="4294967294" count="1" selected="0">
              <x v="4"/>
            </reference>
            <reference field="38" count="1">
              <x v="42"/>
            </reference>
          </references>
        </pivotArea>
        <pivotArea type="data" collapsedLevelsAreSubtotals="1" fieldPosition="0">
          <references count="2">
            <reference field="4294967294" count="1" selected="0">
              <x v="4"/>
            </reference>
            <reference field="38" count="1">
              <x v="83"/>
            </reference>
          </references>
        </pivotArea>
        <pivotArea type="data" collapsedLevelsAreSubtotals="1" fieldPosition="0">
          <references count="2">
            <reference field="4294967294" count="1" selected="0">
              <x v="4"/>
            </reference>
            <reference field="38" count="1">
              <x v="70"/>
            </reference>
          </references>
        </pivotArea>
        <pivotArea type="data" collapsedLevelsAreSubtotals="1" fieldPosition="0">
          <references count="2">
            <reference field="4294967294" count="1" selected="0">
              <x v="4"/>
            </reference>
            <reference field="38" count="1">
              <x v="84"/>
            </reference>
          </references>
        </pivotArea>
        <pivotArea type="data" collapsedLevelsAreSubtotals="1" fieldPosition="0">
          <references count="2">
            <reference field="4294967294" count="1" selected="0">
              <x v="4"/>
            </reference>
            <reference field="38" count="1">
              <x v="100"/>
            </reference>
          </references>
        </pivotArea>
        <pivotArea type="data" collapsedLevelsAreSubtotals="1" fieldPosition="0">
          <references count="2">
            <reference field="4294967294" count="1" selected="0">
              <x v="4"/>
            </reference>
            <reference field="38" count="1">
              <x v="85"/>
            </reference>
          </references>
        </pivotArea>
        <pivotArea type="data" collapsedLevelsAreSubtotals="1" fieldPosition="0">
          <references count="2">
            <reference field="4294967294" count="1" selected="0">
              <x v="4"/>
            </reference>
            <reference field="38" count="1">
              <x v="80"/>
            </reference>
          </references>
        </pivotArea>
        <pivotArea type="data" collapsedLevelsAreSubtotals="1" fieldPosition="0">
          <references count="2">
            <reference field="4294967294" count="1" selected="0">
              <x v="4"/>
            </reference>
            <reference field="38" count="1">
              <x v="36"/>
            </reference>
          </references>
        </pivotArea>
        <pivotArea type="data" collapsedLevelsAreSubtotals="1" fieldPosition="0">
          <references count="2">
            <reference field="4294967294" count="1" selected="0">
              <x v="4"/>
            </reference>
            <reference field="38" count="1">
              <x v="96"/>
            </reference>
          </references>
        </pivotArea>
        <pivotArea type="data" collapsedLevelsAreSubtotals="1" fieldPosition="0">
          <references count="2">
            <reference field="4294967294" count="1" selected="0">
              <x v="4"/>
            </reference>
            <reference field="38" count="1">
              <x v="26"/>
            </reference>
          </references>
        </pivotArea>
        <pivotArea type="data" collapsedLevelsAreSubtotals="1" fieldPosition="0">
          <references count="2">
            <reference field="4294967294" count="1" selected="0">
              <x v="4"/>
            </reference>
            <reference field="38" count="1">
              <x v="47"/>
            </reference>
          </references>
        </pivotArea>
        <pivotArea type="data" collapsedLevelsAreSubtotals="1" fieldPosition="0">
          <references count="2">
            <reference field="4294967294" count="1" selected="0">
              <x v="4"/>
            </reference>
            <reference field="38" count="1">
              <x v="63"/>
            </reference>
          </references>
        </pivotArea>
        <pivotArea type="data" collapsedLevelsAreSubtotals="1" fieldPosition="0">
          <references count="2">
            <reference field="4294967294" count="1" selected="0">
              <x v="4"/>
            </reference>
            <reference field="38" count="1">
              <x v="82"/>
            </reference>
          </references>
        </pivotArea>
        <pivotArea type="data" collapsedLevelsAreSubtotals="1" fieldPosition="0">
          <references count="2">
            <reference field="4294967294" count="1" selected="0">
              <x v="4"/>
            </reference>
            <reference field="38" count="1">
              <x v="64"/>
            </reference>
          </references>
        </pivotArea>
        <pivotArea type="data" collapsedLevelsAreSubtotals="1" fieldPosition="0">
          <references count="2">
            <reference field="4294967294" count="1" selected="0">
              <x v="4"/>
            </reference>
            <reference field="38" count="1">
              <x v="22"/>
            </reference>
          </references>
        </pivotArea>
        <pivotArea type="data" collapsedLevelsAreSubtotals="1" fieldPosition="0">
          <references count="2">
            <reference field="4294967294" count="1" selected="0">
              <x v="4"/>
            </reference>
            <reference field="38" count="1">
              <x v="65"/>
            </reference>
          </references>
        </pivotArea>
        <pivotArea type="data" collapsedLevelsAreSubtotals="1" fieldPosition="0">
          <references count="2">
            <reference field="4294967294" count="1" selected="0">
              <x v="4"/>
            </reference>
            <reference field="38" count="1">
              <x v="98"/>
            </reference>
          </references>
        </pivotArea>
        <pivotArea type="data" collapsedLevelsAreSubtotals="1" fieldPosition="0">
          <references count="2">
            <reference field="4294967294" count="1" selected="0">
              <x v="4"/>
            </reference>
            <reference field="38" count="1">
              <x v="66"/>
            </reference>
          </references>
        </pivotArea>
        <pivotArea type="data" collapsedLevelsAreSubtotals="1" fieldPosition="0">
          <references count="2">
            <reference field="4294967294" count="1" selected="0">
              <x v="4"/>
            </reference>
            <reference field="38" count="1">
              <x v="23"/>
            </reference>
          </references>
        </pivotArea>
        <pivotArea type="data" collapsedLevelsAreSubtotals="1" fieldPosition="0">
          <references count="2">
            <reference field="4294967294" count="1" selected="0">
              <x v="4"/>
            </reference>
            <reference field="38" count="1">
              <x v="67"/>
            </reference>
          </references>
        </pivotArea>
        <pivotArea type="data" collapsedLevelsAreSubtotals="1" fieldPosition="0">
          <references count="2">
            <reference field="4294967294" count="1" selected="0">
              <x v="4"/>
            </reference>
            <reference field="38" count="1">
              <x v="79"/>
            </reference>
          </references>
        </pivotArea>
        <pivotArea type="data" collapsedLevelsAreSubtotals="1" fieldPosition="0">
          <references count="2">
            <reference field="4294967294" count="1" selected="0">
              <x v="4"/>
            </reference>
            <reference field="38" count="1">
              <x v="39"/>
            </reference>
          </references>
        </pivotArea>
        <pivotArea type="data" collapsedLevelsAreSubtotals="1" fieldPosition="0">
          <references count="2">
            <reference field="4294967294" count="1" selected="0">
              <x v="4"/>
            </reference>
            <reference field="38" count="1">
              <x v="81"/>
            </reference>
          </references>
        </pivotArea>
        <pivotArea type="data" collapsedLevelsAreSubtotals="1" fieldPosition="0">
          <references count="2">
            <reference field="4294967294" count="1" selected="0">
              <x v="4"/>
            </reference>
            <reference field="38" count="1">
              <x v="31"/>
            </reference>
          </references>
        </pivotArea>
        <pivotArea type="data" collapsedLevelsAreSubtotals="1" fieldPosition="0">
          <references count="2">
            <reference field="4294967294" count="1" selected="0">
              <x v="4"/>
            </reference>
            <reference field="38" count="1">
              <x v="16"/>
            </reference>
          </references>
        </pivotArea>
        <pivotArea type="data" collapsedLevelsAreSubtotals="1" fieldPosition="0">
          <references count="2">
            <reference field="4294967294" count="1" selected="0">
              <x v="4"/>
            </reference>
            <reference field="38" count="1">
              <x v="58"/>
            </reference>
          </references>
        </pivotArea>
        <pivotArea type="data" collapsedLevelsAreSubtotals="1" fieldPosition="0">
          <references count="2">
            <reference field="4294967294" count="1" selected="0">
              <x v="4"/>
            </reference>
            <reference field="38" count="1">
              <x v="45"/>
            </reference>
          </references>
        </pivotArea>
        <pivotArea type="data" collapsedLevelsAreSubtotals="1" fieldPosition="0">
          <references count="2">
            <reference field="4294967294" count="1" selected="0">
              <x v="4"/>
            </reference>
            <reference field="38" count="1">
              <x v="18"/>
            </reference>
          </references>
        </pivotArea>
        <pivotArea type="data" collapsedLevelsAreSubtotals="1" fieldPosition="0">
          <references count="2">
            <reference field="4294967294" count="1" selected="0">
              <x v="4"/>
            </reference>
            <reference field="38" count="1">
              <x v="106"/>
            </reference>
          </references>
        </pivotArea>
        <pivotArea type="data" collapsedLevelsAreSubtotals="1" fieldPosition="0">
          <references count="2">
            <reference field="4294967294" count="1" selected="0">
              <x v="4"/>
            </reference>
            <reference field="38" count="1">
              <x v="90"/>
            </reference>
          </references>
        </pivotArea>
        <pivotArea type="data" collapsedLevelsAreSubtotals="1" fieldPosition="0">
          <references count="2">
            <reference field="4294967294" count="1" selected="0">
              <x v="4"/>
            </reference>
            <reference field="38" count="1">
              <x v="48"/>
            </reference>
          </references>
        </pivotArea>
        <pivotArea type="data" collapsedLevelsAreSubtotals="1" fieldPosition="0">
          <references count="2">
            <reference field="4294967294" count="1" selected="0">
              <x v="4"/>
            </reference>
            <reference field="38" count="1">
              <x v="93"/>
            </reference>
          </references>
        </pivotArea>
        <pivotArea type="data" collapsedLevelsAreSubtotals="1" fieldPosition="0">
          <references count="2">
            <reference field="4294967294" count="1" selected="0">
              <x v="4"/>
            </reference>
            <reference field="38" count="1">
              <x v="103"/>
            </reference>
          </references>
        </pivotArea>
        <pivotArea type="data" collapsedLevelsAreSubtotals="1" fieldPosition="0">
          <references count="2">
            <reference field="4294967294" count="1" selected="0">
              <x v="4"/>
            </reference>
            <reference field="38" count="1">
              <x v="97"/>
            </reference>
          </references>
        </pivotArea>
        <pivotArea type="data" collapsedLevelsAreSubtotals="1" fieldPosition="0">
          <references count="2">
            <reference field="4294967294" count="1" selected="0">
              <x v="4"/>
            </reference>
            <reference field="38" count="1">
              <x v="10"/>
            </reference>
          </references>
        </pivotArea>
        <pivotArea type="data" collapsedLevelsAreSubtotals="1" fieldPosition="0">
          <references count="2">
            <reference field="4294967294" count="1" selected="0">
              <x v="4"/>
            </reference>
            <reference field="38" count="1">
              <x v="99"/>
            </reference>
          </references>
        </pivotArea>
        <pivotArea type="data" collapsedLevelsAreSubtotals="1" fieldPosition="0">
          <references count="2">
            <reference field="4294967294" count="1" selected="0">
              <x v="4"/>
            </reference>
            <reference field="38" count="1">
              <x v="29"/>
            </reference>
          </references>
        </pivotArea>
        <pivotArea type="data" collapsedLevelsAreSubtotals="1" fieldPosition="0">
          <references count="2">
            <reference field="4294967294" count="1" selected="0">
              <x v="4"/>
            </reference>
            <reference field="38" count="1">
              <x v="101"/>
            </reference>
          </references>
        </pivotArea>
        <pivotArea type="data" collapsedLevelsAreSubtotals="1" fieldPosition="0">
          <references count="2">
            <reference field="4294967294" count="1" selected="0">
              <x v="4"/>
            </reference>
            <reference field="38" count="1">
              <x v="21"/>
            </reference>
          </references>
        </pivotArea>
        <pivotArea type="data" collapsedLevelsAreSubtotals="1" fieldPosition="0">
          <references count="2">
            <reference field="4294967294" count="1" selected="0">
              <x v="4"/>
            </reference>
            <reference field="38" count="1">
              <x v="76"/>
            </reference>
          </references>
        </pivotArea>
        <pivotArea type="data" collapsedLevelsAreSubtotals="1" fieldPosition="0">
          <references count="2">
            <reference field="4294967294" count="1" selected="0">
              <x v="4"/>
            </reference>
            <reference field="38" count="1">
              <x v="46"/>
            </reference>
          </references>
        </pivotArea>
        <pivotArea type="data" collapsedLevelsAreSubtotals="1" fieldPosition="0">
          <references count="2">
            <reference field="4294967294" count="1" selected="0">
              <x v="4"/>
            </reference>
            <reference field="38" count="1">
              <x v="72"/>
            </reference>
          </references>
        </pivotArea>
        <pivotArea type="data" collapsedLevelsAreSubtotals="1" fieldPosition="0">
          <references count="2">
            <reference field="4294967294" count="1" selected="0">
              <x v="4"/>
            </reference>
            <reference field="38" count="1">
              <x v="4"/>
            </reference>
          </references>
        </pivotArea>
        <pivotArea type="data" collapsedLevelsAreSubtotals="1" fieldPosition="0">
          <references count="2">
            <reference field="4294967294" count="1" selected="0">
              <x v="4"/>
            </reference>
            <reference field="38" count="1">
              <x v="53"/>
            </reference>
          </references>
        </pivotArea>
        <pivotArea type="data" collapsedLevelsAreSubtotals="1" fieldPosition="0">
          <references count="2">
            <reference field="4294967294" count="1" selected="0">
              <x v="4"/>
            </reference>
            <reference field="38" count="1">
              <x v="55"/>
            </reference>
          </references>
        </pivotArea>
        <pivotArea type="data" collapsedLevelsAreSubtotals="1" fieldPosition="0">
          <references count="2">
            <reference field="4294967294" count="1" selected="0">
              <x v="4"/>
            </reference>
            <reference field="38" count="1">
              <x v="20"/>
            </reference>
          </references>
        </pivotArea>
        <pivotArea type="data" collapsedLevelsAreSubtotals="1" fieldPosition="0">
          <references count="2">
            <reference field="4294967294" count="1" selected="0">
              <x v="4"/>
            </reference>
            <reference field="38" count="1">
              <x v="88"/>
            </reference>
          </references>
        </pivotArea>
        <pivotArea type="data" collapsedLevelsAreSubtotals="1" fieldPosition="0">
          <references count="2">
            <reference field="4294967294" count="1" selected="0">
              <x v="4"/>
            </reference>
            <reference field="38" count="1">
              <x v="78"/>
            </reference>
          </references>
        </pivotArea>
        <pivotArea type="data" collapsedLevelsAreSubtotals="1" fieldPosition="0">
          <references count="2">
            <reference field="4294967294" count="1" selected="0">
              <x v="4"/>
            </reference>
            <reference field="38" count="1">
              <x v="50"/>
            </reference>
          </references>
        </pivotArea>
        <pivotArea type="data" collapsedLevelsAreSubtotals="1" fieldPosition="0">
          <references count="2">
            <reference field="4294967294" count="1" selected="0">
              <x v="4"/>
            </reference>
            <reference field="38" count="1">
              <x v="87"/>
            </reference>
          </references>
        </pivotArea>
        <pivotArea type="data" collapsedLevelsAreSubtotals="1" fieldPosition="0">
          <references count="2">
            <reference field="4294967294" count="1" selected="0">
              <x v="4"/>
            </reference>
            <reference field="38" count="1">
              <x v="34"/>
            </reference>
          </references>
        </pivotArea>
        <pivotArea type="data" collapsedLevelsAreSubtotals="1" fieldPosition="0">
          <references count="2">
            <reference field="4294967294" count="1" selected="0">
              <x v="4"/>
            </reference>
            <reference field="38" count="1">
              <x v="95"/>
            </reference>
          </references>
        </pivotArea>
        <pivotArea type="data" collapsedLevelsAreSubtotals="1" fieldPosition="0">
          <references count="3">
            <reference field="4294967294" count="1" selected="0">
              <x v="4"/>
            </reference>
            <reference field="0" count="4">
              <x v="1"/>
              <x v="2"/>
              <x v="3"/>
              <x v="4"/>
            </reference>
            <reference field="38" count="1" selected="0">
              <x v="95"/>
            </reference>
          </references>
        </pivotArea>
        <pivotArea type="data" collapsedLevelsAreSubtotals="1" fieldPosition="0">
          <references count="2">
            <reference field="4294967294" count="1" selected="0">
              <x v="4"/>
            </reference>
            <reference field="38" count="1">
              <x v="105"/>
            </reference>
          </references>
        </pivotArea>
        <pivotArea type="data" collapsedLevelsAreSubtotals="1" fieldPosition="0">
          <references count="2">
            <reference field="4294967294" count="1" selected="0">
              <x v="4"/>
            </reference>
            <reference field="38" count="1">
              <x v="30"/>
            </reference>
          </references>
        </pivotArea>
        <pivotArea type="data" collapsedLevelsAreSubtotals="1" fieldPosition="0">
          <references count="2">
            <reference field="4294967294" count="1" selected="0">
              <x v="4"/>
            </reference>
            <reference field="38" count="1">
              <x v="94"/>
            </reference>
          </references>
        </pivotArea>
        <pivotArea type="data" collapsedLevelsAreSubtotals="1" fieldPosition="0">
          <references count="2">
            <reference field="4294967294" count="1" selected="0">
              <x v="4"/>
            </reference>
            <reference field="38" count="1">
              <x v="37"/>
            </reference>
          </references>
        </pivotArea>
        <pivotArea type="data" collapsedLevelsAreSubtotals="1" fieldPosition="0">
          <references count="2">
            <reference field="4294967294" count="1" selected="0">
              <x v="4"/>
            </reference>
            <reference field="38" count="1">
              <x v="92"/>
            </reference>
          </references>
        </pivotArea>
      </pivotAreas>
    </conditionalFormat>
    <conditionalFormat priority="4">
      <pivotAreas count="108">
        <pivotArea type="data" collapsedLevelsAreSubtotals="1" fieldPosition="0">
          <references count="2">
            <reference field="4294967294" count="1" selected="0">
              <x v="3"/>
            </reference>
            <reference field="38" count="1">
              <x v="56"/>
            </reference>
          </references>
        </pivotArea>
        <pivotArea type="data" collapsedLevelsAreSubtotals="1" fieldPosition="0">
          <references count="2">
            <reference field="4294967294" count="1" selected="0">
              <x v="3"/>
            </reference>
            <reference field="38" count="1">
              <x v="60"/>
            </reference>
          </references>
        </pivotArea>
        <pivotArea type="data" collapsedLevelsAreSubtotals="1" fieldPosition="0">
          <references count="2">
            <reference field="4294967294" count="1" selected="0">
              <x v="3"/>
            </reference>
            <reference field="38" count="1">
              <x v="25"/>
            </reference>
          </references>
        </pivotArea>
        <pivotArea type="data" collapsedLevelsAreSubtotals="1" fieldPosition="0">
          <references count="2">
            <reference field="4294967294" count="1" selected="0">
              <x v="3"/>
            </reference>
            <reference field="38" count="1">
              <x v="28"/>
            </reference>
          </references>
        </pivotArea>
        <pivotArea type="data" collapsedLevelsAreSubtotals="1" fieldPosition="0">
          <references count="2">
            <reference field="4294967294" count="1" selected="0">
              <x v="3"/>
            </reference>
            <reference field="38" count="1">
              <x v="86"/>
            </reference>
          </references>
        </pivotArea>
        <pivotArea type="data" collapsedLevelsAreSubtotals="1" fieldPosition="0">
          <references count="2">
            <reference field="4294967294" count="1" selected="0">
              <x v="3"/>
            </reference>
            <reference field="38" count="1">
              <x v="102"/>
            </reference>
          </references>
        </pivotArea>
        <pivotArea type="data" collapsedLevelsAreSubtotals="1" fieldPosition="0">
          <references count="2">
            <reference field="4294967294" count="1" selected="0">
              <x v="3"/>
            </reference>
            <reference field="38" count="1">
              <x v="40"/>
            </reference>
          </references>
        </pivotArea>
        <pivotArea type="data" collapsedLevelsAreSubtotals="1" fieldPosition="0">
          <references count="2">
            <reference field="4294967294" count="1" selected="0">
              <x v="3"/>
            </reference>
            <reference field="38" count="1">
              <x v="51"/>
            </reference>
          </references>
        </pivotArea>
        <pivotArea type="data" collapsedLevelsAreSubtotals="1" fieldPosition="0">
          <references count="2">
            <reference field="4294967294" count="1" selected="0">
              <x v="3"/>
            </reference>
            <reference field="38" count="1">
              <x v="75"/>
            </reference>
          </references>
        </pivotArea>
        <pivotArea type="data" collapsedLevelsAreSubtotals="1" fieldPosition="0">
          <references count="2">
            <reference field="4294967294" count="1" selected="0">
              <x v="3"/>
            </reference>
            <reference field="38" count="1">
              <x v="54"/>
            </reference>
          </references>
        </pivotArea>
        <pivotArea type="data" collapsedLevelsAreSubtotals="1" fieldPosition="0">
          <references count="2">
            <reference field="4294967294" count="1" selected="0">
              <x v="3"/>
            </reference>
            <reference field="38" count="1">
              <x v="24"/>
            </reference>
          </references>
        </pivotArea>
        <pivotArea type="data" collapsedLevelsAreSubtotals="1" fieldPosition="0">
          <references count="2">
            <reference field="4294967294" count="1" selected="0">
              <x v="3"/>
            </reference>
            <reference field="38" count="1">
              <x v="77"/>
            </reference>
          </references>
        </pivotArea>
        <pivotArea type="data" collapsedLevelsAreSubtotals="1" fieldPosition="0">
          <references count="2">
            <reference field="4294967294" count="1" selected="0">
              <x v="3"/>
            </reference>
            <reference field="38" count="1">
              <x v="104"/>
            </reference>
          </references>
        </pivotArea>
        <pivotArea type="data" collapsedLevelsAreSubtotals="1" fieldPosition="0">
          <references count="2">
            <reference field="4294967294" count="1" selected="0">
              <x v="3"/>
            </reference>
            <reference field="38" count="1">
              <x v="52"/>
            </reference>
          </references>
        </pivotArea>
        <pivotArea type="data" collapsedLevelsAreSubtotals="1" fieldPosition="0">
          <references count="2">
            <reference field="4294967294" count="1" selected="0">
              <x v="3"/>
            </reference>
            <reference field="38" count="1">
              <x v="33"/>
            </reference>
          </references>
        </pivotArea>
        <pivotArea type="data" collapsedLevelsAreSubtotals="1" fieldPosition="0">
          <references count="2">
            <reference field="4294967294" count="1" selected="0">
              <x v="3"/>
            </reference>
            <reference field="38" count="1">
              <x v="27"/>
            </reference>
          </references>
        </pivotArea>
        <pivotArea type="data" collapsedLevelsAreSubtotals="1" fieldPosition="0">
          <references count="2">
            <reference field="4294967294" count="1" selected="0">
              <x v="3"/>
            </reference>
            <reference field="38" count="1">
              <x v="59"/>
            </reference>
          </references>
        </pivotArea>
        <pivotArea type="data" collapsedLevelsAreSubtotals="1" fieldPosition="0">
          <references count="2">
            <reference field="4294967294" count="1" selected="0">
              <x v="3"/>
            </reference>
            <reference field="38" count="1">
              <x v="11"/>
            </reference>
          </references>
        </pivotArea>
        <pivotArea type="data" collapsedLevelsAreSubtotals="1" fieldPosition="0">
          <references count="2">
            <reference field="4294967294" count="1" selected="0">
              <x v="3"/>
            </reference>
            <reference field="38" count="1">
              <x v="73"/>
            </reference>
          </references>
        </pivotArea>
        <pivotArea type="data" collapsedLevelsAreSubtotals="1" fieldPosition="0">
          <references count="2">
            <reference field="4294967294" count="1" selected="0">
              <x v="3"/>
            </reference>
            <reference field="38" count="1">
              <x v="74"/>
            </reference>
          </references>
        </pivotArea>
        <pivotArea type="data" collapsedLevelsAreSubtotals="1" fieldPosition="0">
          <references count="2">
            <reference field="4294967294" count="1" selected="0">
              <x v="3"/>
            </reference>
            <reference field="38" count="1">
              <x v="5"/>
            </reference>
          </references>
        </pivotArea>
        <pivotArea type="data" collapsedLevelsAreSubtotals="1" fieldPosition="0">
          <references count="2">
            <reference field="4294967294" count="1" selected="0">
              <x v="3"/>
            </reference>
            <reference field="38" count="1">
              <x v="61"/>
            </reference>
          </references>
        </pivotArea>
        <pivotArea type="data" collapsedLevelsAreSubtotals="1" fieldPosition="0">
          <references count="2">
            <reference field="4294967294" count="1" selected="0">
              <x v="3"/>
            </reference>
            <reference field="38" count="1">
              <x v="17"/>
            </reference>
          </references>
        </pivotArea>
        <pivotArea type="data" collapsedLevelsAreSubtotals="1" fieldPosition="0">
          <references count="2">
            <reference field="4294967294" count="1" selected="0">
              <x v="3"/>
            </reference>
            <reference field="38" count="1">
              <x v="62"/>
            </reference>
          </references>
        </pivotArea>
        <pivotArea type="data" collapsedLevelsAreSubtotals="1" fieldPosition="0">
          <references count="2">
            <reference field="4294967294" count="1" selected="0">
              <x v="3"/>
            </reference>
            <reference field="38" count="1">
              <x v="43"/>
            </reference>
          </references>
        </pivotArea>
        <pivotArea type="data" collapsedLevelsAreSubtotals="1" fieldPosition="0">
          <references count="2">
            <reference field="4294967294" count="1" selected="0">
              <x v="3"/>
            </reference>
            <reference field="38" count="1">
              <x v="13"/>
            </reference>
          </references>
        </pivotArea>
        <pivotArea type="data" collapsedLevelsAreSubtotals="1" fieldPosition="0">
          <references count="2">
            <reference field="4294967294" count="1" selected="0">
              <x v="3"/>
            </reference>
            <reference field="38" count="1">
              <x v="68"/>
            </reference>
          </references>
        </pivotArea>
        <pivotArea type="data" collapsedLevelsAreSubtotals="1" fieldPosition="0">
          <references count="2">
            <reference field="4294967294" count="1" selected="0">
              <x v="3"/>
            </reference>
            <reference field="38" count="1">
              <x v="2"/>
            </reference>
          </references>
        </pivotArea>
        <pivotArea type="data" collapsedLevelsAreSubtotals="1" fieldPosition="0">
          <references count="2">
            <reference field="4294967294" count="1" selected="0">
              <x v="3"/>
            </reference>
            <reference field="38" count="1">
              <x v="57"/>
            </reference>
          </references>
        </pivotArea>
        <pivotArea type="data" collapsedLevelsAreSubtotals="1" fieldPosition="0">
          <references count="2">
            <reference field="4294967294" count="1" selected="0">
              <x v="3"/>
            </reference>
            <reference field="38" count="1">
              <x v="19"/>
            </reference>
          </references>
        </pivotArea>
        <pivotArea type="data" collapsedLevelsAreSubtotals="1" fieldPosition="0">
          <references count="2">
            <reference field="4294967294" count="1" selected="0">
              <x v="3"/>
            </reference>
            <reference field="38" count="1">
              <x v="71"/>
            </reference>
          </references>
        </pivotArea>
        <pivotArea type="data" collapsedLevelsAreSubtotals="1" fieldPosition="0">
          <references count="2">
            <reference field="4294967294" count="1" selected="0">
              <x v="3"/>
            </reference>
            <reference field="38" count="1">
              <x v="32"/>
            </reference>
          </references>
        </pivotArea>
        <pivotArea type="data" collapsedLevelsAreSubtotals="1" fieldPosition="0">
          <references count="2">
            <reference field="4294967294" count="1" selected="0">
              <x v="3"/>
            </reference>
            <reference field="38" count="1">
              <x v="6"/>
            </reference>
          </references>
        </pivotArea>
        <pivotArea type="data" collapsedLevelsAreSubtotals="1" fieldPosition="0">
          <references count="2">
            <reference field="4294967294" count="1" selected="0">
              <x v="3"/>
            </reference>
            <reference field="38" count="1">
              <x v="38"/>
            </reference>
          </references>
        </pivotArea>
        <pivotArea type="data" collapsedLevelsAreSubtotals="1" fieldPosition="0">
          <references count="2">
            <reference field="4294967294" count="1" selected="0">
              <x v="3"/>
            </reference>
            <reference field="38" count="1">
              <x v="35"/>
            </reference>
          </references>
        </pivotArea>
        <pivotArea type="data" collapsedLevelsAreSubtotals="1" fieldPosition="0">
          <references count="2">
            <reference field="4294967294" count="1" selected="0">
              <x v="3"/>
            </reference>
            <reference field="38" count="1">
              <x v="9"/>
            </reference>
          </references>
        </pivotArea>
        <pivotArea type="data" collapsedLevelsAreSubtotals="1" fieldPosition="0">
          <references count="2">
            <reference field="4294967294" count="1" selected="0">
              <x v="3"/>
            </reference>
            <reference field="38" count="1">
              <x v="0"/>
            </reference>
          </references>
        </pivotArea>
        <pivotArea type="data" collapsedLevelsAreSubtotals="1" fieldPosition="0">
          <references count="2">
            <reference field="4294967294" count="1" selected="0">
              <x v="3"/>
            </reference>
            <reference field="38" count="1">
              <x v="12"/>
            </reference>
          </references>
        </pivotArea>
        <pivotArea type="data" collapsedLevelsAreSubtotals="1" fieldPosition="0">
          <references count="2">
            <reference field="4294967294" count="1" selected="0">
              <x v="3"/>
            </reference>
            <reference field="38" count="1">
              <x v="14"/>
            </reference>
          </references>
        </pivotArea>
        <pivotArea type="data" collapsedLevelsAreSubtotals="1" fieldPosition="0">
          <references count="2">
            <reference field="4294967294" count="1" selected="0">
              <x v="3"/>
            </reference>
            <reference field="38" count="1">
              <x v="15"/>
            </reference>
          </references>
        </pivotArea>
        <pivotArea type="data" collapsedLevelsAreSubtotals="1" fieldPosition="0">
          <references count="2">
            <reference field="4294967294" count="1" selected="0">
              <x v="3"/>
            </reference>
            <reference field="38" count="1">
              <x v="1"/>
            </reference>
          </references>
        </pivotArea>
        <pivotArea type="data" collapsedLevelsAreSubtotals="1" fieldPosition="0">
          <references count="2">
            <reference field="4294967294" count="1" selected="0">
              <x v="3"/>
            </reference>
            <reference field="38" count="1">
              <x v="8"/>
            </reference>
          </references>
        </pivotArea>
        <pivotArea type="data" collapsedLevelsAreSubtotals="1" fieldPosition="0">
          <references count="2">
            <reference field="4294967294" count="1" selected="0">
              <x v="3"/>
            </reference>
            <reference field="38" count="1">
              <x v="91"/>
            </reference>
          </references>
        </pivotArea>
        <pivotArea type="data" collapsedLevelsAreSubtotals="1" fieldPosition="0">
          <references count="2">
            <reference field="4294967294" count="1" selected="0">
              <x v="3"/>
            </reference>
            <reference field="38" count="1">
              <x v="44"/>
            </reference>
          </references>
        </pivotArea>
        <pivotArea type="data" collapsedLevelsAreSubtotals="1" fieldPosition="0">
          <references count="2">
            <reference field="4294967294" count="1" selected="0">
              <x v="3"/>
            </reference>
            <reference field="38" count="1">
              <x v="7"/>
            </reference>
          </references>
        </pivotArea>
        <pivotArea type="data" collapsedLevelsAreSubtotals="1" fieldPosition="0">
          <references count="2">
            <reference field="4294967294" count="1" selected="0">
              <x v="3"/>
            </reference>
            <reference field="38" count="1">
              <x v="49"/>
            </reference>
          </references>
        </pivotArea>
        <pivotArea type="data" collapsedLevelsAreSubtotals="1" fieldPosition="0">
          <references count="2">
            <reference field="4294967294" count="1" selected="0">
              <x v="3"/>
            </reference>
            <reference field="38" count="1">
              <x v="89"/>
            </reference>
          </references>
        </pivotArea>
        <pivotArea type="data" collapsedLevelsAreSubtotals="1" fieldPosition="0">
          <references count="2">
            <reference field="4294967294" count="1" selected="0">
              <x v="3"/>
            </reference>
            <reference field="38" count="1">
              <x v="3"/>
            </reference>
          </references>
        </pivotArea>
        <pivotArea type="data" collapsedLevelsAreSubtotals="1" fieldPosition="0">
          <references count="2">
            <reference field="4294967294" count="1" selected="0">
              <x v="3"/>
            </reference>
            <reference field="38" count="1">
              <x v="41"/>
            </reference>
          </references>
        </pivotArea>
        <pivotArea type="data" collapsedLevelsAreSubtotals="1" fieldPosition="0">
          <references count="2">
            <reference field="4294967294" count="1" selected="0">
              <x v="3"/>
            </reference>
            <reference field="38" count="1">
              <x v="69"/>
            </reference>
          </references>
        </pivotArea>
        <pivotArea type="data" collapsedLevelsAreSubtotals="1" fieldPosition="0">
          <references count="2">
            <reference field="4294967294" count="1" selected="0">
              <x v="3"/>
            </reference>
            <reference field="38" count="1">
              <x v="42"/>
            </reference>
          </references>
        </pivotArea>
        <pivotArea type="data" collapsedLevelsAreSubtotals="1" fieldPosition="0">
          <references count="2">
            <reference field="4294967294" count="1" selected="0">
              <x v="3"/>
            </reference>
            <reference field="38" count="1">
              <x v="83"/>
            </reference>
          </references>
        </pivotArea>
        <pivotArea type="data" collapsedLevelsAreSubtotals="1" fieldPosition="0">
          <references count="2">
            <reference field="4294967294" count="1" selected="0">
              <x v="3"/>
            </reference>
            <reference field="38" count="1">
              <x v="70"/>
            </reference>
          </references>
        </pivotArea>
        <pivotArea type="data" collapsedLevelsAreSubtotals="1" fieldPosition="0">
          <references count="2">
            <reference field="4294967294" count="1" selected="0">
              <x v="3"/>
            </reference>
            <reference field="38" count="1">
              <x v="84"/>
            </reference>
          </references>
        </pivotArea>
        <pivotArea type="data" collapsedLevelsAreSubtotals="1" fieldPosition="0">
          <references count="2">
            <reference field="4294967294" count="1" selected="0">
              <x v="3"/>
            </reference>
            <reference field="38" count="1">
              <x v="100"/>
            </reference>
          </references>
        </pivotArea>
        <pivotArea type="data" collapsedLevelsAreSubtotals="1" fieldPosition="0">
          <references count="2">
            <reference field="4294967294" count="1" selected="0">
              <x v="3"/>
            </reference>
            <reference field="38" count="1">
              <x v="85"/>
            </reference>
          </references>
        </pivotArea>
        <pivotArea type="data" collapsedLevelsAreSubtotals="1" fieldPosition="0">
          <references count="2">
            <reference field="4294967294" count="1" selected="0">
              <x v="3"/>
            </reference>
            <reference field="38" count="1">
              <x v="80"/>
            </reference>
          </references>
        </pivotArea>
        <pivotArea type="data" collapsedLevelsAreSubtotals="1" fieldPosition="0">
          <references count="2">
            <reference field="4294967294" count="1" selected="0">
              <x v="3"/>
            </reference>
            <reference field="38" count="1">
              <x v="36"/>
            </reference>
          </references>
        </pivotArea>
        <pivotArea type="data" collapsedLevelsAreSubtotals="1" fieldPosition="0">
          <references count="2">
            <reference field="4294967294" count="1" selected="0">
              <x v="3"/>
            </reference>
            <reference field="38" count="1">
              <x v="96"/>
            </reference>
          </references>
        </pivotArea>
        <pivotArea type="data" collapsedLevelsAreSubtotals="1" fieldPosition="0">
          <references count="2">
            <reference field="4294967294" count="1" selected="0">
              <x v="3"/>
            </reference>
            <reference field="38" count="1">
              <x v="26"/>
            </reference>
          </references>
        </pivotArea>
        <pivotArea type="data" collapsedLevelsAreSubtotals="1" fieldPosition="0">
          <references count="2">
            <reference field="4294967294" count="1" selected="0">
              <x v="3"/>
            </reference>
            <reference field="38" count="1">
              <x v="47"/>
            </reference>
          </references>
        </pivotArea>
        <pivotArea type="data" collapsedLevelsAreSubtotals="1" fieldPosition="0">
          <references count="2">
            <reference field="4294967294" count="1" selected="0">
              <x v="3"/>
            </reference>
            <reference field="38" count="1">
              <x v="63"/>
            </reference>
          </references>
        </pivotArea>
        <pivotArea type="data" collapsedLevelsAreSubtotals="1" fieldPosition="0">
          <references count="2">
            <reference field="4294967294" count="1" selected="0">
              <x v="3"/>
            </reference>
            <reference field="38" count="1">
              <x v="82"/>
            </reference>
          </references>
        </pivotArea>
        <pivotArea type="data" collapsedLevelsAreSubtotals="1" fieldPosition="0">
          <references count="2">
            <reference field="4294967294" count="1" selected="0">
              <x v="3"/>
            </reference>
            <reference field="38" count="1">
              <x v="64"/>
            </reference>
          </references>
        </pivotArea>
        <pivotArea type="data" collapsedLevelsAreSubtotals="1" fieldPosition="0">
          <references count="2">
            <reference field="4294967294" count="1" selected="0">
              <x v="3"/>
            </reference>
            <reference field="38" count="1">
              <x v="22"/>
            </reference>
          </references>
        </pivotArea>
        <pivotArea type="data" collapsedLevelsAreSubtotals="1" fieldPosition="0">
          <references count="2">
            <reference field="4294967294" count="1" selected="0">
              <x v="3"/>
            </reference>
            <reference field="38" count="1">
              <x v="65"/>
            </reference>
          </references>
        </pivotArea>
        <pivotArea type="data" collapsedLevelsAreSubtotals="1" fieldPosition="0">
          <references count="2">
            <reference field="4294967294" count="1" selected="0">
              <x v="3"/>
            </reference>
            <reference field="38" count="1">
              <x v="98"/>
            </reference>
          </references>
        </pivotArea>
        <pivotArea type="data" collapsedLevelsAreSubtotals="1" fieldPosition="0">
          <references count="2">
            <reference field="4294967294" count="1" selected="0">
              <x v="3"/>
            </reference>
            <reference field="38" count="1">
              <x v="66"/>
            </reference>
          </references>
        </pivotArea>
        <pivotArea type="data" collapsedLevelsAreSubtotals="1" fieldPosition="0">
          <references count="2">
            <reference field="4294967294" count="1" selected="0">
              <x v="3"/>
            </reference>
            <reference field="38" count="1">
              <x v="23"/>
            </reference>
          </references>
        </pivotArea>
        <pivotArea type="data" collapsedLevelsAreSubtotals="1" fieldPosition="0">
          <references count="2">
            <reference field="4294967294" count="1" selected="0">
              <x v="3"/>
            </reference>
            <reference field="38" count="1">
              <x v="67"/>
            </reference>
          </references>
        </pivotArea>
        <pivotArea type="data" collapsedLevelsAreSubtotals="1" fieldPosition="0">
          <references count="2">
            <reference field="4294967294" count="1" selected="0">
              <x v="3"/>
            </reference>
            <reference field="38" count="1">
              <x v="79"/>
            </reference>
          </references>
        </pivotArea>
        <pivotArea type="data" collapsedLevelsAreSubtotals="1" fieldPosition="0">
          <references count="2">
            <reference field="4294967294" count="1" selected="0">
              <x v="3"/>
            </reference>
            <reference field="38" count="1">
              <x v="39"/>
            </reference>
          </references>
        </pivotArea>
        <pivotArea type="data" collapsedLevelsAreSubtotals="1" fieldPosition="0">
          <references count="2">
            <reference field="4294967294" count="1" selected="0">
              <x v="3"/>
            </reference>
            <reference field="38" count="1">
              <x v="81"/>
            </reference>
          </references>
        </pivotArea>
        <pivotArea type="data" collapsedLevelsAreSubtotals="1" fieldPosition="0">
          <references count="2">
            <reference field="4294967294" count="1" selected="0">
              <x v="3"/>
            </reference>
            <reference field="38" count="1">
              <x v="31"/>
            </reference>
          </references>
        </pivotArea>
        <pivotArea type="data" collapsedLevelsAreSubtotals="1" fieldPosition="0">
          <references count="2">
            <reference field="4294967294" count="1" selected="0">
              <x v="3"/>
            </reference>
            <reference field="38" count="1">
              <x v="16"/>
            </reference>
          </references>
        </pivotArea>
        <pivotArea type="data" collapsedLevelsAreSubtotals="1" fieldPosition="0">
          <references count="2">
            <reference field="4294967294" count="1" selected="0">
              <x v="3"/>
            </reference>
            <reference field="38" count="1">
              <x v="58"/>
            </reference>
          </references>
        </pivotArea>
        <pivotArea type="data" collapsedLevelsAreSubtotals="1" fieldPosition="0">
          <references count="2">
            <reference field="4294967294" count="1" selected="0">
              <x v="3"/>
            </reference>
            <reference field="38" count="1">
              <x v="45"/>
            </reference>
          </references>
        </pivotArea>
        <pivotArea type="data" collapsedLevelsAreSubtotals="1" fieldPosition="0">
          <references count="2">
            <reference field="4294967294" count="1" selected="0">
              <x v="3"/>
            </reference>
            <reference field="38" count="1">
              <x v="18"/>
            </reference>
          </references>
        </pivotArea>
        <pivotArea type="data" collapsedLevelsAreSubtotals="1" fieldPosition="0">
          <references count="2">
            <reference field="4294967294" count="1" selected="0">
              <x v="3"/>
            </reference>
            <reference field="38" count="1">
              <x v="106"/>
            </reference>
          </references>
        </pivotArea>
        <pivotArea type="data" collapsedLevelsAreSubtotals="1" fieldPosition="0">
          <references count="2">
            <reference field="4294967294" count="1" selected="0">
              <x v="3"/>
            </reference>
            <reference field="38" count="1">
              <x v="90"/>
            </reference>
          </references>
        </pivotArea>
        <pivotArea type="data" collapsedLevelsAreSubtotals="1" fieldPosition="0">
          <references count="2">
            <reference field="4294967294" count="1" selected="0">
              <x v="3"/>
            </reference>
            <reference field="38" count="1">
              <x v="48"/>
            </reference>
          </references>
        </pivotArea>
        <pivotArea type="data" collapsedLevelsAreSubtotals="1" fieldPosition="0">
          <references count="2">
            <reference field="4294967294" count="1" selected="0">
              <x v="3"/>
            </reference>
            <reference field="38" count="1">
              <x v="93"/>
            </reference>
          </references>
        </pivotArea>
        <pivotArea type="data" collapsedLevelsAreSubtotals="1" fieldPosition="0">
          <references count="2">
            <reference field="4294967294" count="1" selected="0">
              <x v="3"/>
            </reference>
            <reference field="38" count="1">
              <x v="103"/>
            </reference>
          </references>
        </pivotArea>
        <pivotArea type="data" collapsedLevelsAreSubtotals="1" fieldPosition="0">
          <references count="2">
            <reference field="4294967294" count="1" selected="0">
              <x v="3"/>
            </reference>
            <reference field="38" count="1">
              <x v="97"/>
            </reference>
          </references>
        </pivotArea>
        <pivotArea type="data" collapsedLevelsAreSubtotals="1" fieldPosition="0">
          <references count="2">
            <reference field="4294967294" count="1" selected="0">
              <x v="3"/>
            </reference>
            <reference field="38" count="1">
              <x v="10"/>
            </reference>
          </references>
        </pivotArea>
        <pivotArea type="data" collapsedLevelsAreSubtotals="1" fieldPosition="0">
          <references count="2">
            <reference field="4294967294" count="1" selected="0">
              <x v="3"/>
            </reference>
            <reference field="38" count="1">
              <x v="99"/>
            </reference>
          </references>
        </pivotArea>
        <pivotArea type="data" collapsedLevelsAreSubtotals="1" fieldPosition="0">
          <references count="2">
            <reference field="4294967294" count="1" selected="0">
              <x v="3"/>
            </reference>
            <reference field="38" count="1">
              <x v="29"/>
            </reference>
          </references>
        </pivotArea>
        <pivotArea type="data" collapsedLevelsAreSubtotals="1" fieldPosition="0">
          <references count="2">
            <reference field="4294967294" count="1" selected="0">
              <x v="3"/>
            </reference>
            <reference field="38" count="1">
              <x v="101"/>
            </reference>
          </references>
        </pivotArea>
        <pivotArea type="data" collapsedLevelsAreSubtotals="1" fieldPosition="0">
          <references count="2">
            <reference field="4294967294" count="1" selected="0">
              <x v="3"/>
            </reference>
            <reference field="38" count="1">
              <x v="21"/>
            </reference>
          </references>
        </pivotArea>
        <pivotArea type="data" collapsedLevelsAreSubtotals="1" fieldPosition="0">
          <references count="2">
            <reference field="4294967294" count="1" selected="0">
              <x v="3"/>
            </reference>
            <reference field="38" count="1">
              <x v="76"/>
            </reference>
          </references>
        </pivotArea>
        <pivotArea type="data" collapsedLevelsAreSubtotals="1" fieldPosition="0">
          <references count="2">
            <reference field="4294967294" count="1" selected="0">
              <x v="3"/>
            </reference>
            <reference field="38" count="1">
              <x v="46"/>
            </reference>
          </references>
        </pivotArea>
        <pivotArea type="data" collapsedLevelsAreSubtotals="1" fieldPosition="0">
          <references count="2">
            <reference field="4294967294" count="1" selected="0">
              <x v="3"/>
            </reference>
            <reference field="38" count="1">
              <x v="72"/>
            </reference>
          </references>
        </pivotArea>
        <pivotArea type="data" collapsedLevelsAreSubtotals="1" fieldPosition="0">
          <references count="2">
            <reference field="4294967294" count="1" selected="0">
              <x v="3"/>
            </reference>
            <reference field="38" count="1">
              <x v="4"/>
            </reference>
          </references>
        </pivotArea>
        <pivotArea type="data" collapsedLevelsAreSubtotals="1" fieldPosition="0">
          <references count="2">
            <reference field="4294967294" count="1" selected="0">
              <x v="3"/>
            </reference>
            <reference field="38" count="1">
              <x v="53"/>
            </reference>
          </references>
        </pivotArea>
        <pivotArea type="data" collapsedLevelsAreSubtotals="1" fieldPosition="0">
          <references count="2">
            <reference field="4294967294" count="1" selected="0">
              <x v="3"/>
            </reference>
            <reference field="38" count="1">
              <x v="55"/>
            </reference>
          </references>
        </pivotArea>
        <pivotArea type="data" collapsedLevelsAreSubtotals="1" fieldPosition="0">
          <references count="2">
            <reference field="4294967294" count="1" selected="0">
              <x v="3"/>
            </reference>
            <reference field="38" count="1">
              <x v="20"/>
            </reference>
          </references>
        </pivotArea>
        <pivotArea type="data" collapsedLevelsAreSubtotals="1" fieldPosition="0">
          <references count="2">
            <reference field="4294967294" count="1" selected="0">
              <x v="3"/>
            </reference>
            <reference field="38" count="1">
              <x v="88"/>
            </reference>
          </references>
        </pivotArea>
        <pivotArea type="data" collapsedLevelsAreSubtotals="1" fieldPosition="0">
          <references count="2">
            <reference field="4294967294" count="1" selected="0">
              <x v="3"/>
            </reference>
            <reference field="38" count="1">
              <x v="78"/>
            </reference>
          </references>
        </pivotArea>
        <pivotArea type="data" collapsedLevelsAreSubtotals="1" fieldPosition="0">
          <references count="2">
            <reference field="4294967294" count="1" selected="0">
              <x v="3"/>
            </reference>
            <reference field="38" count="1">
              <x v="50"/>
            </reference>
          </references>
        </pivotArea>
        <pivotArea type="data" collapsedLevelsAreSubtotals="1" fieldPosition="0">
          <references count="2">
            <reference field="4294967294" count="1" selected="0">
              <x v="3"/>
            </reference>
            <reference field="38" count="1">
              <x v="87"/>
            </reference>
          </references>
        </pivotArea>
        <pivotArea type="data" collapsedLevelsAreSubtotals="1" fieldPosition="0">
          <references count="2">
            <reference field="4294967294" count="1" selected="0">
              <x v="3"/>
            </reference>
            <reference field="38" count="1">
              <x v="34"/>
            </reference>
          </references>
        </pivotArea>
        <pivotArea type="data" collapsedLevelsAreSubtotals="1" fieldPosition="0">
          <references count="2">
            <reference field="4294967294" count="1" selected="0">
              <x v="3"/>
            </reference>
            <reference field="38" count="1">
              <x v="95"/>
            </reference>
          </references>
        </pivotArea>
        <pivotArea type="data" collapsedLevelsAreSubtotals="1" fieldPosition="0">
          <references count="3">
            <reference field="4294967294" count="1" selected="0">
              <x v="3"/>
            </reference>
            <reference field="0" count="4">
              <x v="1"/>
              <x v="2"/>
              <x v="3"/>
              <x v="4"/>
            </reference>
            <reference field="38" count="1" selected="0">
              <x v="95"/>
            </reference>
          </references>
        </pivotArea>
        <pivotArea type="data" collapsedLevelsAreSubtotals="1" fieldPosition="0">
          <references count="2">
            <reference field="4294967294" count="1" selected="0">
              <x v="3"/>
            </reference>
            <reference field="38" count="1">
              <x v="105"/>
            </reference>
          </references>
        </pivotArea>
        <pivotArea type="data" collapsedLevelsAreSubtotals="1" fieldPosition="0">
          <references count="2">
            <reference field="4294967294" count="1" selected="0">
              <x v="3"/>
            </reference>
            <reference field="38" count="1">
              <x v="30"/>
            </reference>
          </references>
        </pivotArea>
        <pivotArea type="data" collapsedLevelsAreSubtotals="1" fieldPosition="0">
          <references count="2">
            <reference field="4294967294" count="1" selected="0">
              <x v="3"/>
            </reference>
            <reference field="38" count="1">
              <x v="94"/>
            </reference>
          </references>
        </pivotArea>
        <pivotArea type="data" collapsedLevelsAreSubtotals="1" fieldPosition="0">
          <references count="2">
            <reference field="4294967294" count="1" selected="0">
              <x v="3"/>
            </reference>
            <reference field="38" count="1">
              <x v="37"/>
            </reference>
          </references>
        </pivotArea>
        <pivotArea type="data" collapsedLevelsAreSubtotals="1" fieldPosition="0">
          <references count="2">
            <reference field="4294967294" count="1" selected="0">
              <x v="3"/>
            </reference>
            <reference field="38" count="1">
              <x v="92"/>
            </reference>
          </references>
        </pivotArea>
      </pivotAreas>
    </conditionalFormat>
    <conditionalFormat priority="3">
      <pivotAreas count="108">
        <pivotArea type="data" collapsedLevelsAreSubtotals="1" fieldPosition="0">
          <references count="2">
            <reference field="4294967294" count="1" selected="0">
              <x v="2"/>
            </reference>
            <reference field="38" count="1">
              <x v="56"/>
            </reference>
          </references>
        </pivotArea>
        <pivotArea type="data" collapsedLevelsAreSubtotals="1" fieldPosition="0">
          <references count="2">
            <reference field="4294967294" count="1" selected="0">
              <x v="2"/>
            </reference>
            <reference field="38" count="1">
              <x v="60"/>
            </reference>
          </references>
        </pivotArea>
        <pivotArea type="data" collapsedLevelsAreSubtotals="1" fieldPosition="0">
          <references count="2">
            <reference field="4294967294" count="1" selected="0">
              <x v="2"/>
            </reference>
            <reference field="38" count="1">
              <x v="25"/>
            </reference>
          </references>
        </pivotArea>
        <pivotArea type="data" collapsedLevelsAreSubtotals="1" fieldPosition="0">
          <references count="2">
            <reference field="4294967294" count="1" selected="0">
              <x v="2"/>
            </reference>
            <reference field="38" count="1">
              <x v="28"/>
            </reference>
          </references>
        </pivotArea>
        <pivotArea type="data" collapsedLevelsAreSubtotals="1" fieldPosition="0">
          <references count="2">
            <reference field="4294967294" count="1" selected="0">
              <x v="2"/>
            </reference>
            <reference field="38" count="1">
              <x v="86"/>
            </reference>
          </references>
        </pivotArea>
        <pivotArea type="data" collapsedLevelsAreSubtotals="1" fieldPosition="0">
          <references count="2">
            <reference field="4294967294" count="1" selected="0">
              <x v="2"/>
            </reference>
            <reference field="38" count="1">
              <x v="102"/>
            </reference>
          </references>
        </pivotArea>
        <pivotArea type="data" collapsedLevelsAreSubtotals="1" fieldPosition="0">
          <references count="2">
            <reference field="4294967294" count="1" selected="0">
              <x v="2"/>
            </reference>
            <reference field="38" count="1">
              <x v="40"/>
            </reference>
          </references>
        </pivotArea>
        <pivotArea type="data" collapsedLevelsAreSubtotals="1" fieldPosition="0">
          <references count="2">
            <reference field="4294967294" count="1" selected="0">
              <x v="2"/>
            </reference>
            <reference field="38" count="1">
              <x v="51"/>
            </reference>
          </references>
        </pivotArea>
        <pivotArea type="data" collapsedLevelsAreSubtotals="1" fieldPosition="0">
          <references count="2">
            <reference field="4294967294" count="1" selected="0">
              <x v="2"/>
            </reference>
            <reference field="38" count="1">
              <x v="75"/>
            </reference>
          </references>
        </pivotArea>
        <pivotArea type="data" collapsedLevelsAreSubtotals="1" fieldPosition="0">
          <references count="2">
            <reference field="4294967294" count="1" selected="0">
              <x v="2"/>
            </reference>
            <reference field="38" count="1">
              <x v="54"/>
            </reference>
          </references>
        </pivotArea>
        <pivotArea type="data" collapsedLevelsAreSubtotals="1" fieldPosition="0">
          <references count="2">
            <reference field="4294967294" count="1" selected="0">
              <x v="2"/>
            </reference>
            <reference field="38" count="1">
              <x v="24"/>
            </reference>
          </references>
        </pivotArea>
        <pivotArea type="data" collapsedLevelsAreSubtotals="1" fieldPosition="0">
          <references count="2">
            <reference field="4294967294" count="1" selected="0">
              <x v="2"/>
            </reference>
            <reference field="38" count="1">
              <x v="77"/>
            </reference>
          </references>
        </pivotArea>
        <pivotArea type="data" collapsedLevelsAreSubtotals="1" fieldPosition="0">
          <references count="2">
            <reference field="4294967294" count="1" selected="0">
              <x v="2"/>
            </reference>
            <reference field="38" count="1">
              <x v="104"/>
            </reference>
          </references>
        </pivotArea>
        <pivotArea type="data" collapsedLevelsAreSubtotals="1" fieldPosition="0">
          <references count="2">
            <reference field="4294967294" count="1" selected="0">
              <x v="2"/>
            </reference>
            <reference field="38" count="1">
              <x v="52"/>
            </reference>
          </references>
        </pivotArea>
        <pivotArea type="data" collapsedLevelsAreSubtotals="1" fieldPosition="0">
          <references count="2">
            <reference field="4294967294" count="1" selected="0">
              <x v="2"/>
            </reference>
            <reference field="38" count="1">
              <x v="33"/>
            </reference>
          </references>
        </pivotArea>
        <pivotArea type="data" collapsedLevelsAreSubtotals="1" fieldPosition="0">
          <references count="2">
            <reference field="4294967294" count="1" selected="0">
              <x v="2"/>
            </reference>
            <reference field="38" count="1">
              <x v="27"/>
            </reference>
          </references>
        </pivotArea>
        <pivotArea type="data" collapsedLevelsAreSubtotals="1" fieldPosition="0">
          <references count="2">
            <reference field="4294967294" count="1" selected="0">
              <x v="2"/>
            </reference>
            <reference field="38" count="1">
              <x v="59"/>
            </reference>
          </references>
        </pivotArea>
        <pivotArea type="data" collapsedLevelsAreSubtotals="1" fieldPosition="0">
          <references count="2">
            <reference field="4294967294" count="1" selected="0">
              <x v="2"/>
            </reference>
            <reference field="38" count="1">
              <x v="11"/>
            </reference>
          </references>
        </pivotArea>
        <pivotArea type="data" collapsedLevelsAreSubtotals="1" fieldPosition="0">
          <references count="2">
            <reference field="4294967294" count="1" selected="0">
              <x v="2"/>
            </reference>
            <reference field="38" count="1">
              <x v="73"/>
            </reference>
          </references>
        </pivotArea>
        <pivotArea type="data" collapsedLevelsAreSubtotals="1" fieldPosition="0">
          <references count="2">
            <reference field="4294967294" count="1" selected="0">
              <x v="2"/>
            </reference>
            <reference field="38" count="1">
              <x v="74"/>
            </reference>
          </references>
        </pivotArea>
        <pivotArea type="data" collapsedLevelsAreSubtotals="1" fieldPosition="0">
          <references count="2">
            <reference field="4294967294" count="1" selected="0">
              <x v="2"/>
            </reference>
            <reference field="38" count="1">
              <x v="5"/>
            </reference>
          </references>
        </pivotArea>
        <pivotArea type="data" collapsedLevelsAreSubtotals="1" fieldPosition="0">
          <references count="2">
            <reference field="4294967294" count="1" selected="0">
              <x v="2"/>
            </reference>
            <reference field="38" count="1">
              <x v="61"/>
            </reference>
          </references>
        </pivotArea>
        <pivotArea type="data" collapsedLevelsAreSubtotals="1" fieldPosition="0">
          <references count="2">
            <reference field="4294967294" count="1" selected="0">
              <x v="2"/>
            </reference>
            <reference field="38" count="1">
              <x v="17"/>
            </reference>
          </references>
        </pivotArea>
        <pivotArea type="data" collapsedLevelsAreSubtotals="1" fieldPosition="0">
          <references count="2">
            <reference field="4294967294" count="1" selected="0">
              <x v="2"/>
            </reference>
            <reference field="38" count="1">
              <x v="62"/>
            </reference>
          </references>
        </pivotArea>
        <pivotArea type="data" collapsedLevelsAreSubtotals="1" fieldPosition="0">
          <references count="2">
            <reference field="4294967294" count="1" selected="0">
              <x v="2"/>
            </reference>
            <reference field="38" count="1">
              <x v="43"/>
            </reference>
          </references>
        </pivotArea>
        <pivotArea type="data" collapsedLevelsAreSubtotals="1" fieldPosition="0">
          <references count="2">
            <reference field="4294967294" count="1" selected="0">
              <x v="2"/>
            </reference>
            <reference field="38" count="1">
              <x v="13"/>
            </reference>
          </references>
        </pivotArea>
        <pivotArea type="data" collapsedLevelsAreSubtotals="1" fieldPosition="0">
          <references count="2">
            <reference field="4294967294" count="1" selected="0">
              <x v="2"/>
            </reference>
            <reference field="38" count="1">
              <x v="68"/>
            </reference>
          </references>
        </pivotArea>
        <pivotArea type="data" collapsedLevelsAreSubtotals="1" fieldPosition="0">
          <references count="2">
            <reference field="4294967294" count="1" selected="0">
              <x v="2"/>
            </reference>
            <reference field="38" count="1">
              <x v="2"/>
            </reference>
          </references>
        </pivotArea>
        <pivotArea type="data" collapsedLevelsAreSubtotals="1" fieldPosition="0">
          <references count="2">
            <reference field="4294967294" count="1" selected="0">
              <x v="2"/>
            </reference>
            <reference field="38" count="1">
              <x v="57"/>
            </reference>
          </references>
        </pivotArea>
        <pivotArea type="data" collapsedLevelsAreSubtotals="1" fieldPosition="0">
          <references count="2">
            <reference field="4294967294" count="1" selected="0">
              <x v="2"/>
            </reference>
            <reference field="38" count="1">
              <x v="19"/>
            </reference>
          </references>
        </pivotArea>
        <pivotArea type="data" collapsedLevelsAreSubtotals="1" fieldPosition="0">
          <references count="2">
            <reference field="4294967294" count="1" selected="0">
              <x v="2"/>
            </reference>
            <reference field="38" count="1">
              <x v="71"/>
            </reference>
          </references>
        </pivotArea>
        <pivotArea type="data" collapsedLevelsAreSubtotals="1" fieldPosition="0">
          <references count="2">
            <reference field="4294967294" count="1" selected="0">
              <x v="2"/>
            </reference>
            <reference field="38" count="1">
              <x v="32"/>
            </reference>
          </references>
        </pivotArea>
        <pivotArea type="data" collapsedLevelsAreSubtotals="1" fieldPosition="0">
          <references count="2">
            <reference field="4294967294" count="1" selected="0">
              <x v="2"/>
            </reference>
            <reference field="38" count="1">
              <x v="6"/>
            </reference>
          </references>
        </pivotArea>
        <pivotArea type="data" collapsedLevelsAreSubtotals="1" fieldPosition="0">
          <references count="2">
            <reference field="4294967294" count="1" selected="0">
              <x v="2"/>
            </reference>
            <reference field="38" count="1">
              <x v="38"/>
            </reference>
          </references>
        </pivotArea>
        <pivotArea type="data" collapsedLevelsAreSubtotals="1" fieldPosition="0">
          <references count="2">
            <reference field="4294967294" count="1" selected="0">
              <x v="2"/>
            </reference>
            <reference field="38" count="1">
              <x v="35"/>
            </reference>
          </references>
        </pivotArea>
        <pivotArea type="data" collapsedLevelsAreSubtotals="1" fieldPosition="0">
          <references count="2">
            <reference field="4294967294" count="1" selected="0">
              <x v="2"/>
            </reference>
            <reference field="38" count="1">
              <x v="9"/>
            </reference>
          </references>
        </pivotArea>
        <pivotArea type="data" collapsedLevelsAreSubtotals="1" fieldPosition="0">
          <references count="2">
            <reference field="4294967294" count="1" selected="0">
              <x v="2"/>
            </reference>
            <reference field="38" count="1">
              <x v="0"/>
            </reference>
          </references>
        </pivotArea>
        <pivotArea type="data" collapsedLevelsAreSubtotals="1" fieldPosition="0">
          <references count="2">
            <reference field="4294967294" count="1" selected="0">
              <x v="2"/>
            </reference>
            <reference field="38" count="1">
              <x v="12"/>
            </reference>
          </references>
        </pivotArea>
        <pivotArea type="data" collapsedLevelsAreSubtotals="1" fieldPosition="0">
          <references count="2">
            <reference field="4294967294" count="1" selected="0">
              <x v="2"/>
            </reference>
            <reference field="38" count="1">
              <x v="14"/>
            </reference>
          </references>
        </pivotArea>
        <pivotArea type="data" collapsedLevelsAreSubtotals="1" fieldPosition="0">
          <references count="2">
            <reference field="4294967294" count="1" selected="0">
              <x v="2"/>
            </reference>
            <reference field="38" count="1">
              <x v="15"/>
            </reference>
          </references>
        </pivotArea>
        <pivotArea type="data" collapsedLevelsAreSubtotals="1" fieldPosition="0">
          <references count="2">
            <reference field="4294967294" count="1" selected="0">
              <x v="2"/>
            </reference>
            <reference field="38" count="1">
              <x v="1"/>
            </reference>
          </references>
        </pivotArea>
        <pivotArea type="data" collapsedLevelsAreSubtotals="1" fieldPosition="0">
          <references count="2">
            <reference field="4294967294" count="1" selected="0">
              <x v="2"/>
            </reference>
            <reference field="38" count="1">
              <x v="8"/>
            </reference>
          </references>
        </pivotArea>
        <pivotArea type="data" collapsedLevelsAreSubtotals="1" fieldPosition="0">
          <references count="2">
            <reference field="4294967294" count="1" selected="0">
              <x v="2"/>
            </reference>
            <reference field="38" count="1">
              <x v="91"/>
            </reference>
          </references>
        </pivotArea>
        <pivotArea type="data" collapsedLevelsAreSubtotals="1" fieldPosition="0">
          <references count="2">
            <reference field="4294967294" count="1" selected="0">
              <x v="2"/>
            </reference>
            <reference field="38" count="1">
              <x v="44"/>
            </reference>
          </references>
        </pivotArea>
        <pivotArea type="data" collapsedLevelsAreSubtotals="1" fieldPosition="0">
          <references count="2">
            <reference field="4294967294" count="1" selected="0">
              <x v="2"/>
            </reference>
            <reference field="38" count="1">
              <x v="7"/>
            </reference>
          </references>
        </pivotArea>
        <pivotArea type="data" collapsedLevelsAreSubtotals="1" fieldPosition="0">
          <references count="2">
            <reference field="4294967294" count="1" selected="0">
              <x v="2"/>
            </reference>
            <reference field="38" count="1">
              <x v="49"/>
            </reference>
          </references>
        </pivotArea>
        <pivotArea type="data" collapsedLevelsAreSubtotals="1" fieldPosition="0">
          <references count="2">
            <reference field="4294967294" count="1" selected="0">
              <x v="2"/>
            </reference>
            <reference field="38" count="1">
              <x v="89"/>
            </reference>
          </references>
        </pivotArea>
        <pivotArea type="data" collapsedLevelsAreSubtotals="1" fieldPosition="0">
          <references count="2">
            <reference field="4294967294" count="1" selected="0">
              <x v="2"/>
            </reference>
            <reference field="38" count="1">
              <x v="3"/>
            </reference>
          </references>
        </pivotArea>
        <pivotArea type="data" collapsedLevelsAreSubtotals="1" fieldPosition="0">
          <references count="2">
            <reference field="4294967294" count="1" selected="0">
              <x v="2"/>
            </reference>
            <reference field="38" count="1">
              <x v="41"/>
            </reference>
          </references>
        </pivotArea>
        <pivotArea type="data" collapsedLevelsAreSubtotals="1" fieldPosition="0">
          <references count="2">
            <reference field="4294967294" count="1" selected="0">
              <x v="2"/>
            </reference>
            <reference field="38" count="1">
              <x v="69"/>
            </reference>
          </references>
        </pivotArea>
        <pivotArea type="data" collapsedLevelsAreSubtotals="1" fieldPosition="0">
          <references count="2">
            <reference field="4294967294" count="1" selected="0">
              <x v="2"/>
            </reference>
            <reference field="38" count="1">
              <x v="42"/>
            </reference>
          </references>
        </pivotArea>
        <pivotArea type="data" collapsedLevelsAreSubtotals="1" fieldPosition="0">
          <references count="2">
            <reference field="4294967294" count="1" selected="0">
              <x v="2"/>
            </reference>
            <reference field="38" count="1">
              <x v="83"/>
            </reference>
          </references>
        </pivotArea>
        <pivotArea type="data" collapsedLevelsAreSubtotals="1" fieldPosition="0">
          <references count="2">
            <reference field="4294967294" count="1" selected="0">
              <x v="2"/>
            </reference>
            <reference field="38" count="1">
              <x v="70"/>
            </reference>
          </references>
        </pivotArea>
        <pivotArea type="data" collapsedLevelsAreSubtotals="1" fieldPosition="0">
          <references count="2">
            <reference field="4294967294" count="1" selected="0">
              <x v="2"/>
            </reference>
            <reference field="38" count="1">
              <x v="84"/>
            </reference>
          </references>
        </pivotArea>
        <pivotArea type="data" collapsedLevelsAreSubtotals="1" fieldPosition="0">
          <references count="2">
            <reference field="4294967294" count="1" selected="0">
              <x v="2"/>
            </reference>
            <reference field="38" count="1">
              <x v="100"/>
            </reference>
          </references>
        </pivotArea>
        <pivotArea type="data" collapsedLevelsAreSubtotals="1" fieldPosition="0">
          <references count="2">
            <reference field="4294967294" count="1" selected="0">
              <x v="2"/>
            </reference>
            <reference field="38" count="1">
              <x v="85"/>
            </reference>
          </references>
        </pivotArea>
        <pivotArea type="data" collapsedLevelsAreSubtotals="1" fieldPosition="0">
          <references count="2">
            <reference field="4294967294" count="1" selected="0">
              <x v="2"/>
            </reference>
            <reference field="38" count="1">
              <x v="80"/>
            </reference>
          </references>
        </pivotArea>
        <pivotArea type="data" collapsedLevelsAreSubtotals="1" fieldPosition="0">
          <references count="2">
            <reference field="4294967294" count="1" selected="0">
              <x v="2"/>
            </reference>
            <reference field="38" count="1">
              <x v="36"/>
            </reference>
          </references>
        </pivotArea>
        <pivotArea type="data" collapsedLevelsAreSubtotals="1" fieldPosition="0">
          <references count="2">
            <reference field="4294967294" count="1" selected="0">
              <x v="2"/>
            </reference>
            <reference field="38" count="1">
              <x v="96"/>
            </reference>
          </references>
        </pivotArea>
        <pivotArea type="data" collapsedLevelsAreSubtotals="1" fieldPosition="0">
          <references count="2">
            <reference field="4294967294" count="1" selected="0">
              <x v="2"/>
            </reference>
            <reference field="38" count="1">
              <x v="26"/>
            </reference>
          </references>
        </pivotArea>
        <pivotArea type="data" collapsedLevelsAreSubtotals="1" fieldPosition="0">
          <references count="2">
            <reference field="4294967294" count="1" selected="0">
              <x v="2"/>
            </reference>
            <reference field="38" count="1">
              <x v="47"/>
            </reference>
          </references>
        </pivotArea>
        <pivotArea type="data" collapsedLevelsAreSubtotals="1" fieldPosition="0">
          <references count="2">
            <reference field="4294967294" count="1" selected="0">
              <x v="2"/>
            </reference>
            <reference field="38" count="1">
              <x v="63"/>
            </reference>
          </references>
        </pivotArea>
        <pivotArea type="data" collapsedLevelsAreSubtotals="1" fieldPosition="0">
          <references count="2">
            <reference field="4294967294" count="1" selected="0">
              <x v="2"/>
            </reference>
            <reference field="38" count="1">
              <x v="82"/>
            </reference>
          </references>
        </pivotArea>
        <pivotArea type="data" collapsedLevelsAreSubtotals="1" fieldPosition="0">
          <references count="2">
            <reference field="4294967294" count="1" selected="0">
              <x v="2"/>
            </reference>
            <reference field="38" count="1">
              <x v="64"/>
            </reference>
          </references>
        </pivotArea>
        <pivotArea type="data" collapsedLevelsAreSubtotals="1" fieldPosition="0">
          <references count="2">
            <reference field="4294967294" count="1" selected="0">
              <x v="2"/>
            </reference>
            <reference field="38" count="1">
              <x v="22"/>
            </reference>
          </references>
        </pivotArea>
        <pivotArea type="data" collapsedLevelsAreSubtotals="1" fieldPosition="0">
          <references count="2">
            <reference field="4294967294" count="1" selected="0">
              <x v="2"/>
            </reference>
            <reference field="38" count="1">
              <x v="65"/>
            </reference>
          </references>
        </pivotArea>
        <pivotArea type="data" collapsedLevelsAreSubtotals="1" fieldPosition="0">
          <references count="2">
            <reference field="4294967294" count="1" selected="0">
              <x v="2"/>
            </reference>
            <reference field="38" count="1">
              <x v="98"/>
            </reference>
          </references>
        </pivotArea>
        <pivotArea type="data" collapsedLevelsAreSubtotals="1" fieldPosition="0">
          <references count="2">
            <reference field="4294967294" count="1" selected="0">
              <x v="2"/>
            </reference>
            <reference field="38" count="1">
              <x v="66"/>
            </reference>
          </references>
        </pivotArea>
        <pivotArea type="data" collapsedLevelsAreSubtotals="1" fieldPosition="0">
          <references count="2">
            <reference field="4294967294" count="1" selected="0">
              <x v="2"/>
            </reference>
            <reference field="38" count="1">
              <x v="23"/>
            </reference>
          </references>
        </pivotArea>
        <pivotArea type="data" collapsedLevelsAreSubtotals="1" fieldPosition="0">
          <references count="2">
            <reference field="4294967294" count="1" selected="0">
              <x v="2"/>
            </reference>
            <reference field="38" count="1">
              <x v="67"/>
            </reference>
          </references>
        </pivotArea>
        <pivotArea type="data" collapsedLevelsAreSubtotals="1" fieldPosition="0">
          <references count="2">
            <reference field="4294967294" count="1" selected="0">
              <x v="2"/>
            </reference>
            <reference field="38" count="1">
              <x v="79"/>
            </reference>
          </references>
        </pivotArea>
        <pivotArea type="data" collapsedLevelsAreSubtotals="1" fieldPosition="0">
          <references count="2">
            <reference field="4294967294" count="1" selected="0">
              <x v="2"/>
            </reference>
            <reference field="38" count="1">
              <x v="39"/>
            </reference>
          </references>
        </pivotArea>
        <pivotArea type="data" collapsedLevelsAreSubtotals="1" fieldPosition="0">
          <references count="2">
            <reference field="4294967294" count="1" selected="0">
              <x v="2"/>
            </reference>
            <reference field="38" count="1">
              <x v="81"/>
            </reference>
          </references>
        </pivotArea>
        <pivotArea type="data" collapsedLevelsAreSubtotals="1" fieldPosition="0">
          <references count="2">
            <reference field="4294967294" count="1" selected="0">
              <x v="2"/>
            </reference>
            <reference field="38" count="1">
              <x v="31"/>
            </reference>
          </references>
        </pivotArea>
        <pivotArea type="data" collapsedLevelsAreSubtotals="1" fieldPosition="0">
          <references count="2">
            <reference field="4294967294" count="1" selected="0">
              <x v="2"/>
            </reference>
            <reference field="38" count="1">
              <x v="16"/>
            </reference>
          </references>
        </pivotArea>
        <pivotArea type="data" collapsedLevelsAreSubtotals="1" fieldPosition="0">
          <references count="2">
            <reference field="4294967294" count="1" selected="0">
              <x v="2"/>
            </reference>
            <reference field="38" count="1">
              <x v="58"/>
            </reference>
          </references>
        </pivotArea>
        <pivotArea type="data" collapsedLevelsAreSubtotals="1" fieldPosition="0">
          <references count="2">
            <reference field="4294967294" count="1" selected="0">
              <x v="2"/>
            </reference>
            <reference field="38" count="1">
              <x v="45"/>
            </reference>
          </references>
        </pivotArea>
        <pivotArea type="data" collapsedLevelsAreSubtotals="1" fieldPosition="0">
          <references count="2">
            <reference field="4294967294" count="1" selected="0">
              <x v="2"/>
            </reference>
            <reference field="38" count="1">
              <x v="18"/>
            </reference>
          </references>
        </pivotArea>
        <pivotArea type="data" collapsedLevelsAreSubtotals="1" fieldPosition="0">
          <references count="2">
            <reference field="4294967294" count="1" selected="0">
              <x v="2"/>
            </reference>
            <reference field="38" count="1">
              <x v="106"/>
            </reference>
          </references>
        </pivotArea>
        <pivotArea type="data" collapsedLevelsAreSubtotals="1" fieldPosition="0">
          <references count="2">
            <reference field="4294967294" count="1" selected="0">
              <x v="2"/>
            </reference>
            <reference field="38" count="1">
              <x v="90"/>
            </reference>
          </references>
        </pivotArea>
        <pivotArea type="data" collapsedLevelsAreSubtotals="1" fieldPosition="0">
          <references count="2">
            <reference field="4294967294" count="1" selected="0">
              <x v="2"/>
            </reference>
            <reference field="38" count="1">
              <x v="48"/>
            </reference>
          </references>
        </pivotArea>
        <pivotArea type="data" collapsedLevelsAreSubtotals="1" fieldPosition="0">
          <references count="2">
            <reference field="4294967294" count="1" selected="0">
              <x v="2"/>
            </reference>
            <reference field="38" count="1">
              <x v="93"/>
            </reference>
          </references>
        </pivotArea>
        <pivotArea type="data" collapsedLevelsAreSubtotals="1" fieldPosition="0">
          <references count="2">
            <reference field="4294967294" count="1" selected="0">
              <x v="2"/>
            </reference>
            <reference field="38" count="1">
              <x v="103"/>
            </reference>
          </references>
        </pivotArea>
        <pivotArea type="data" collapsedLevelsAreSubtotals="1" fieldPosition="0">
          <references count="2">
            <reference field="4294967294" count="1" selected="0">
              <x v="2"/>
            </reference>
            <reference field="38" count="1">
              <x v="97"/>
            </reference>
          </references>
        </pivotArea>
        <pivotArea type="data" collapsedLevelsAreSubtotals="1" fieldPosition="0">
          <references count="2">
            <reference field="4294967294" count="1" selected="0">
              <x v="2"/>
            </reference>
            <reference field="38" count="1">
              <x v="10"/>
            </reference>
          </references>
        </pivotArea>
        <pivotArea type="data" collapsedLevelsAreSubtotals="1" fieldPosition="0">
          <references count="2">
            <reference field="4294967294" count="1" selected="0">
              <x v="2"/>
            </reference>
            <reference field="38" count="1">
              <x v="99"/>
            </reference>
          </references>
        </pivotArea>
        <pivotArea type="data" collapsedLevelsAreSubtotals="1" fieldPosition="0">
          <references count="2">
            <reference field="4294967294" count="1" selected="0">
              <x v="2"/>
            </reference>
            <reference field="38" count="1">
              <x v="29"/>
            </reference>
          </references>
        </pivotArea>
        <pivotArea type="data" collapsedLevelsAreSubtotals="1" fieldPosition="0">
          <references count="2">
            <reference field="4294967294" count="1" selected="0">
              <x v="2"/>
            </reference>
            <reference field="38" count="1">
              <x v="101"/>
            </reference>
          </references>
        </pivotArea>
        <pivotArea type="data" collapsedLevelsAreSubtotals="1" fieldPosition="0">
          <references count="2">
            <reference field="4294967294" count="1" selected="0">
              <x v="2"/>
            </reference>
            <reference field="38" count="1">
              <x v="21"/>
            </reference>
          </references>
        </pivotArea>
        <pivotArea type="data" collapsedLevelsAreSubtotals="1" fieldPosition="0">
          <references count="2">
            <reference field="4294967294" count="1" selected="0">
              <x v="2"/>
            </reference>
            <reference field="38" count="1">
              <x v="76"/>
            </reference>
          </references>
        </pivotArea>
        <pivotArea type="data" collapsedLevelsAreSubtotals="1" fieldPosition="0">
          <references count="2">
            <reference field="4294967294" count="1" selected="0">
              <x v="2"/>
            </reference>
            <reference field="38" count="1">
              <x v="46"/>
            </reference>
          </references>
        </pivotArea>
        <pivotArea type="data" collapsedLevelsAreSubtotals="1" fieldPosition="0">
          <references count="2">
            <reference field="4294967294" count="1" selected="0">
              <x v="2"/>
            </reference>
            <reference field="38" count="1">
              <x v="72"/>
            </reference>
          </references>
        </pivotArea>
        <pivotArea type="data" collapsedLevelsAreSubtotals="1" fieldPosition="0">
          <references count="2">
            <reference field="4294967294" count="1" selected="0">
              <x v="2"/>
            </reference>
            <reference field="38" count="1">
              <x v="4"/>
            </reference>
          </references>
        </pivotArea>
        <pivotArea type="data" collapsedLevelsAreSubtotals="1" fieldPosition="0">
          <references count="2">
            <reference field="4294967294" count="1" selected="0">
              <x v="2"/>
            </reference>
            <reference field="38" count="1">
              <x v="53"/>
            </reference>
          </references>
        </pivotArea>
        <pivotArea type="data" collapsedLevelsAreSubtotals="1" fieldPosition="0">
          <references count="2">
            <reference field="4294967294" count="1" selected="0">
              <x v="2"/>
            </reference>
            <reference field="38" count="1">
              <x v="55"/>
            </reference>
          </references>
        </pivotArea>
        <pivotArea type="data" collapsedLevelsAreSubtotals="1" fieldPosition="0">
          <references count="2">
            <reference field="4294967294" count="1" selected="0">
              <x v="2"/>
            </reference>
            <reference field="38" count="1">
              <x v="20"/>
            </reference>
          </references>
        </pivotArea>
        <pivotArea type="data" collapsedLevelsAreSubtotals="1" fieldPosition="0">
          <references count="2">
            <reference field="4294967294" count="1" selected="0">
              <x v="2"/>
            </reference>
            <reference field="38" count="1">
              <x v="88"/>
            </reference>
          </references>
        </pivotArea>
        <pivotArea type="data" collapsedLevelsAreSubtotals="1" fieldPosition="0">
          <references count="2">
            <reference field="4294967294" count="1" selected="0">
              <x v="2"/>
            </reference>
            <reference field="38" count="1">
              <x v="78"/>
            </reference>
          </references>
        </pivotArea>
        <pivotArea type="data" collapsedLevelsAreSubtotals="1" fieldPosition="0">
          <references count="2">
            <reference field="4294967294" count="1" selected="0">
              <x v="2"/>
            </reference>
            <reference field="38" count="1">
              <x v="50"/>
            </reference>
          </references>
        </pivotArea>
        <pivotArea type="data" collapsedLevelsAreSubtotals="1" fieldPosition="0">
          <references count="2">
            <reference field="4294967294" count="1" selected="0">
              <x v="2"/>
            </reference>
            <reference field="38" count="1">
              <x v="87"/>
            </reference>
          </references>
        </pivotArea>
        <pivotArea type="data" collapsedLevelsAreSubtotals="1" fieldPosition="0">
          <references count="2">
            <reference field="4294967294" count="1" selected="0">
              <x v="2"/>
            </reference>
            <reference field="38" count="1">
              <x v="34"/>
            </reference>
          </references>
        </pivotArea>
        <pivotArea type="data" collapsedLevelsAreSubtotals="1" fieldPosition="0">
          <references count="2">
            <reference field="4294967294" count="1" selected="0">
              <x v="2"/>
            </reference>
            <reference field="38" count="1">
              <x v="95"/>
            </reference>
          </references>
        </pivotArea>
        <pivotArea type="data" collapsedLevelsAreSubtotals="1" fieldPosition="0">
          <references count="3">
            <reference field="4294967294" count="1" selected="0">
              <x v="2"/>
            </reference>
            <reference field="0" count="4">
              <x v="1"/>
              <x v="2"/>
              <x v="3"/>
              <x v="4"/>
            </reference>
            <reference field="38" count="1" selected="0">
              <x v="95"/>
            </reference>
          </references>
        </pivotArea>
        <pivotArea type="data" collapsedLevelsAreSubtotals="1" fieldPosition="0">
          <references count="2">
            <reference field="4294967294" count="1" selected="0">
              <x v="2"/>
            </reference>
            <reference field="38" count="1">
              <x v="105"/>
            </reference>
          </references>
        </pivotArea>
        <pivotArea type="data" collapsedLevelsAreSubtotals="1" fieldPosition="0">
          <references count="2">
            <reference field="4294967294" count="1" selected="0">
              <x v="2"/>
            </reference>
            <reference field="38" count="1">
              <x v="30"/>
            </reference>
          </references>
        </pivotArea>
        <pivotArea type="data" collapsedLevelsAreSubtotals="1" fieldPosition="0">
          <references count="2">
            <reference field="4294967294" count="1" selected="0">
              <x v="2"/>
            </reference>
            <reference field="38" count="1">
              <x v="94"/>
            </reference>
          </references>
        </pivotArea>
        <pivotArea type="data" collapsedLevelsAreSubtotals="1" fieldPosition="0">
          <references count="2">
            <reference field="4294967294" count="1" selected="0">
              <x v="2"/>
            </reference>
            <reference field="38" count="1">
              <x v="37"/>
            </reference>
          </references>
        </pivotArea>
        <pivotArea type="data" collapsedLevelsAreSubtotals="1" fieldPosition="0">
          <references count="2">
            <reference field="4294967294" count="1" selected="0">
              <x v="2"/>
            </reference>
            <reference field="38" count="1">
              <x v="92"/>
            </reference>
          </references>
        </pivotArea>
      </pivotAreas>
    </conditionalFormat>
    <conditionalFormat priority="1">
      <pivotAreas count="108">
        <pivotArea type="data" collapsedLevelsAreSubtotals="1" fieldPosition="0">
          <references count="2">
            <reference field="4294967294" count="1" selected="0">
              <x v="0"/>
            </reference>
            <reference field="38" count="1">
              <x v="60"/>
            </reference>
          </references>
        </pivotArea>
        <pivotArea type="data" collapsedLevelsAreSubtotals="1" fieldPosition="0">
          <references count="2">
            <reference field="4294967294" count="1" selected="0">
              <x v="0"/>
            </reference>
            <reference field="38" count="1">
              <x v="56"/>
            </reference>
          </references>
        </pivotArea>
        <pivotArea type="data" collapsedLevelsAreSubtotals="1" fieldPosition="0">
          <references count="2">
            <reference field="4294967294" count="1" selected="0">
              <x v="0"/>
            </reference>
            <reference field="38" count="1">
              <x v="25"/>
            </reference>
          </references>
        </pivotArea>
        <pivotArea type="data" collapsedLevelsAreSubtotals="1" fieldPosition="0">
          <references count="2">
            <reference field="4294967294" count="1" selected="0">
              <x v="0"/>
            </reference>
            <reference field="38" count="1">
              <x v="28"/>
            </reference>
          </references>
        </pivotArea>
        <pivotArea type="data" collapsedLevelsAreSubtotals="1" fieldPosition="0">
          <references count="2">
            <reference field="4294967294" count="1" selected="0">
              <x v="0"/>
            </reference>
            <reference field="38" count="1">
              <x v="86"/>
            </reference>
          </references>
        </pivotArea>
        <pivotArea type="data" collapsedLevelsAreSubtotals="1" fieldPosition="0">
          <references count="2">
            <reference field="4294967294" count="1" selected="0">
              <x v="0"/>
            </reference>
            <reference field="38" count="1">
              <x v="102"/>
            </reference>
          </references>
        </pivotArea>
        <pivotArea type="data" collapsedLevelsAreSubtotals="1" fieldPosition="0">
          <references count="2">
            <reference field="4294967294" count="1" selected="0">
              <x v="0"/>
            </reference>
            <reference field="38" count="1">
              <x v="40"/>
            </reference>
          </references>
        </pivotArea>
        <pivotArea type="data" collapsedLevelsAreSubtotals="1" fieldPosition="0">
          <references count="2">
            <reference field="4294967294" count="1" selected="0">
              <x v="0"/>
            </reference>
            <reference field="38" count="1">
              <x v="51"/>
            </reference>
          </references>
        </pivotArea>
        <pivotArea type="data" collapsedLevelsAreSubtotals="1" fieldPosition="0">
          <references count="2">
            <reference field="4294967294" count="1" selected="0">
              <x v="0"/>
            </reference>
            <reference field="38" count="1">
              <x v="75"/>
            </reference>
          </references>
        </pivotArea>
        <pivotArea type="data" collapsedLevelsAreSubtotals="1" fieldPosition="0">
          <references count="2">
            <reference field="4294967294" count="1" selected="0">
              <x v="0"/>
            </reference>
            <reference field="38" count="1">
              <x v="54"/>
            </reference>
          </references>
        </pivotArea>
        <pivotArea type="data" collapsedLevelsAreSubtotals="1" fieldPosition="0">
          <references count="2">
            <reference field="4294967294" count="1" selected="0">
              <x v="0"/>
            </reference>
            <reference field="38" count="1">
              <x v="24"/>
            </reference>
          </references>
        </pivotArea>
        <pivotArea type="data" collapsedLevelsAreSubtotals="1" fieldPosition="0">
          <references count="2">
            <reference field="4294967294" count="1" selected="0">
              <x v="0"/>
            </reference>
            <reference field="38" count="1">
              <x v="77"/>
            </reference>
          </references>
        </pivotArea>
        <pivotArea type="data" collapsedLevelsAreSubtotals="1" fieldPosition="0">
          <references count="2">
            <reference field="4294967294" count="1" selected="0">
              <x v="0"/>
            </reference>
            <reference field="38" count="1">
              <x v="104"/>
            </reference>
          </references>
        </pivotArea>
        <pivotArea type="data" collapsedLevelsAreSubtotals="1" fieldPosition="0">
          <references count="2">
            <reference field="4294967294" count="1" selected="0">
              <x v="0"/>
            </reference>
            <reference field="38" count="1">
              <x v="52"/>
            </reference>
          </references>
        </pivotArea>
        <pivotArea type="data" collapsedLevelsAreSubtotals="1" fieldPosition="0">
          <references count="2">
            <reference field="4294967294" count="1" selected="0">
              <x v="0"/>
            </reference>
            <reference field="38" count="1">
              <x v="33"/>
            </reference>
          </references>
        </pivotArea>
        <pivotArea type="data" collapsedLevelsAreSubtotals="1" fieldPosition="0">
          <references count="2">
            <reference field="4294967294" count="1" selected="0">
              <x v="0"/>
            </reference>
            <reference field="38" count="1">
              <x v="27"/>
            </reference>
          </references>
        </pivotArea>
        <pivotArea type="data" collapsedLevelsAreSubtotals="1" fieldPosition="0">
          <references count="2">
            <reference field="4294967294" count="1" selected="0">
              <x v="0"/>
            </reference>
            <reference field="38" count="1">
              <x v="59"/>
            </reference>
          </references>
        </pivotArea>
        <pivotArea type="data" collapsedLevelsAreSubtotals="1" fieldPosition="0">
          <references count="2">
            <reference field="4294967294" count="1" selected="0">
              <x v="0"/>
            </reference>
            <reference field="38" count="1">
              <x v="11"/>
            </reference>
          </references>
        </pivotArea>
        <pivotArea type="data" collapsedLevelsAreSubtotals="1" fieldPosition="0">
          <references count="2">
            <reference field="4294967294" count="1" selected="0">
              <x v="0"/>
            </reference>
            <reference field="38" count="1">
              <x v="73"/>
            </reference>
          </references>
        </pivotArea>
        <pivotArea type="data" collapsedLevelsAreSubtotals="1" fieldPosition="0">
          <references count="2">
            <reference field="4294967294" count="1" selected="0">
              <x v="0"/>
            </reference>
            <reference field="38" count="1">
              <x v="74"/>
            </reference>
          </references>
        </pivotArea>
        <pivotArea type="data" collapsedLevelsAreSubtotals="1" fieldPosition="0">
          <references count="2">
            <reference field="4294967294" count="1" selected="0">
              <x v="0"/>
            </reference>
            <reference field="38" count="1">
              <x v="5"/>
            </reference>
          </references>
        </pivotArea>
        <pivotArea type="data" collapsedLevelsAreSubtotals="1" fieldPosition="0">
          <references count="2">
            <reference field="4294967294" count="1" selected="0">
              <x v="0"/>
            </reference>
            <reference field="38" count="1">
              <x v="61"/>
            </reference>
          </references>
        </pivotArea>
        <pivotArea type="data" collapsedLevelsAreSubtotals="1" fieldPosition="0">
          <references count="2">
            <reference field="4294967294" count="1" selected="0">
              <x v="0"/>
            </reference>
            <reference field="38" count="1">
              <x v="17"/>
            </reference>
          </references>
        </pivotArea>
        <pivotArea type="data" collapsedLevelsAreSubtotals="1" fieldPosition="0">
          <references count="2">
            <reference field="4294967294" count="1" selected="0">
              <x v="0"/>
            </reference>
            <reference field="38" count="1">
              <x v="62"/>
            </reference>
          </references>
        </pivotArea>
        <pivotArea type="data" collapsedLevelsAreSubtotals="1" fieldPosition="0">
          <references count="2">
            <reference field="4294967294" count="1" selected="0">
              <x v="0"/>
            </reference>
            <reference field="38" count="1">
              <x v="43"/>
            </reference>
          </references>
        </pivotArea>
        <pivotArea type="data" collapsedLevelsAreSubtotals="1" fieldPosition="0">
          <references count="2">
            <reference field="4294967294" count="1" selected="0">
              <x v="0"/>
            </reference>
            <reference field="38" count="1">
              <x v="13"/>
            </reference>
          </references>
        </pivotArea>
        <pivotArea type="data" collapsedLevelsAreSubtotals="1" fieldPosition="0">
          <references count="2">
            <reference field="4294967294" count="1" selected="0">
              <x v="0"/>
            </reference>
            <reference field="38" count="1">
              <x v="68"/>
            </reference>
          </references>
        </pivotArea>
        <pivotArea type="data" collapsedLevelsAreSubtotals="1" fieldPosition="0">
          <references count="2">
            <reference field="4294967294" count="1" selected="0">
              <x v="0"/>
            </reference>
            <reference field="38" count="1">
              <x v="2"/>
            </reference>
          </references>
        </pivotArea>
        <pivotArea type="data" collapsedLevelsAreSubtotals="1" fieldPosition="0">
          <references count="2">
            <reference field="4294967294" count="1" selected="0">
              <x v="0"/>
            </reference>
            <reference field="38" count="1">
              <x v="57"/>
            </reference>
          </references>
        </pivotArea>
        <pivotArea type="data" collapsedLevelsAreSubtotals="1" fieldPosition="0">
          <references count="2">
            <reference field="4294967294" count="1" selected="0">
              <x v="0"/>
            </reference>
            <reference field="38" count="1">
              <x v="19"/>
            </reference>
          </references>
        </pivotArea>
        <pivotArea type="data" collapsedLevelsAreSubtotals="1" fieldPosition="0">
          <references count="2">
            <reference field="4294967294" count="1" selected="0">
              <x v="0"/>
            </reference>
            <reference field="38" count="1">
              <x v="71"/>
            </reference>
          </references>
        </pivotArea>
        <pivotArea type="data" collapsedLevelsAreSubtotals="1" fieldPosition="0">
          <references count="2">
            <reference field="4294967294" count="1" selected="0">
              <x v="0"/>
            </reference>
            <reference field="38" count="1">
              <x v="32"/>
            </reference>
          </references>
        </pivotArea>
        <pivotArea type="data" collapsedLevelsAreSubtotals="1" fieldPosition="0">
          <references count="2">
            <reference field="4294967294" count="1" selected="0">
              <x v="0"/>
            </reference>
            <reference field="38" count="1">
              <x v="6"/>
            </reference>
          </references>
        </pivotArea>
        <pivotArea type="data" collapsedLevelsAreSubtotals="1" fieldPosition="0">
          <references count="2">
            <reference field="4294967294" count="1" selected="0">
              <x v="0"/>
            </reference>
            <reference field="38" count="1">
              <x v="38"/>
            </reference>
          </references>
        </pivotArea>
        <pivotArea type="data" collapsedLevelsAreSubtotals="1" fieldPosition="0">
          <references count="2">
            <reference field="4294967294" count="1" selected="0">
              <x v="0"/>
            </reference>
            <reference field="38" count="1">
              <x v="35"/>
            </reference>
          </references>
        </pivotArea>
        <pivotArea type="data" collapsedLevelsAreSubtotals="1" fieldPosition="0">
          <references count="2">
            <reference field="4294967294" count="1" selected="0">
              <x v="0"/>
            </reference>
            <reference field="38" count="1">
              <x v="9"/>
            </reference>
          </references>
        </pivotArea>
        <pivotArea type="data" collapsedLevelsAreSubtotals="1" fieldPosition="0">
          <references count="2">
            <reference field="4294967294" count="1" selected="0">
              <x v="0"/>
            </reference>
            <reference field="38" count="1">
              <x v="0"/>
            </reference>
          </references>
        </pivotArea>
        <pivotArea type="data" collapsedLevelsAreSubtotals="1" fieldPosition="0">
          <references count="2">
            <reference field="4294967294" count="1" selected="0">
              <x v="0"/>
            </reference>
            <reference field="38" count="1">
              <x v="12"/>
            </reference>
          </references>
        </pivotArea>
        <pivotArea type="data" collapsedLevelsAreSubtotals="1" fieldPosition="0">
          <references count="2">
            <reference field="4294967294" count="1" selected="0">
              <x v="0"/>
            </reference>
            <reference field="38" count="1">
              <x v="14"/>
            </reference>
          </references>
        </pivotArea>
        <pivotArea type="data" collapsedLevelsAreSubtotals="1" fieldPosition="0">
          <references count="2">
            <reference field="4294967294" count="1" selected="0">
              <x v="0"/>
            </reference>
            <reference field="38" count="1">
              <x v="15"/>
            </reference>
          </references>
        </pivotArea>
        <pivotArea type="data" collapsedLevelsAreSubtotals="1" fieldPosition="0">
          <references count="2">
            <reference field="4294967294" count="1" selected="0">
              <x v="0"/>
            </reference>
            <reference field="38" count="1">
              <x v="1"/>
            </reference>
          </references>
        </pivotArea>
        <pivotArea type="data" collapsedLevelsAreSubtotals="1" fieldPosition="0">
          <references count="2">
            <reference field="4294967294" count="1" selected="0">
              <x v="0"/>
            </reference>
            <reference field="38" count="1">
              <x v="8"/>
            </reference>
          </references>
        </pivotArea>
        <pivotArea type="data" collapsedLevelsAreSubtotals="1" fieldPosition="0">
          <references count="2">
            <reference field="4294967294" count="1" selected="0">
              <x v="0"/>
            </reference>
            <reference field="38" count="1">
              <x v="91"/>
            </reference>
          </references>
        </pivotArea>
        <pivotArea type="data" collapsedLevelsAreSubtotals="1" fieldPosition="0">
          <references count="2">
            <reference field="4294967294" count="1" selected="0">
              <x v="0"/>
            </reference>
            <reference field="38" count="1">
              <x v="44"/>
            </reference>
          </references>
        </pivotArea>
        <pivotArea type="data" collapsedLevelsAreSubtotals="1" fieldPosition="0">
          <references count="2">
            <reference field="4294967294" count="1" selected="0">
              <x v="0"/>
            </reference>
            <reference field="38" count="1">
              <x v="7"/>
            </reference>
          </references>
        </pivotArea>
        <pivotArea type="data" collapsedLevelsAreSubtotals="1" fieldPosition="0">
          <references count="2">
            <reference field="4294967294" count="1" selected="0">
              <x v="0"/>
            </reference>
            <reference field="38" count="1">
              <x v="49"/>
            </reference>
          </references>
        </pivotArea>
        <pivotArea type="data" collapsedLevelsAreSubtotals="1" fieldPosition="0">
          <references count="2">
            <reference field="4294967294" count="1" selected="0">
              <x v="0"/>
            </reference>
            <reference field="38" count="1">
              <x v="89"/>
            </reference>
          </references>
        </pivotArea>
        <pivotArea type="data" collapsedLevelsAreSubtotals="1" fieldPosition="0">
          <references count="2">
            <reference field="4294967294" count="1" selected="0">
              <x v="0"/>
            </reference>
            <reference field="38" count="1">
              <x v="3"/>
            </reference>
          </references>
        </pivotArea>
        <pivotArea type="data" collapsedLevelsAreSubtotals="1" fieldPosition="0">
          <references count="2">
            <reference field="4294967294" count="1" selected="0">
              <x v="0"/>
            </reference>
            <reference field="38" count="1">
              <x v="41"/>
            </reference>
          </references>
        </pivotArea>
        <pivotArea type="data" collapsedLevelsAreSubtotals="1" fieldPosition="0">
          <references count="2">
            <reference field="4294967294" count="1" selected="0">
              <x v="0"/>
            </reference>
            <reference field="38" count="1">
              <x v="69"/>
            </reference>
          </references>
        </pivotArea>
        <pivotArea type="data" collapsedLevelsAreSubtotals="1" fieldPosition="0">
          <references count="2">
            <reference field="4294967294" count="1" selected="0">
              <x v="0"/>
            </reference>
            <reference field="38" count="1">
              <x v="42"/>
            </reference>
          </references>
        </pivotArea>
        <pivotArea type="data" collapsedLevelsAreSubtotals="1" fieldPosition="0">
          <references count="2">
            <reference field="4294967294" count="1" selected="0">
              <x v="0"/>
            </reference>
            <reference field="38" count="1">
              <x v="83"/>
            </reference>
          </references>
        </pivotArea>
        <pivotArea type="data" collapsedLevelsAreSubtotals="1" fieldPosition="0">
          <references count="2">
            <reference field="4294967294" count="1" selected="0">
              <x v="0"/>
            </reference>
            <reference field="38" count="1">
              <x v="70"/>
            </reference>
          </references>
        </pivotArea>
        <pivotArea type="data" collapsedLevelsAreSubtotals="1" fieldPosition="0">
          <references count="2">
            <reference field="4294967294" count="1" selected="0">
              <x v="0"/>
            </reference>
            <reference field="38" count="1">
              <x v="84"/>
            </reference>
          </references>
        </pivotArea>
        <pivotArea type="data" collapsedLevelsAreSubtotals="1" fieldPosition="0">
          <references count="2">
            <reference field="4294967294" count="1" selected="0">
              <x v="0"/>
            </reference>
            <reference field="38" count="1">
              <x v="100"/>
            </reference>
          </references>
        </pivotArea>
        <pivotArea type="data" collapsedLevelsAreSubtotals="1" fieldPosition="0">
          <references count="2">
            <reference field="4294967294" count="1" selected="0">
              <x v="0"/>
            </reference>
            <reference field="38" count="1">
              <x v="85"/>
            </reference>
          </references>
        </pivotArea>
        <pivotArea type="data" collapsedLevelsAreSubtotals="1" fieldPosition="0">
          <references count="2">
            <reference field="4294967294" count="1" selected="0">
              <x v="0"/>
            </reference>
            <reference field="38" count="1">
              <x v="80"/>
            </reference>
          </references>
        </pivotArea>
        <pivotArea type="data" collapsedLevelsAreSubtotals="1" fieldPosition="0">
          <references count="2">
            <reference field="4294967294" count="1" selected="0">
              <x v="0"/>
            </reference>
            <reference field="38" count="1">
              <x v="36"/>
            </reference>
          </references>
        </pivotArea>
        <pivotArea type="data" collapsedLevelsAreSubtotals="1" fieldPosition="0">
          <references count="2">
            <reference field="4294967294" count="1" selected="0">
              <x v="0"/>
            </reference>
            <reference field="38" count="1">
              <x v="96"/>
            </reference>
          </references>
        </pivotArea>
        <pivotArea type="data" collapsedLevelsAreSubtotals="1" fieldPosition="0">
          <references count="2">
            <reference field="4294967294" count="1" selected="0">
              <x v="0"/>
            </reference>
            <reference field="38" count="1">
              <x v="26"/>
            </reference>
          </references>
        </pivotArea>
        <pivotArea type="data" collapsedLevelsAreSubtotals="1" fieldPosition="0">
          <references count="2">
            <reference field="4294967294" count="1" selected="0">
              <x v="0"/>
            </reference>
            <reference field="38" count="1">
              <x v="47"/>
            </reference>
          </references>
        </pivotArea>
        <pivotArea type="data" collapsedLevelsAreSubtotals="1" fieldPosition="0">
          <references count="2">
            <reference field="4294967294" count="1" selected="0">
              <x v="0"/>
            </reference>
            <reference field="38" count="1">
              <x v="63"/>
            </reference>
          </references>
        </pivotArea>
        <pivotArea type="data" collapsedLevelsAreSubtotals="1" fieldPosition="0">
          <references count="2">
            <reference field="4294967294" count="1" selected="0">
              <x v="0"/>
            </reference>
            <reference field="38" count="1">
              <x v="82"/>
            </reference>
          </references>
        </pivotArea>
        <pivotArea type="data" collapsedLevelsAreSubtotals="1" fieldPosition="0">
          <references count="2">
            <reference field="4294967294" count="1" selected="0">
              <x v="0"/>
            </reference>
            <reference field="38" count="1">
              <x v="64"/>
            </reference>
          </references>
        </pivotArea>
        <pivotArea type="data" collapsedLevelsAreSubtotals="1" fieldPosition="0">
          <references count="2">
            <reference field="4294967294" count="1" selected="0">
              <x v="0"/>
            </reference>
            <reference field="38" count="1">
              <x v="22"/>
            </reference>
          </references>
        </pivotArea>
        <pivotArea type="data" collapsedLevelsAreSubtotals="1" fieldPosition="0">
          <references count="2">
            <reference field="4294967294" count="1" selected="0">
              <x v="0"/>
            </reference>
            <reference field="38" count="1">
              <x v="65"/>
            </reference>
          </references>
        </pivotArea>
        <pivotArea type="data" collapsedLevelsAreSubtotals="1" fieldPosition="0">
          <references count="2">
            <reference field="4294967294" count="1" selected="0">
              <x v="0"/>
            </reference>
            <reference field="38" count="1">
              <x v="98"/>
            </reference>
          </references>
        </pivotArea>
        <pivotArea type="data" collapsedLevelsAreSubtotals="1" fieldPosition="0">
          <references count="2">
            <reference field="4294967294" count="1" selected="0">
              <x v="0"/>
            </reference>
            <reference field="38" count="1">
              <x v="66"/>
            </reference>
          </references>
        </pivotArea>
        <pivotArea type="data" collapsedLevelsAreSubtotals="1" fieldPosition="0">
          <references count="2">
            <reference field="4294967294" count="1" selected="0">
              <x v="0"/>
            </reference>
            <reference field="38" count="1">
              <x v="23"/>
            </reference>
          </references>
        </pivotArea>
        <pivotArea type="data" collapsedLevelsAreSubtotals="1" fieldPosition="0">
          <references count="2">
            <reference field="4294967294" count="1" selected="0">
              <x v="0"/>
            </reference>
            <reference field="38" count="1">
              <x v="67"/>
            </reference>
          </references>
        </pivotArea>
        <pivotArea type="data" collapsedLevelsAreSubtotals="1" fieldPosition="0">
          <references count="2">
            <reference field="4294967294" count="1" selected="0">
              <x v="0"/>
            </reference>
            <reference field="38" count="1">
              <x v="79"/>
            </reference>
          </references>
        </pivotArea>
        <pivotArea type="data" collapsedLevelsAreSubtotals="1" fieldPosition="0">
          <references count="2">
            <reference field="4294967294" count="1" selected="0">
              <x v="0"/>
            </reference>
            <reference field="38" count="1">
              <x v="39"/>
            </reference>
          </references>
        </pivotArea>
        <pivotArea type="data" collapsedLevelsAreSubtotals="1" fieldPosition="0">
          <references count="2">
            <reference field="4294967294" count="1" selected="0">
              <x v="0"/>
            </reference>
            <reference field="38" count="1">
              <x v="81"/>
            </reference>
          </references>
        </pivotArea>
        <pivotArea type="data" collapsedLevelsAreSubtotals="1" fieldPosition="0">
          <references count="2">
            <reference field="4294967294" count="1" selected="0">
              <x v="0"/>
            </reference>
            <reference field="38" count="1">
              <x v="31"/>
            </reference>
          </references>
        </pivotArea>
        <pivotArea type="data" collapsedLevelsAreSubtotals="1" fieldPosition="0">
          <references count="2">
            <reference field="4294967294" count="1" selected="0">
              <x v="0"/>
            </reference>
            <reference field="38" count="1">
              <x v="16"/>
            </reference>
          </references>
        </pivotArea>
        <pivotArea type="data" collapsedLevelsAreSubtotals="1" fieldPosition="0">
          <references count="2">
            <reference field="4294967294" count="1" selected="0">
              <x v="0"/>
            </reference>
            <reference field="38" count="1">
              <x v="58"/>
            </reference>
          </references>
        </pivotArea>
        <pivotArea type="data" collapsedLevelsAreSubtotals="1" fieldPosition="0">
          <references count="2">
            <reference field="4294967294" count="1" selected="0">
              <x v="0"/>
            </reference>
            <reference field="38" count="1">
              <x v="45"/>
            </reference>
          </references>
        </pivotArea>
        <pivotArea type="data" collapsedLevelsAreSubtotals="1" fieldPosition="0">
          <references count="2">
            <reference field="4294967294" count="1" selected="0">
              <x v="0"/>
            </reference>
            <reference field="38" count="1">
              <x v="18"/>
            </reference>
          </references>
        </pivotArea>
        <pivotArea type="data" collapsedLevelsAreSubtotals="1" fieldPosition="0">
          <references count="2">
            <reference field="4294967294" count="1" selected="0">
              <x v="0"/>
            </reference>
            <reference field="38" count="1">
              <x v="106"/>
            </reference>
          </references>
        </pivotArea>
        <pivotArea type="data" collapsedLevelsAreSubtotals="1" fieldPosition="0">
          <references count="2">
            <reference field="4294967294" count="1" selected="0">
              <x v="0"/>
            </reference>
            <reference field="38" count="1">
              <x v="90"/>
            </reference>
          </references>
        </pivotArea>
        <pivotArea type="data" collapsedLevelsAreSubtotals="1" fieldPosition="0">
          <references count="2">
            <reference field="4294967294" count="1" selected="0">
              <x v="0"/>
            </reference>
            <reference field="38" count="1">
              <x v="48"/>
            </reference>
          </references>
        </pivotArea>
        <pivotArea type="data" collapsedLevelsAreSubtotals="1" fieldPosition="0">
          <references count="2">
            <reference field="4294967294" count="1" selected="0">
              <x v="0"/>
            </reference>
            <reference field="38" count="1">
              <x v="93"/>
            </reference>
          </references>
        </pivotArea>
        <pivotArea type="data" collapsedLevelsAreSubtotals="1" fieldPosition="0">
          <references count="2">
            <reference field="4294967294" count="1" selected="0">
              <x v="0"/>
            </reference>
            <reference field="38" count="1">
              <x v="103"/>
            </reference>
          </references>
        </pivotArea>
        <pivotArea type="data" collapsedLevelsAreSubtotals="1" fieldPosition="0">
          <references count="2">
            <reference field="4294967294" count="1" selected="0">
              <x v="0"/>
            </reference>
            <reference field="38" count="1">
              <x v="97"/>
            </reference>
          </references>
        </pivotArea>
        <pivotArea type="data" collapsedLevelsAreSubtotals="1" fieldPosition="0">
          <references count="2">
            <reference field="4294967294" count="1" selected="0">
              <x v="0"/>
            </reference>
            <reference field="38" count="1">
              <x v="10"/>
            </reference>
          </references>
        </pivotArea>
        <pivotArea type="data" collapsedLevelsAreSubtotals="1" fieldPosition="0">
          <references count="2">
            <reference field="4294967294" count="1" selected="0">
              <x v="0"/>
            </reference>
            <reference field="38" count="1">
              <x v="99"/>
            </reference>
          </references>
        </pivotArea>
        <pivotArea type="data" collapsedLevelsAreSubtotals="1" fieldPosition="0">
          <references count="2">
            <reference field="4294967294" count="1" selected="0">
              <x v="0"/>
            </reference>
            <reference field="38" count="1">
              <x v="29"/>
            </reference>
          </references>
        </pivotArea>
        <pivotArea type="data" collapsedLevelsAreSubtotals="1" fieldPosition="0">
          <references count="2">
            <reference field="4294967294" count="1" selected="0">
              <x v="0"/>
            </reference>
            <reference field="38" count="1">
              <x v="101"/>
            </reference>
          </references>
        </pivotArea>
        <pivotArea type="data" collapsedLevelsAreSubtotals="1" fieldPosition="0">
          <references count="2">
            <reference field="4294967294" count="1" selected="0">
              <x v="0"/>
            </reference>
            <reference field="38" count="1">
              <x v="21"/>
            </reference>
          </references>
        </pivotArea>
        <pivotArea type="data" collapsedLevelsAreSubtotals="1" fieldPosition="0">
          <references count="2">
            <reference field="4294967294" count="1" selected="0">
              <x v="0"/>
            </reference>
            <reference field="38" count="1">
              <x v="76"/>
            </reference>
          </references>
        </pivotArea>
        <pivotArea type="data" collapsedLevelsAreSubtotals="1" fieldPosition="0">
          <references count="2">
            <reference field="4294967294" count="1" selected="0">
              <x v="0"/>
            </reference>
            <reference field="38" count="1">
              <x v="46"/>
            </reference>
          </references>
        </pivotArea>
        <pivotArea type="data" collapsedLevelsAreSubtotals="1" fieldPosition="0">
          <references count="2">
            <reference field="4294967294" count="1" selected="0">
              <x v="0"/>
            </reference>
            <reference field="38" count="1">
              <x v="72"/>
            </reference>
          </references>
        </pivotArea>
        <pivotArea type="data" collapsedLevelsAreSubtotals="1" fieldPosition="0">
          <references count="2">
            <reference field="4294967294" count="1" selected="0">
              <x v="0"/>
            </reference>
            <reference field="38" count="1">
              <x v="4"/>
            </reference>
          </references>
        </pivotArea>
        <pivotArea type="data" collapsedLevelsAreSubtotals="1" fieldPosition="0">
          <references count="2">
            <reference field="4294967294" count="1" selected="0">
              <x v="0"/>
            </reference>
            <reference field="38" count="1">
              <x v="53"/>
            </reference>
          </references>
        </pivotArea>
        <pivotArea type="data" collapsedLevelsAreSubtotals="1" fieldPosition="0">
          <references count="2">
            <reference field="4294967294" count="1" selected="0">
              <x v="0"/>
            </reference>
            <reference field="38" count="1">
              <x v="55"/>
            </reference>
          </references>
        </pivotArea>
        <pivotArea type="data" collapsedLevelsAreSubtotals="1" fieldPosition="0">
          <references count="2">
            <reference field="4294967294" count="1" selected="0">
              <x v="0"/>
            </reference>
            <reference field="38" count="1">
              <x v="20"/>
            </reference>
          </references>
        </pivotArea>
        <pivotArea type="data" collapsedLevelsAreSubtotals="1" fieldPosition="0">
          <references count="2">
            <reference field="4294967294" count="1" selected="0">
              <x v="0"/>
            </reference>
            <reference field="38" count="1">
              <x v="88"/>
            </reference>
          </references>
        </pivotArea>
        <pivotArea type="data" collapsedLevelsAreSubtotals="1" fieldPosition="0">
          <references count="2">
            <reference field="4294967294" count="1" selected="0">
              <x v="0"/>
            </reference>
            <reference field="38" count="1">
              <x v="78"/>
            </reference>
          </references>
        </pivotArea>
        <pivotArea type="data" collapsedLevelsAreSubtotals="1" fieldPosition="0">
          <references count="2">
            <reference field="4294967294" count="1" selected="0">
              <x v="0"/>
            </reference>
            <reference field="38" count="1">
              <x v="50"/>
            </reference>
          </references>
        </pivotArea>
        <pivotArea type="data" collapsedLevelsAreSubtotals="1" fieldPosition="0">
          <references count="2">
            <reference field="4294967294" count="1" selected="0">
              <x v="0"/>
            </reference>
            <reference field="38" count="1">
              <x v="87"/>
            </reference>
          </references>
        </pivotArea>
        <pivotArea type="data" collapsedLevelsAreSubtotals="1" fieldPosition="0">
          <references count="2">
            <reference field="4294967294" count="1" selected="0">
              <x v="0"/>
            </reference>
            <reference field="38" count="1">
              <x v="34"/>
            </reference>
          </references>
        </pivotArea>
        <pivotArea type="data" collapsedLevelsAreSubtotals="1" fieldPosition="0">
          <references count="2">
            <reference field="4294967294" count="1" selected="0">
              <x v="0"/>
            </reference>
            <reference field="38" count="1">
              <x v="95"/>
            </reference>
          </references>
        </pivotArea>
        <pivotArea type="data" collapsedLevelsAreSubtotals="1" fieldPosition="0">
          <references count="3">
            <reference field="4294967294" count="1" selected="0">
              <x v="0"/>
            </reference>
            <reference field="0" count="4">
              <x v="1"/>
              <x v="2"/>
              <x v="3"/>
              <x v="4"/>
            </reference>
            <reference field="38" count="1" selected="0">
              <x v="95"/>
            </reference>
          </references>
        </pivotArea>
        <pivotArea type="data" collapsedLevelsAreSubtotals="1" fieldPosition="0">
          <references count="2">
            <reference field="4294967294" count="1" selected="0">
              <x v="0"/>
            </reference>
            <reference field="38" count="1">
              <x v="105"/>
            </reference>
          </references>
        </pivotArea>
        <pivotArea type="data" collapsedLevelsAreSubtotals="1" fieldPosition="0">
          <references count="2">
            <reference field="4294967294" count="1" selected="0">
              <x v="0"/>
            </reference>
            <reference field="38" count="1">
              <x v="30"/>
            </reference>
          </references>
        </pivotArea>
        <pivotArea type="data" collapsedLevelsAreSubtotals="1" fieldPosition="0">
          <references count="2">
            <reference field="4294967294" count="1" selected="0">
              <x v="0"/>
            </reference>
            <reference field="38" count="1">
              <x v="94"/>
            </reference>
          </references>
        </pivotArea>
        <pivotArea type="data" collapsedLevelsAreSubtotals="1" fieldPosition="0">
          <references count="2">
            <reference field="4294967294" count="1" selected="0">
              <x v="0"/>
            </reference>
            <reference field="38" count="1">
              <x v="37"/>
            </reference>
          </references>
        </pivotArea>
        <pivotArea type="data" collapsedLevelsAreSubtotals="1" fieldPosition="0">
          <references count="2">
            <reference field="4294967294" count="1" selected="0">
              <x v="0"/>
            </reference>
            <reference field="38" count="1">
              <x v="92"/>
            </reference>
          </references>
        </pivotArea>
      </pivotAreas>
    </conditionalFormat>
    <conditionalFormat priority="2">
      <pivotAreas count="108">
        <pivotArea type="data" collapsedLevelsAreSubtotals="1" fieldPosition="0">
          <references count="2">
            <reference field="4294967294" count="1" selected="0">
              <x v="1"/>
            </reference>
            <reference field="38" count="1">
              <x v="56"/>
            </reference>
          </references>
        </pivotArea>
        <pivotArea type="data" collapsedLevelsAreSubtotals="1" fieldPosition="0">
          <references count="2">
            <reference field="4294967294" count="1" selected="0">
              <x v="1"/>
            </reference>
            <reference field="38" count="1">
              <x v="60"/>
            </reference>
          </references>
        </pivotArea>
        <pivotArea type="data" collapsedLevelsAreSubtotals="1" fieldPosition="0">
          <references count="2">
            <reference field="4294967294" count="1" selected="0">
              <x v="1"/>
            </reference>
            <reference field="38" count="1">
              <x v="25"/>
            </reference>
          </references>
        </pivotArea>
        <pivotArea type="data" collapsedLevelsAreSubtotals="1" fieldPosition="0">
          <references count="2">
            <reference field="4294967294" count="1" selected="0">
              <x v="1"/>
            </reference>
            <reference field="38" count="1">
              <x v="28"/>
            </reference>
          </references>
        </pivotArea>
        <pivotArea type="data" collapsedLevelsAreSubtotals="1" fieldPosition="0">
          <references count="2">
            <reference field="4294967294" count="1" selected="0">
              <x v="1"/>
            </reference>
            <reference field="38" count="1">
              <x v="86"/>
            </reference>
          </references>
        </pivotArea>
        <pivotArea type="data" collapsedLevelsAreSubtotals="1" fieldPosition="0">
          <references count="2">
            <reference field="4294967294" count="1" selected="0">
              <x v="1"/>
            </reference>
            <reference field="38" count="1">
              <x v="102"/>
            </reference>
          </references>
        </pivotArea>
        <pivotArea type="data" collapsedLevelsAreSubtotals="1" fieldPosition="0">
          <references count="2">
            <reference field="4294967294" count="1" selected="0">
              <x v="1"/>
            </reference>
            <reference field="38" count="1">
              <x v="40"/>
            </reference>
          </references>
        </pivotArea>
        <pivotArea type="data" collapsedLevelsAreSubtotals="1" fieldPosition="0">
          <references count="2">
            <reference field="4294967294" count="1" selected="0">
              <x v="1"/>
            </reference>
            <reference field="38" count="1">
              <x v="51"/>
            </reference>
          </references>
        </pivotArea>
        <pivotArea type="data" collapsedLevelsAreSubtotals="1" fieldPosition="0">
          <references count="2">
            <reference field="4294967294" count="1" selected="0">
              <x v="1"/>
            </reference>
            <reference field="38" count="1">
              <x v="75"/>
            </reference>
          </references>
        </pivotArea>
        <pivotArea type="data" collapsedLevelsAreSubtotals="1" fieldPosition="0">
          <references count="2">
            <reference field="4294967294" count="1" selected="0">
              <x v="1"/>
            </reference>
            <reference field="38" count="1">
              <x v="54"/>
            </reference>
          </references>
        </pivotArea>
        <pivotArea type="data" collapsedLevelsAreSubtotals="1" fieldPosition="0">
          <references count="2">
            <reference field="4294967294" count="1" selected="0">
              <x v="1"/>
            </reference>
            <reference field="38" count="1">
              <x v="24"/>
            </reference>
          </references>
        </pivotArea>
        <pivotArea type="data" collapsedLevelsAreSubtotals="1" fieldPosition="0">
          <references count="2">
            <reference field="4294967294" count="1" selected="0">
              <x v="1"/>
            </reference>
            <reference field="38" count="1">
              <x v="77"/>
            </reference>
          </references>
        </pivotArea>
        <pivotArea type="data" collapsedLevelsAreSubtotals="1" fieldPosition="0">
          <references count="2">
            <reference field="4294967294" count="1" selected="0">
              <x v="1"/>
            </reference>
            <reference field="38" count="1">
              <x v="104"/>
            </reference>
          </references>
        </pivotArea>
        <pivotArea type="data" collapsedLevelsAreSubtotals="1" fieldPosition="0">
          <references count="2">
            <reference field="4294967294" count="1" selected="0">
              <x v="1"/>
            </reference>
            <reference field="38" count="1">
              <x v="52"/>
            </reference>
          </references>
        </pivotArea>
        <pivotArea type="data" collapsedLevelsAreSubtotals="1" fieldPosition="0">
          <references count="2">
            <reference field="4294967294" count="1" selected="0">
              <x v="1"/>
            </reference>
            <reference field="38" count="1">
              <x v="33"/>
            </reference>
          </references>
        </pivotArea>
        <pivotArea type="data" collapsedLevelsAreSubtotals="1" fieldPosition="0">
          <references count="2">
            <reference field="4294967294" count="1" selected="0">
              <x v="1"/>
            </reference>
            <reference field="38" count="1">
              <x v="27"/>
            </reference>
          </references>
        </pivotArea>
        <pivotArea type="data" collapsedLevelsAreSubtotals="1" fieldPosition="0">
          <references count="2">
            <reference field="4294967294" count="1" selected="0">
              <x v="1"/>
            </reference>
            <reference field="38" count="1">
              <x v="59"/>
            </reference>
          </references>
        </pivotArea>
        <pivotArea type="data" collapsedLevelsAreSubtotals="1" fieldPosition="0">
          <references count="2">
            <reference field="4294967294" count="1" selected="0">
              <x v="1"/>
            </reference>
            <reference field="38" count="1">
              <x v="11"/>
            </reference>
          </references>
        </pivotArea>
        <pivotArea type="data" collapsedLevelsAreSubtotals="1" fieldPosition="0">
          <references count="2">
            <reference field="4294967294" count="1" selected="0">
              <x v="1"/>
            </reference>
            <reference field="38" count="1">
              <x v="73"/>
            </reference>
          </references>
        </pivotArea>
        <pivotArea type="data" collapsedLevelsAreSubtotals="1" fieldPosition="0">
          <references count="2">
            <reference field="4294967294" count="1" selected="0">
              <x v="1"/>
            </reference>
            <reference field="38" count="1">
              <x v="74"/>
            </reference>
          </references>
        </pivotArea>
        <pivotArea type="data" collapsedLevelsAreSubtotals="1" fieldPosition="0">
          <references count="2">
            <reference field="4294967294" count="1" selected="0">
              <x v="1"/>
            </reference>
            <reference field="38" count="1">
              <x v="5"/>
            </reference>
          </references>
        </pivotArea>
        <pivotArea type="data" collapsedLevelsAreSubtotals="1" fieldPosition="0">
          <references count="2">
            <reference field="4294967294" count="1" selected="0">
              <x v="1"/>
            </reference>
            <reference field="38" count="1">
              <x v="61"/>
            </reference>
          </references>
        </pivotArea>
        <pivotArea type="data" collapsedLevelsAreSubtotals="1" fieldPosition="0">
          <references count="2">
            <reference field="4294967294" count="1" selected="0">
              <x v="1"/>
            </reference>
            <reference field="38" count="1">
              <x v="17"/>
            </reference>
          </references>
        </pivotArea>
        <pivotArea type="data" collapsedLevelsAreSubtotals="1" fieldPosition="0">
          <references count="2">
            <reference field="4294967294" count="1" selected="0">
              <x v="1"/>
            </reference>
            <reference field="38" count="1">
              <x v="62"/>
            </reference>
          </references>
        </pivotArea>
        <pivotArea type="data" collapsedLevelsAreSubtotals="1" fieldPosition="0">
          <references count="2">
            <reference field="4294967294" count="1" selected="0">
              <x v="1"/>
            </reference>
            <reference field="38" count="1">
              <x v="43"/>
            </reference>
          </references>
        </pivotArea>
        <pivotArea type="data" collapsedLevelsAreSubtotals="1" fieldPosition="0">
          <references count="2">
            <reference field="4294967294" count="1" selected="0">
              <x v="1"/>
            </reference>
            <reference field="38" count="1">
              <x v="13"/>
            </reference>
          </references>
        </pivotArea>
        <pivotArea type="data" collapsedLevelsAreSubtotals="1" fieldPosition="0">
          <references count="2">
            <reference field="4294967294" count="1" selected="0">
              <x v="1"/>
            </reference>
            <reference field="38" count="1">
              <x v="68"/>
            </reference>
          </references>
        </pivotArea>
        <pivotArea type="data" collapsedLevelsAreSubtotals="1" fieldPosition="0">
          <references count="2">
            <reference field="4294967294" count="1" selected="0">
              <x v="1"/>
            </reference>
            <reference field="38" count="1">
              <x v="2"/>
            </reference>
          </references>
        </pivotArea>
        <pivotArea type="data" collapsedLevelsAreSubtotals="1" fieldPosition="0">
          <references count="2">
            <reference field="4294967294" count="1" selected="0">
              <x v="1"/>
            </reference>
            <reference field="38" count="1">
              <x v="57"/>
            </reference>
          </references>
        </pivotArea>
        <pivotArea type="data" collapsedLevelsAreSubtotals="1" fieldPosition="0">
          <references count="2">
            <reference field="4294967294" count="1" selected="0">
              <x v="1"/>
            </reference>
            <reference field="38" count="1">
              <x v="19"/>
            </reference>
          </references>
        </pivotArea>
        <pivotArea type="data" collapsedLevelsAreSubtotals="1" fieldPosition="0">
          <references count="2">
            <reference field="4294967294" count="1" selected="0">
              <x v="1"/>
            </reference>
            <reference field="38" count="1">
              <x v="71"/>
            </reference>
          </references>
        </pivotArea>
        <pivotArea type="data" collapsedLevelsAreSubtotals="1" fieldPosition="0">
          <references count="2">
            <reference field="4294967294" count="1" selected="0">
              <x v="1"/>
            </reference>
            <reference field="38" count="1">
              <x v="32"/>
            </reference>
          </references>
        </pivotArea>
        <pivotArea type="data" collapsedLevelsAreSubtotals="1" fieldPosition="0">
          <references count="2">
            <reference field="4294967294" count="1" selected="0">
              <x v="1"/>
            </reference>
            <reference field="38" count="1">
              <x v="6"/>
            </reference>
          </references>
        </pivotArea>
        <pivotArea type="data" collapsedLevelsAreSubtotals="1" fieldPosition="0">
          <references count="2">
            <reference field="4294967294" count="1" selected="0">
              <x v="1"/>
            </reference>
            <reference field="38" count="1">
              <x v="38"/>
            </reference>
          </references>
        </pivotArea>
        <pivotArea type="data" collapsedLevelsAreSubtotals="1" fieldPosition="0">
          <references count="2">
            <reference field="4294967294" count="1" selected="0">
              <x v="1"/>
            </reference>
            <reference field="38" count="1">
              <x v="35"/>
            </reference>
          </references>
        </pivotArea>
        <pivotArea type="data" collapsedLevelsAreSubtotals="1" fieldPosition="0">
          <references count="2">
            <reference field="4294967294" count="1" selected="0">
              <x v="1"/>
            </reference>
            <reference field="38" count="1">
              <x v="9"/>
            </reference>
          </references>
        </pivotArea>
        <pivotArea type="data" collapsedLevelsAreSubtotals="1" fieldPosition="0">
          <references count="2">
            <reference field="4294967294" count="1" selected="0">
              <x v="1"/>
            </reference>
            <reference field="38" count="1">
              <x v="0"/>
            </reference>
          </references>
        </pivotArea>
        <pivotArea type="data" collapsedLevelsAreSubtotals="1" fieldPosition="0">
          <references count="2">
            <reference field="4294967294" count="1" selected="0">
              <x v="1"/>
            </reference>
            <reference field="38" count="1">
              <x v="12"/>
            </reference>
          </references>
        </pivotArea>
        <pivotArea type="data" collapsedLevelsAreSubtotals="1" fieldPosition="0">
          <references count="2">
            <reference field="4294967294" count="1" selected="0">
              <x v="1"/>
            </reference>
            <reference field="38" count="1">
              <x v="14"/>
            </reference>
          </references>
        </pivotArea>
        <pivotArea type="data" collapsedLevelsAreSubtotals="1" fieldPosition="0">
          <references count="2">
            <reference field="4294967294" count="1" selected="0">
              <x v="1"/>
            </reference>
            <reference field="38" count="1">
              <x v="15"/>
            </reference>
          </references>
        </pivotArea>
        <pivotArea type="data" collapsedLevelsAreSubtotals="1" fieldPosition="0">
          <references count="2">
            <reference field="4294967294" count="1" selected="0">
              <x v="1"/>
            </reference>
            <reference field="38" count="1">
              <x v="1"/>
            </reference>
          </references>
        </pivotArea>
        <pivotArea type="data" collapsedLevelsAreSubtotals="1" fieldPosition="0">
          <references count="2">
            <reference field="4294967294" count="1" selected="0">
              <x v="1"/>
            </reference>
            <reference field="38" count="1">
              <x v="8"/>
            </reference>
          </references>
        </pivotArea>
        <pivotArea type="data" collapsedLevelsAreSubtotals="1" fieldPosition="0">
          <references count="2">
            <reference field="4294967294" count="1" selected="0">
              <x v="1"/>
            </reference>
            <reference field="38" count="1">
              <x v="91"/>
            </reference>
          </references>
        </pivotArea>
        <pivotArea type="data" collapsedLevelsAreSubtotals="1" fieldPosition="0">
          <references count="2">
            <reference field="4294967294" count="1" selected="0">
              <x v="1"/>
            </reference>
            <reference field="38" count="1">
              <x v="44"/>
            </reference>
          </references>
        </pivotArea>
        <pivotArea type="data" collapsedLevelsAreSubtotals="1" fieldPosition="0">
          <references count="2">
            <reference field="4294967294" count="1" selected="0">
              <x v="1"/>
            </reference>
            <reference field="38" count="1">
              <x v="7"/>
            </reference>
          </references>
        </pivotArea>
        <pivotArea type="data" collapsedLevelsAreSubtotals="1" fieldPosition="0">
          <references count="2">
            <reference field="4294967294" count="1" selected="0">
              <x v="1"/>
            </reference>
            <reference field="38" count="1">
              <x v="49"/>
            </reference>
          </references>
        </pivotArea>
        <pivotArea type="data" collapsedLevelsAreSubtotals="1" fieldPosition="0">
          <references count="2">
            <reference field="4294967294" count="1" selected="0">
              <x v="1"/>
            </reference>
            <reference field="38" count="1">
              <x v="89"/>
            </reference>
          </references>
        </pivotArea>
        <pivotArea type="data" collapsedLevelsAreSubtotals="1" fieldPosition="0">
          <references count="2">
            <reference field="4294967294" count="1" selected="0">
              <x v="1"/>
            </reference>
            <reference field="38" count="1">
              <x v="3"/>
            </reference>
          </references>
        </pivotArea>
        <pivotArea type="data" collapsedLevelsAreSubtotals="1" fieldPosition="0">
          <references count="2">
            <reference field="4294967294" count="1" selected="0">
              <x v="1"/>
            </reference>
            <reference field="38" count="1">
              <x v="41"/>
            </reference>
          </references>
        </pivotArea>
        <pivotArea type="data" collapsedLevelsAreSubtotals="1" fieldPosition="0">
          <references count="2">
            <reference field="4294967294" count="1" selected="0">
              <x v="1"/>
            </reference>
            <reference field="38" count="1">
              <x v="69"/>
            </reference>
          </references>
        </pivotArea>
        <pivotArea type="data" collapsedLevelsAreSubtotals="1" fieldPosition="0">
          <references count="2">
            <reference field="4294967294" count="1" selected="0">
              <x v="1"/>
            </reference>
            <reference field="38" count="1">
              <x v="42"/>
            </reference>
          </references>
        </pivotArea>
        <pivotArea type="data" collapsedLevelsAreSubtotals="1" fieldPosition="0">
          <references count="2">
            <reference field="4294967294" count="1" selected="0">
              <x v="1"/>
            </reference>
            <reference field="38" count="1">
              <x v="83"/>
            </reference>
          </references>
        </pivotArea>
        <pivotArea type="data" collapsedLevelsAreSubtotals="1" fieldPosition="0">
          <references count="2">
            <reference field="4294967294" count="1" selected="0">
              <x v="1"/>
            </reference>
            <reference field="38" count="1">
              <x v="70"/>
            </reference>
          </references>
        </pivotArea>
        <pivotArea type="data" collapsedLevelsAreSubtotals="1" fieldPosition="0">
          <references count="2">
            <reference field="4294967294" count="1" selected="0">
              <x v="1"/>
            </reference>
            <reference field="38" count="1">
              <x v="84"/>
            </reference>
          </references>
        </pivotArea>
        <pivotArea type="data" collapsedLevelsAreSubtotals="1" fieldPosition="0">
          <references count="2">
            <reference field="4294967294" count="1" selected="0">
              <x v="1"/>
            </reference>
            <reference field="38" count="1">
              <x v="100"/>
            </reference>
          </references>
        </pivotArea>
        <pivotArea type="data" collapsedLevelsAreSubtotals="1" fieldPosition="0">
          <references count="2">
            <reference field="4294967294" count="1" selected="0">
              <x v="1"/>
            </reference>
            <reference field="38" count="1">
              <x v="85"/>
            </reference>
          </references>
        </pivotArea>
        <pivotArea type="data" collapsedLevelsAreSubtotals="1" fieldPosition="0">
          <references count="2">
            <reference field="4294967294" count="1" selected="0">
              <x v="1"/>
            </reference>
            <reference field="38" count="1">
              <x v="80"/>
            </reference>
          </references>
        </pivotArea>
        <pivotArea type="data" collapsedLevelsAreSubtotals="1" fieldPosition="0">
          <references count="2">
            <reference field="4294967294" count="1" selected="0">
              <x v="1"/>
            </reference>
            <reference field="38" count="1">
              <x v="36"/>
            </reference>
          </references>
        </pivotArea>
        <pivotArea type="data" collapsedLevelsAreSubtotals="1" fieldPosition="0">
          <references count="2">
            <reference field="4294967294" count="1" selected="0">
              <x v="1"/>
            </reference>
            <reference field="38" count="1">
              <x v="96"/>
            </reference>
          </references>
        </pivotArea>
        <pivotArea type="data" collapsedLevelsAreSubtotals="1" fieldPosition="0">
          <references count="2">
            <reference field="4294967294" count="1" selected="0">
              <x v="1"/>
            </reference>
            <reference field="38" count="1">
              <x v="26"/>
            </reference>
          </references>
        </pivotArea>
        <pivotArea type="data" collapsedLevelsAreSubtotals="1" fieldPosition="0">
          <references count="2">
            <reference field="4294967294" count="1" selected="0">
              <x v="1"/>
            </reference>
            <reference field="38" count="1">
              <x v="47"/>
            </reference>
          </references>
        </pivotArea>
        <pivotArea type="data" collapsedLevelsAreSubtotals="1" fieldPosition="0">
          <references count="2">
            <reference field="4294967294" count="1" selected="0">
              <x v="1"/>
            </reference>
            <reference field="38" count="1">
              <x v="63"/>
            </reference>
          </references>
        </pivotArea>
        <pivotArea type="data" collapsedLevelsAreSubtotals="1" fieldPosition="0">
          <references count="2">
            <reference field="4294967294" count="1" selected="0">
              <x v="1"/>
            </reference>
            <reference field="38" count="1">
              <x v="82"/>
            </reference>
          </references>
        </pivotArea>
        <pivotArea type="data" collapsedLevelsAreSubtotals="1" fieldPosition="0">
          <references count="2">
            <reference field="4294967294" count="1" selected="0">
              <x v="1"/>
            </reference>
            <reference field="38" count="1">
              <x v="64"/>
            </reference>
          </references>
        </pivotArea>
        <pivotArea type="data" collapsedLevelsAreSubtotals="1" fieldPosition="0">
          <references count="2">
            <reference field="4294967294" count="1" selected="0">
              <x v="1"/>
            </reference>
            <reference field="38" count="1">
              <x v="22"/>
            </reference>
          </references>
        </pivotArea>
        <pivotArea type="data" collapsedLevelsAreSubtotals="1" fieldPosition="0">
          <references count="2">
            <reference field="4294967294" count="1" selected="0">
              <x v="1"/>
            </reference>
            <reference field="38" count="1">
              <x v="65"/>
            </reference>
          </references>
        </pivotArea>
        <pivotArea type="data" collapsedLevelsAreSubtotals="1" fieldPosition="0">
          <references count="2">
            <reference field="4294967294" count="1" selected="0">
              <x v="1"/>
            </reference>
            <reference field="38" count="1">
              <x v="98"/>
            </reference>
          </references>
        </pivotArea>
        <pivotArea type="data" collapsedLevelsAreSubtotals="1" fieldPosition="0">
          <references count="2">
            <reference field="4294967294" count="1" selected="0">
              <x v="1"/>
            </reference>
            <reference field="38" count="1">
              <x v="66"/>
            </reference>
          </references>
        </pivotArea>
        <pivotArea type="data" collapsedLevelsAreSubtotals="1" fieldPosition="0">
          <references count="2">
            <reference field="4294967294" count="1" selected="0">
              <x v="1"/>
            </reference>
            <reference field="38" count="1">
              <x v="23"/>
            </reference>
          </references>
        </pivotArea>
        <pivotArea type="data" collapsedLevelsAreSubtotals="1" fieldPosition="0">
          <references count="2">
            <reference field="4294967294" count="1" selected="0">
              <x v="1"/>
            </reference>
            <reference field="38" count="1">
              <x v="67"/>
            </reference>
          </references>
        </pivotArea>
        <pivotArea type="data" collapsedLevelsAreSubtotals="1" fieldPosition="0">
          <references count="2">
            <reference field="4294967294" count="1" selected="0">
              <x v="1"/>
            </reference>
            <reference field="38" count="1">
              <x v="79"/>
            </reference>
          </references>
        </pivotArea>
        <pivotArea type="data" collapsedLevelsAreSubtotals="1" fieldPosition="0">
          <references count="2">
            <reference field="4294967294" count="1" selected="0">
              <x v="1"/>
            </reference>
            <reference field="38" count="1">
              <x v="39"/>
            </reference>
          </references>
        </pivotArea>
        <pivotArea type="data" collapsedLevelsAreSubtotals="1" fieldPosition="0">
          <references count="2">
            <reference field="4294967294" count="1" selected="0">
              <x v="1"/>
            </reference>
            <reference field="38" count="1">
              <x v="81"/>
            </reference>
          </references>
        </pivotArea>
        <pivotArea type="data" collapsedLevelsAreSubtotals="1" fieldPosition="0">
          <references count="2">
            <reference field="4294967294" count="1" selected="0">
              <x v="1"/>
            </reference>
            <reference field="38" count="1">
              <x v="31"/>
            </reference>
          </references>
        </pivotArea>
        <pivotArea type="data" collapsedLevelsAreSubtotals="1" fieldPosition="0">
          <references count="2">
            <reference field="4294967294" count="1" selected="0">
              <x v="1"/>
            </reference>
            <reference field="38" count="1">
              <x v="16"/>
            </reference>
          </references>
        </pivotArea>
        <pivotArea type="data" collapsedLevelsAreSubtotals="1" fieldPosition="0">
          <references count="2">
            <reference field="4294967294" count="1" selected="0">
              <x v="1"/>
            </reference>
            <reference field="38" count="1">
              <x v="58"/>
            </reference>
          </references>
        </pivotArea>
        <pivotArea type="data" collapsedLevelsAreSubtotals="1" fieldPosition="0">
          <references count="2">
            <reference field="4294967294" count="1" selected="0">
              <x v="1"/>
            </reference>
            <reference field="38" count="1">
              <x v="45"/>
            </reference>
          </references>
        </pivotArea>
        <pivotArea type="data" collapsedLevelsAreSubtotals="1" fieldPosition="0">
          <references count="2">
            <reference field="4294967294" count="1" selected="0">
              <x v="1"/>
            </reference>
            <reference field="38" count="1">
              <x v="18"/>
            </reference>
          </references>
        </pivotArea>
        <pivotArea type="data" collapsedLevelsAreSubtotals="1" fieldPosition="0">
          <references count="2">
            <reference field="4294967294" count="1" selected="0">
              <x v="1"/>
            </reference>
            <reference field="38" count="1">
              <x v="106"/>
            </reference>
          </references>
        </pivotArea>
        <pivotArea type="data" collapsedLevelsAreSubtotals="1" fieldPosition="0">
          <references count="2">
            <reference field="4294967294" count="1" selected="0">
              <x v="1"/>
            </reference>
            <reference field="38" count="1">
              <x v="90"/>
            </reference>
          </references>
        </pivotArea>
        <pivotArea type="data" collapsedLevelsAreSubtotals="1" fieldPosition="0">
          <references count="2">
            <reference field="4294967294" count="1" selected="0">
              <x v="1"/>
            </reference>
            <reference field="38" count="1">
              <x v="48"/>
            </reference>
          </references>
        </pivotArea>
        <pivotArea type="data" collapsedLevelsAreSubtotals="1" fieldPosition="0">
          <references count="2">
            <reference field="4294967294" count="1" selected="0">
              <x v="1"/>
            </reference>
            <reference field="38" count="1">
              <x v="93"/>
            </reference>
          </references>
        </pivotArea>
        <pivotArea type="data" collapsedLevelsAreSubtotals="1" fieldPosition="0">
          <references count="2">
            <reference field="4294967294" count="1" selected="0">
              <x v="1"/>
            </reference>
            <reference field="38" count="1">
              <x v="103"/>
            </reference>
          </references>
        </pivotArea>
        <pivotArea type="data" collapsedLevelsAreSubtotals="1" fieldPosition="0">
          <references count="2">
            <reference field="4294967294" count="1" selected="0">
              <x v="1"/>
            </reference>
            <reference field="38" count="1">
              <x v="97"/>
            </reference>
          </references>
        </pivotArea>
        <pivotArea type="data" collapsedLevelsAreSubtotals="1" fieldPosition="0">
          <references count="2">
            <reference field="4294967294" count="1" selected="0">
              <x v="1"/>
            </reference>
            <reference field="38" count="1">
              <x v="10"/>
            </reference>
          </references>
        </pivotArea>
        <pivotArea type="data" collapsedLevelsAreSubtotals="1" fieldPosition="0">
          <references count="2">
            <reference field="4294967294" count="1" selected="0">
              <x v="1"/>
            </reference>
            <reference field="38" count="1">
              <x v="99"/>
            </reference>
          </references>
        </pivotArea>
        <pivotArea type="data" collapsedLevelsAreSubtotals="1" fieldPosition="0">
          <references count="2">
            <reference field="4294967294" count="1" selected="0">
              <x v="1"/>
            </reference>
            <reference field="38" count="1">
              <x v="29"/>
            </reference>
          </references>
        </pivotArea>
        <pivotArea type="data" collapsedLevelsAreSubtotals="1" fieldPosition="0">
          <references count="2">
            <reference field="4294967294" count="1" selected="0">
              <x v="1"/>
            </reference>
            <reference field="38" count="1">
              <x v="101"/>
            </reference>
          </references>
        </pivotArea>
        <pivotArea type="data" collapsedLevelsAreSubtotals="1" fieldPosition="0">
          <references count="2">
            <reference field="4294967294" count="1" selected="0">
              <x v="1"/>
            </reference>
            <reference field="38" count="1">
              <x v="21"/>
            </reference>
          </references>
        </pivotArea>
        <pivotArea type="data" collapsedLevelsAreSubtotals="1" fieldPosition="0">
          <references count="2">
            <reference field="4294967294" count="1" selected="0">
              <x v="1"/>
            </reference>
            <reference field="38" count="1">
              <x v="76"/>
            </reference>
          </references>
        </pivotArea>
        <pivotArea type="data" collapsedLevelsAreSubtotals="1" fieldPosition="0">
          <references count="2">
            <reference field="4294967294" count="1" selected="0">
              <x v="1"/>
            </reference>
            <reference field="38" count="1">
              <x v="46"/>
            </reference>
          </references>
        </pivotArea>
        <pivotArea type="data" collapsedLevelsAreSubtotals="1" fieldPosition="0">
          <references count="2">
            <reference field="4294967294" count="1" selected="0">
              <x v="1"/>
            </reference>
            <reference field="38" count="1">
              <x v="72"/>
            </reference>
          </references>
        </pivotArea>
        <pivotArea type="data" collapsedLevelsAreSubtotals="1" fieldPosition="0">
          <references count="2">
            <reference field="4294967294" count="1" selected="0">
              <x v="1"/>
            </reference>
            <reference field="38" count="1">
              <x v="4"/>
            </reference>
          </references>
        </pivotArea>
        <pivotArea type="data" collapsedLevelsAreSubtotals="1" fieldPosition="0">
          <references count="2">
            <reference field="4294967294" count="1" selected="0">
              <x v="1"/>
            </reference>
            <reference field="38" count="1">
              <x v="53"/>
            </reference>
          </references>
        </pivotArea>
        <pivotArea type="data" collapsedLevelsAreSubtotals="1" fieldPosition="0">
          <references count="2">
            <reference field="4294967294" count="1" selected="0">
              <x v="1"/>
            </reference>
            <reference field="38" count="1">
              <x v="55"/>
            </reference>
          </references>
        </pivotArea>
        <pivotArea type="data" collapsedLevelsAreSubtotals="1" fieldPosition="0">
          <references count="2">
            <reference field="4294967294" count="1" selected="0">
              <x v="1"/>
            </reference>
            <reference field="38" count="1">
              <x v="20"/>
            </reference>
          </references>
        </pivotArea>
        <pivotArea type="data" collapsedLevelsAreSubtotals="1" fieldPosition="0">
          <references count="2">
            <reference field="4294967294" count="1" selected="0">
              <x v="1"/>
            </reference>
            <reference field="38" count="1">
              <x v="88"/>
            </reference>
          </references>
        </pivotArea>
        <pivotArea type="data" collapsedLevelsAreSubtotals="1" fieldPosition="0">
          <references count="2">
            <reference field="4294967294" count="1" selected="0">
              <x v="1"/>
            </reference>
            <reference field="38" count="1">
              <x v="78"/>
            </reference>
          </references>
        </pivotArea>
        <pivotArea type="data" collapsedLevelsAreSubtotals="1" fieldPosition="0">
          <references count="2">
            <reference field="4294967294" count="1" selected="0">
              <x v="1"/>
            </reference>
            <reference field="38" count="1">
              <x v="50"/>
            </reference>
          </references>
        </pivotArea>
        <pivotArea type="data" collapsedLevelsAreSubtotals="1" fieldPosition="0">
          <references count="2">
            <reference field="4294967294" count="1" selected="0">
              <x v="1"/>
            </reference>
            <reference field="38" count="1">
              <x v="87"/>
            </reference>
          </references>
        </pivotArea>
        <pivotArea type="data" collapsedLevelsAreSubtotals="1" fieldPosition="0">
          <references count="2">
            <reference field="4294967294" count="1" selected="0">
              <x v="1"/>
            </reference>
            <reference field="38" count="1">
              <x v="34"/>
            </reference>
          </references>
        </pivotArea>
        <pivotArea type="data" collapsedLevelsAreSubtotals="1" fieldPosition="0">
          <references count="2">
            <reference field="4294967294" count="1" selected="0">
              <x v="1"/>
            </reference>
            <reference field="38" count="1">
              <x v="95"/>
            </reference>
          </references>
        </pivotArea>
        <pivotArea type="data" collapsedLevelsAreSubtotals="1" fieldPosition="0">
          <references count="3">
            <reference field="4294967294" count="1" selected="0">
              <x v="1"/>
            </reference>
            <reference field="0" count="4">
              <x v="1"/>
              <x v="2"/>
              <x v="3"/>
              <x v="4"/>
            </reference>
            <reference field="38" count="1" selected="0">
              <x v="95"/>
            </reference>
          </references>
        </pivotArea>
        <pivotArea type="data" collapsedLevelsAreSubtotals="1" fieldPosition="0">
          <references count="2">
            <reference field="4294967294" count="1" selected="0">
              <x v="1"/>
            </reference>
            <reference field="38" count="1">
              <x v="105"/>
            </reference>
          </references>
        </pivotArea>
        <pivotArea type="data" collapsedLevelsAreSubtotals="1" fieldPosition="0">
          <references count="2">
            <reference field="4294967294" count="1" selected="0">
              <x v="1"/>
            </reference>
            <reference field="38" count="1">
              <x v="30"/>
            </reference>
          </references>
        </pivotArea>
        <pivotArea type="data" collapsedLevelsAreSubtotals="1" fieldPosition="0">
          <references count="2">
            <reference field="4294967294" count="1" selected="0">
              <x v="1"/>
            </reference>
            <reference field="38" count="1">
              <x v="94"/>
            </reference>
          </references>
        </pivotArea>
        <pivotArea type="data" collapsedLevelsAreSubtotals="1" fieldPosition="0">
          <references count="2">
            <reference field="4294967294" count="1" selected="0">
              <x v="1"/>
            </reference>
            <reference field="38" count="1">
              <x v="37"/>
            </reference>
          </references>
        </pivotArea>
        <pivotArea type="data" collapsedLevelsAreSubtotals="1" fieldPosition="0">
          <references count="2">
            <reference field="4294967294" count="1" selected="0">
              <x v="1"/>
            </reference>
            <reference field="38" count="1">
              <x v="92"/>
            </reference>
          </references>
        </pivotArea>
      </pivotAreas>
    </conditionalFormat>
  </conditionalFormats>
  <pivotTableStyleInfo name="PivotStyleLight16"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data.bls.gov/toppicks?survey=bls" TargetMode="External"/><Relationship Id="rId1" Type="http://schemas.openxmlformats.org/officeDocument/2006/relationships/hyperlink" Target="https://data.bls.gov/toppicks?survey=bls"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A84B-0E60-4C29-8F81-32E78F28B44F}">
  <sheetPr codeName="Sheet17"/>
  <dimension ref="A1:C15"/>
  <sheetViews>
    <sheetView workbookViewId="0">
      <selection activeCell="B15" sqref="B15"/>
    </sheetView>
  </sheetViews>
  <sheetFormatPr defaultRowHeight="14.4" x14ac:dyDescent="0.3"/>
  <cols>
    <col min="1" max="1" width="20.88671875" bestFit="1" customWidth="1"/>
    <col min="2" max="2" width="8.88671875" style="148"/>
  </cols>
  <sheetData>
    <row r="1" spans="1:3" x14ac:dyDescent="0.3">
      <c r="A1" t="s">
        <v>602</v>
      </c>
      <c r="B1" s="162" t="s">
        <v>603</v>
      </c>
    </row>
    <row r="2" spans="1:3" x14ac:dyDescent="0.3">
      <c r="A2" t="s">
        <v>604</v>
      </c>
      <c r="B2" s="162" t="s">
        <v>603</v>
      </c>
    </row>
    <row r="3" spans="1:3" x14ac:dyDescent="0.3">
      <c r="A3" t="s">
        <v>605</v>
      </c>
      <c r="B3" s="148" t="s">
        <v>606</v>
      </c>
    </row>
    <row r="7" spans="1:3" x14ac:dyDescent="0.3">
      <c r="A7" t="s">
        <v>607</v>
      </c>
    </row>
    <row r="8" spans="1:3" x14ac:dyDescent="0.3">
      <c r="A8" t="s">
        <v>608</v>
      </c>
      <c r="B8" s="148" t="s">
        <v>609</v>
      </c>
    </row>
    <row r="9" spans="1:3" x14ac:dyDescent="0.3">
      <c r="A9" s="159" t="s">
        <v>610</v>
      </c>
      <c r="B9" s="148">
        <v>2.7E-2</v>
      </c>
    </row>
    <row r="10" spans="1:3" x14ac:dyDescent="0.3">
      <c r="A10" s="160" t="s">
        <v>611</v>
      </c>
      <c r="B10" s="148">
        <v>2.7E-2</v>
      </c>
    </row>
    <row r="11" spans="1:3" x14ac:dyDescent="0.3">
      <c r="A11" s="160" t="s">
        <v>612</v>
      </c>
      <c r="B11" s="148">
        <v>3.1E-2</v>
      </c>
    </row>
    <row r="12" spans="1:3" x14ac:dyDescent="0.3">
      <c r="A12" s="160" t="s">
        <v>613</v>
      </c>
      <c r="B12" s="148">
        <v>7.0999999999999994E-2</v>
      </c>
    </row>
    <row r="14" spans="1:3" x14ac:dyDescent="0.3">
      <c r="A14" t="s">
        <v>614</v>
      </c>
      <c r="B14" s="161">
        <f>AVERAGE(B9:B11)</f>
        <v>2.8333333333333332E-2</v>
      </c>
    </row>
    <row r="15" spans="1:3" x14ac:dyDescent="0.3">
      <c r="A15" t="s">
        <v>615</v>
      </c>
      <c r="B15" s="161">
        <f>AVERAGE(B9:B12)</f>
        <v>3.8999999999999993E-2</v>
      </c>
      <c r="C15" t="s">
        <v>618</v>
      </c>
    </row>
  </sheetData>
  <hyperlinks>
    <hyperlink ref="B1" r:id="rId1" xr:uid="{33CD1E30-3B93-43FC-8FCA-8FF81DFE79B0}"/>
    <hyperlink ref="B2" r:id="rId2" xr:uid="{05E58DB4-BA01-4A78-BB5B-BD345045B6B9}"/>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3F666-6740-4924-B11A-DD6C252CD31F}">
  <sheetPr codeName="Sheet30"/>
  <dimension ref="A1:B108"/>
  <sheetViews>
    <sheetView tabSelected="1" workbookViewId="0"/>
  </sheetViews>
  <sheetFormatPr defaultRowHeight="14.4" x14ac:dyDescent="0.3"/>
  <cols>
    <col min="1" max="1" width="43.77734375" bestFit="1" customWidth="1"/>
    <col min="2" max="2" width="14.5546875" style="167" customWidth="1"/>
  </cols>
  <sheetData>
    <row r="1" spans="1:2" x14ac:dyDescent="0.3">
      <c r="A1" s="141" t="s">
        <v>488</v>
      </c>
      <c r="B1" s="168" t="s">
        <v>644</v>
      </c>
    </row>
    <row r="2" spans="1:2" x14ac:dyDescent="0.3">
      <c r="A2" t="s">
        <v>489</v>
      </c>
      <c r="B2" s="167" t="b">
        <v>0</v>
      </c>
    </row>
    <row r="3" spans="1:2" x14ac:dyDescent="0.3">
      <c r="A3" t="s">
        <v>496</v>
      </c>
      <c r="B3" s="167" t="b">
        <v>0</v>
      </c>
    </row>
    <row r="4" spans="1:2" x14ac:dyDescent="0.3">
      <c r="A4" t="s">
        <v>519</v>
      </c>
      <c r="B4" s="167" t="b">
        <v>0</v>
      </c>
    </row>
    <row r="5" spans="1:2" x14ac:dyDescent="0.3">
      <c r="A5" t="s">
        <v>492</v>
      </c>
      <c r="B5" s="167" t="b">
        <v>0</v>
      </c>
    </row>
    <row r="6" spans="1:2" x14ac:dyDescent="0.3">
      <c r="A6" t="s">
        <v>514</v>
      </c>
      <c r="B6" s="167" t="b">
        <v>0</v>
      </c>
    </row>
    <row r="7" spans="1:2" x14ac:dyDescent="0.3">
      <c r="A7" t="s">
        <v>528</v>
      </c>
      <c r="B7" s="167" t="b">
        <v>0</v>
      </c>
    </row>
    <row r="8" spans="1:2" x14ac:dyDescent="0.3">
      <c r="A8" t="s">
        <v>516</v>
      </c>
      <c r="B8" s="167" t="b">
        <v>0</v>
      </c>
    </row>
    <row r="9" spans="1:2" x14ac:dyDescent="0.3">
      <c r="A9" t="s">
        <v>556</v>
      </c>
      <c r="B9" s="167" t="b">
        <v>0</v>
      </c>
    </row>
    <row r="10" spans="1:2" x14ac:dyDescent="0.3">
      <c r="A10" t="s">
        <v>502</v>
      </c>
      <c r="B10" s="167" t="b">
        <v>0</v>
      </c>
    </row>
    <row r="11" spans="1:2" x14ac:dyDescent="0.3">
      <c r="A11" t="s">
        <v>490</v>
      </c>
      <c r="B11" s="167" t="b">
        <v>0</v>
      </c>
    </row>
    <row r="12" spans="1:2" x14ac:dyDescent="0.3">
      <c r="A12" t="s">
        <v>586</v>
      </c>
      <c r="B12" s="167" t="b">
        <v>0</v>
      </c>
    </row>
    <row r="13" spans="1:2" x14ac:dyDescent="0.3">
      <c r="A13" t="s">
        <v>597</v>
      </c>
      <c r="B13" s="167" t="b">
        <v>0</v>
      </c>
    </row>
    <row r="14" spans="1:2" x14ac:dyDescent="0.3">
      <c r="A14" t="s">
        <v>598</v>
      </c>
      <c r="B14" s="167" t="b">
        <v>0</v>
      </c>
    </row>
    <row r="15" spans="1:2" x14ac:dyDescent="0.3">
      <c r="A15" t="s">
        <v>500</v>
      </c>
      <c r="B15" s="167" t="b">
        <v>0</v>
      </c>
    </row>
    <row r="16" spans="1:2" x14ac:dyDescent="0.3">
      <c r="A16" t="s">
        <v>507</v>
      </c>
      <c r="B16" s="167" t="b">
        <v>0</v>
      </c>
    </row>
    <row r="17" spans="1:2" x14ac:dyDescent="0.3">
      <c r="A17" t="s">
        <v>491</v>
      </c>
      <c r="B17" s="167" t="b">
        <v>0</v>
      </c>
    </row>
    <row r="18" spans="1:2" x14ac:dyDescent="0.3">
      <c r="A18" t="s">
        <v>521</v>
      </c>
      <c r="B18" s="167" t="b">
        <v>0</v>
      </c>
    </row>
    <row r="19" spans="1:2" x14ac:dyDescent="0.3">
      <c r="A19" t="s">
        <v>506</v>
      </c>
      <c r="B19" s="167" t="b">
        <v>0</v>
      </c>
    </row>
    <row r="20" spans="1:2" x14ac:dyDescent="0.3">
      <c r="A20" t="s">
        <v>562</v>
      </c>
      <c r="B20" s="167" t="b">
        <v>0</v>
      </c>
    </row>
    <row r="21" spans="1:2" x14ac:dyDescent="0.3">
      <c r="A21" t="s">
        <v>568</v>
      </c>
      <c r="B21" s="167" t="b">
        <v>0</v>
      </c>
    </row>
    <row r="22" spans="1:2" x14ac:dyDescent="0.3">
      <c r="A22" t="s">
        <v>501</v>
      </c>
      <c r="B22" s="167" t="b">
        <v>0</v>
      </c>
    </row>
    <row r="23" spans="1:2" x14ac:dyDescent="0.3">
      <c r="A23" t="s">
        <v>518</v>
      </c>
      <c r="B23" s="167" t="b">
        <v>0</v>
      </c>
    </row>
    <row r="24" spans="1:2" x14ac:dyDescent="0.3">
      <c r="A24" t="s">
        <v>535</v>
      </c>
      <c r="B24" s="167" t="b">
        <v>1</v>
      </c>
    </row>
    <row r="25" spans="1:2" x14ac:dyDescent="0.3">
      <c r="A25" t="s">
        <v>522</v>
      </c>
      <c r="B25" s="167" t="b">
        <v>1</v>
      </c>
    </row>
    <row r="26" spans="1:2" x14ac:dyDescent="0.3">
      <c r="A26" t="s">
        <v>510</v>
      </c>
      <c r="B26" s="167" t="b">
        <v>1</v>
      </c>
    </row>
    <row r="27" spans="1:2" x14ac:dyDescent="0.3">
      <c r="A27" t="s">
        <v>577</v>
      </c>
      <c r="B27" s="167" t="b">
        <v>1</v>
      </c>
    </row>
    <row r="28" spans="1:2" x14ac:dyDescent="0.3">
      <c r="A28" t="s">
        <v>543</v>
      </c>
      <c r="B28" s="167" t="b">
        <v>1</v>
      </c>
    </row>
    <row r="29" spans="1:2" x14ac:dyDescent="0.3">
      <c r="A29" t="s">
        <v>495</v>
      </c>
      <c r="B29" s="167" t="b">
        <v>1</v>
      </c>
    </row>
    <row r="30" spans="1:2" x14ac:dyDescent="0.3">
      <c r="A30" t="s">
        <v>563</v>
      </c>
      <c r="B30" s="167" t="b">
        <v>1</v>
      </c>
    </row>
    <row r="31" spans="1:2" x14ac:dyDescent="0.3">
      <c r="A31" t="s">
        <v>569</v>
      </c>
      <c r="B31" s="167" t="b">
        <v>1</v>
      </c>
    </row>
    <row r="32" spans="1:2" x14ac:dyDescent="0.3">
      <c r="A32" t="s">
        <v>525</v>
      </c>
      <c r="B32" s="167" t="b">
        <v>1</v>
      </c>
    </row>
    <row r="33" spans="1:2" x14ac:dyDescent="0.3">
      <c r="A33" t="s">
        <v>532</v>
      </c>
      <c r="B33" s="167" t="b">
        <v>1</v>
      </c>
    </row>
    <row r="34" spans="1:2" x14ac:dyDescent="0.3">
      <c r="A34" t="s">
        <v>493</v>
      </c>
      <c r="B34" s="167" t="b">
        <v>1</v>
      </c>
    </row>
    <row r="35" spans="1:2" x14ac:dyDescent="0.3">
      <c r="A35" t="s">
        <v>497</v>
      </c>
      <c r="B35" s="167" t="b">
        <v>1</v>
      </c>
    </row>
    <row r="36" spans="1:2" x14ac:dyDescent="0.3">
      <c r="A36" t="s">
        <v>564</v>
      </c>
      <c r="B36" s="167" t="b">
        <v>1</v>
      </c>
    </row>
    <row r="37" spans="1:2" x14ac:dyDescent="0.3">
      <c r="A37" t="s">
        <v>529</v>
      </c>
      <c r="B37" s="167" t="b">
        <v>1</v>
      </c>
    </row>
    <row r="38" spans="1:2" x14ac:dyDescent="0.3">
      <c r="A38" t="s">
        <v>573</v>
      </c>
      <c r="B38" s="167" t="b">
        <v>1</v>
      </c>
    </row>
    <row r="39" spans="1:2" x14ac:dyDescent="0.3">
      <c r="A39" t="s">
        <v>582</v>
      </c>
      <c r="B39" s="167" t="b">
        <v>1</v>
      </c>
    </row>
    <row r="40" spans="1:2" x14ac:dyDescent="0.3">
      <c r="A40" t="s">
        <v>526</v>
      </c>
      <c r="B40" s="167" t="b">
        <v>1</v>
      </c>
    </row>
    <row r="41" spans="1:2" x14ac:dyDescent="0.3">
      <c r="A41" t="s">
        <v>545</v>
      </c>
      <c r="B41" s="167" t="b">
        <v>1</v>
      </c>
    </row>
    <row r="42" spans="1:2" x14ac:dyDescent="0.3">
      <c r="A42" t="s">
        <v>523</v>
      </c>
      <c r="B42" s="167" t="b">
        <v>1</v>
      </c>
    </row>
    <row r="43" spans="1:2" x14ac:dyDescent="0.3">
      <c r="A43" t="s">
        <v>511</v>
      </c>
      <c r="B43" s="167" t="b">
        <v>1</v>
      </c>
    </row>
    <row r="44" spans="1:2" x14ac:dyDescent="0.3">
      <c r="A44" t="s">
        <v>520</v>
      </c>
      <c r="B44" s="167" t="b">
        <v>1</v>
      </c>
    </row>
    <row r="45" spans="1:2" x14ac:dyDescent="0.3">
      <c r="A45" t="s">
        <v>530</v>
      </c>
      <c r="B45" s="167" t="b">
        <v>1</v>
      </c>
    </row>
    <row r="46" spans="1:2" x14ac:dyDescent="0.3">
      <c r="A46" t="s">
        <v>499</v>
      </c>
      <c r="B46" s="167" t="b">
        <v>1</v>
      </c>
    </row>
    <row r="47" spans="1:2" x14ac:dyDescent="0.3">
      <c r="A47" t="s">
        <v>548</v>
      </c>
      <c r="B47" s="167" t="b">
        <v>1</v>
      </c>
    </row>
    <row r="48" spans="1:2" x14ac:dyDescent="0.3">
      <c r="A48" t="s">
        <v>537</v>
      </c>
      <c r="B48" s="167" t="b">
        <v>1</v>
      </c>
    </row>
    <row r="49" spans="1:2" x14ac:dyDescent="0.3">
      <c r="A49" t="s">
        <v>498</v>
      </c>
      <c r="B49" s="167" t="b">
        <v>1</v>
      </c>
    </row>
    <row r="50" spans="1:2" x14ac:dyDescent="0.3">
      <c r="A50" t="s">
        <v>527</v>
      </c>
      <c r="B50" s="167" t="b">
        <v>1</v>
      </c>
    </row>
    <row r="51" spans="1:2" x14ac:dyDescent="0.3">
      <c r="A51" t="s">
        <v>533</v>
      </c>
      <c r="B51" s="167" t="b">
        <v>1</v>
      </c>
    </row>
    <row r="52" spans="1:2" x14ac:dyDescent="0.3">
      <c r="A52" t="s">
        <v>544</v>
      </c>
      <c r="B52" s="167" t="b">
        <v>1</v>
      </c>
    </row>
    <row r="53" spans="1:2" x14ac:dyDescent="0.3">
      <c r="A53" t="s">
        <v>553</v>
      </c>
      <c r="B53" s="167" t="b">
        <v>1</v>
      </c>
    </row>
    <row r="54" spans="1:2" x14ac:dyDescent="0.3">
      <c r="A54" t="s">
        <v>505</v>
      </c>
      <c r="B54" s="167" t="b">
        <v>1</v>
      </c>
    </row>
    <row r="55" spans="1:2" x14ac:dyDescent="0.3">
      <c r="A55" t="s">
        <v>571</v>
      </c>
      <c r="B55" s="167" t="b">
        <v>1</v>
      </c>
    </row>
    <row r="56" spans="1:2" x14ac:dyDescent="0.3">
      <c r="A56" t="s">
        <v>572</v>
      </c>
      <c r="B56" s="167" t="b">
        <v>1</v>
      </c>
    </row>
    <row r="57" spans="1:2" x14ac:dyDescent="0.3">
      <c r="A57" t="s">
        <v>536</v>
      </c>
      <c r="B57" s="167" t="b">
        <v>1</v>
      </c>
    </row>
    <row r="58" spans="1:2" x14ac:dyDescent="0.3">
      <c r="A58" t="s">
        <v>539</v>
      </c>
      <c r="B58" s="167" t="b">
        <v>1</v>
      </c>
    </row>
    <row r="59" spans="1:2" x14ac:dyDescent="0.3">
      <c r="A59" t="s">
        <v>515</v>
      </c>
      <c r="B59" s="167" t="b">
        <v>1</v>
      </c>
    </row>
    <row r="60" spans="1:2" x14ac:dyDescent="0.3">
      <c r="A60" t="s">
        <v>581</v>
      </c>
      <c r="B60" s="167" t="b">
        <v>1</v>
      </c>
    </row>
    <row r="61" spans="1:2" x14ac:dyDescent="0.3">
      <c r="A61" t="s">
        <v>549</v>
      </c>
      <c r="B61" s="167" t="b">
        <v>1</v>
      </c>
    </row>
    <row r="62" spans="1:2" x14ac:dyDescent="0.3">
      <c r="A62" t="s">
        <v>546</v>
      </c>
      <c r="B62" s="167" t="b">
        <v>1</v>
      </c>
    </row>
    <row r="63" spans="1:2" x14ac:dyDescent="0.3">
      <c r="A63" t="s">
        <v>540</v>
      </c>
      <c r="B63" s="167" t="b">
        <v>1</v>
      </c>
    </row>
    <row r="64" spans="1:2" x14ac:dyDescent="0.3">
      <c r="A64" t="s">
        <v>513</v>
      </c>
      <c r="B64" s="167" t="b">
        <v>1</v>
      </c>
    </row>
    <row r="65" spans="1:2" x14ac:dyDescent="0.3">
      <c r="A65" t="s">
        <v>558</v>
      </c>
      <c r="B65" s="167" t="b">
        <v>1</v>
      </c>
    </row>
    <row r="66" spans="1:2" x14ac:dyDescent="0.3">
      <c r="A66" t="s">
        <v>574</v>
      </c>
      <c r="B66" s="167" t="b">
        <v>1</v>
      </c>
    </row>
    <row r="67" spans="1:2" x14ac:dyDescent="0.3">
      <c r="A67" t="s">
        <v>583</v>
      </c>
      <c r="B67" s="167" t="b">
        <v>1</v>
      </c>
    </row>
    <row r="68" spans="1:2" x14ac:dyDescent="0.3">
      <c r="A68" t="s">
        <v>578</v>
      </c>
      <c r="B68" s="167" t="b">
        <v>1</v>
      </c>
    </row>
    <row r="69" spans="1:2" x14ac:dyDescent="0.3">
      <c r="A69" t="s">
        <v>591</v>
      </c>
      <c r="B69" s="167" t="b">
        <v>1</v>
      </c>
    </row>
    <row r="70" spans="1:2" x14ac:dyDescent="0.3">
      <c r="A70" t="s">
        <v>534</v>
      </c>
      <c r="B70" s="167" t="b">
        <v>1</v>
      </c>
    </row>
    <row r="71" spans="1:2" x14ac:dyDescent="0.3">
      <c r="A71" t="s">
        <v>531</v>
      </c>
      <c r="B71" s="167" t="b">
        <v>1</v>
      </c>
    </row>
    <row r="72" spans="1:2" x14ac:dyDescent="0.3">
      <c r="A72" t="s">
        <v>503</v>
      </c>
      <c r="B72" s="167" t="b">
        <v>1</v>
      </c>
    </row>
    <row r="73" spans="1:2" x14ac:dyDescent="0.3">
      <c r="A73" t="s">
        <v>550</v>
      </c>
      <c r="B73" s="167" t="b">
        <v>1</v>
      </c>
    </row>
    <row r="74" spans="1:2" x14ac:dyDescent="0.3">
      <c r="A74" t="s">
        <v>504</v>
      </c>
      <c r="B74" s="167" t="b">
        <v>1</v>
      </c>
    </row>
    <row r="75" spans="1:2" x14ac:dyDescent="0.3">
      <c r="A75" t="s">
        <v>555</v>
      </c>
      <c r="B75" s="167" t="b">
        <v>1</v>
      </c>
    </row>
    <row r="76" spans="1:2" x14ac:dyDescent="0.3">
      <c r="A76" t="s">
        <v>509</v>
      </c>
      <c r="B76" s="167" t="b">
        <v>1</v>
      </c>
    </row>
    <row r="77" spans="1:2" x14ac:dyDescent="0.3">
      <c r="A77" t="s">
        <v>517</v>
      </c>
      <c r="B77" s="167" t="b">
        <v>1</v>
      </c>
    </row>
    <row r="78" spans="1:2" x14ac:dyDescent="0.3">
      <c r="A78" t="s">
        <v>589</v>
      </c>
      <c r="B78" s="167" t="b">
        <v>1</v>
      </c>
    </row>
    <row r="79" spans="1:2" x14ac:dyDescent="0.3">
      <c r="A79" t="s">
        <v>524</v>
      </c>
      <c r="B79" s="167" t="b">
        <v>1</v>
      </c>
    </row>
    <row r="80" spans="1:2" x14ac:dyDescent="0.3">
      <c r="A80" t="s">
        <v>560</v>
      </c>
      <c r="B80" s="167" t="b">
        <v>1</v>
      </c>
    </row>
    <row r="81" spans="1:2" x14ac:dyDescent="0.3">
      <c r="A81" t="s">
        <v>552</v>
      </c>
      <c r="B81" s="167" t="b">
        <v>1</v>
      </c>
    </row>
    <row r="82" spans="1:2" x14ac:dyDescent="0.3">
      <c r="A82" t="s">
        <v>580</v>
      </c>
      <c r="B82" s="167" t="b">
        <v>1</v>
      </c>
    </row>
    <row r="83" spans="1:2" x14ac:dyDescent="0.3">
      <c r="A83" t="s">
        <v>567</v>
      </c>
      <c r="B83" s="167" t="b">
        <v>1</v>
      </c>
    </row>
    <row r="84" spans="1:2" x14ac:dyDescent="0.3">
      <c r="A84" t="s">
        <v>559</v>
      </c>
      <c r="B84" s="167" t="b">
        <v>1</v>
      </c>
    </row>
    <row r="85" spans="1:2" x14ac:dyDescent="0.3">
      <c r="A85" t="s">
        <v>508</v>
      </c>
      <c r="B85" s="167" t="b">
        <v>1</v>
      </c>
    </row>
    <row r="86" spans="1:2" x14ac:dyDescent="0.3">
      <c r="A86" t="s">
        <v>541</v>
      </c>
      <c r="B86" s="167" t="b">
        <v>1</v>
      </c>
    </row>
    <row r="87" spans="1:2" x14ac:dyDescent="0.3">
      <c r="A87" t="s">
        <v>575</v>
      </c>
      <c r="B87" s="167" t="b">
        <v>1</v>
      </c>
    </row>
    <row r="88" spans="1:2" x14ac:dyDescent="0.3">
      <c r="A88" t="s">
        <v>512</v>
      </c>
      <c r="B88" s="167" t="b">
        <v>1</v>
      </c>
    </row>
    <row r="89" spans="1:2" x14ac:dyDescent="0.3">
      <c r="A89" t="s">
        <v>566</v>
      </c>
      <c r="B89" s="167" t="b">
        <v>1</v>
      </c>
    </row>
    <row r="90" spans="1:2" x14ac:dyDescent="0.3">
      <c r="A90" t="s">
        <v>494</v>
      </c>
      <c r="B90" s="167" t="b">
        <v>0</v>
      </c>
    </row>
    <row r="91" spans="1:2" x14ac:dyDescent="0.3">
      <c r="A91" t="s">
        <v>561</v>
      </c>
      <c r="B91" s="167" t="b">
        <v>1</v>
      </c>
    </row>
    <row r="92" spans="1:2" x14ac:dyDescent="0.3">
      <c r="A92" t="s">
        <v>587</v>
      </c>
      <c r="B92" s="167" t="b">
        <v>1</v>
      </c>
    </row>
    <row r="93" spans="1:2" x14ac:dyDescent="0.3">
      <c r="A93" t="s">
        <v>554</v>
      </c>
      <c r="B93" s="167" t="b">
        <v>1</v>
      </c>
    </row>
    <row r="94" spans="1:2" x14ac:dyDescent="0.3">
      <c r="A94" t="s">
        <v>588</v>
      </c>
      <c r="B94" s="167" t="b">
        <v>1</v>
      </c>
    </row>
    <row r="95" spans="1:2" x14ac:dyDescent="0.3">
      <c r="A95" t="s">
        <v>584</v>
      </c>
      <c r="B95" s="167" t="b">
        <v>1</v>
      </c>
    </row>
    <row r="96" spans="1:2" x14ac:dyDescent="0.3">
      <c r="A96" t="s">
        <v>592</v>
      </c>
      <c r="B96" s="167" t="b">
        <v>1</v>
      </c>
    </row>
    <row r="97" spans="1:2" x14ac:dyDescent="0.3">
      <c r="A97" t="s">
        <v>576</v>
      </c>
      <c r="B97" s="167" t="b">
        <v>1</v>
      </c>
    </row>
    <row r="98" spans="1:2" x14ac:dyDescent="0.3">
      <c r="A98" t="s">
        <v>590</v>
      </c>
      <c r="B98" s="167" t="b">
        <v>1</v>
      </c>
    </row>
    <row r="99" spans="1:2" x14ac:dyDescent="0.3">
      <c r="A99" t="s">
        <v>538</v>
      </c>
      <c r="B99" s="167" t="b">
        <v>1</v>
      </c>
    </row>
    <row r="100" spans="1:2" x14ac:dyDescent="0.3">
      <c r="A100" t="s">
        <v>557</v>
      </c>
      <c r="B100" s="167" t="b">
        <v>1</v>
      </c>
    </row>
    <row r="101" spans="1:2" x14ac:dyDescent="0.3">
      <c r="A101" t="s">
        <v>547</v>
      </c>
      <c r="B101" s="167" t="b">
        <v>1</v>
      </c>
    </row>
    <row r="102" spans="1:2" x14ac:dyDescent="0.3">
      <c r="A102" t="s">
        <v>565</v>
      </c>
      <c r="B102" s="167" t="b">
        <v>1</v>
      </c>
    </row>
    <row r="103" spans="1:2" x14ac:dyDescent="0.3">
      <c r="A103" t="s">
        <v>579</v>
      </c>
      <c r="B103" s="167" t="b">
        <v>1</v>
      </c>
    </row>
    <row r="104" spans="1:2" x14ac:dyDescent="0.3">
      <c r="A104" t="s">
        <v>551</v>
      </c>
      <c r="B104" s="167" t="b">
        <v>1</v>
      </c>
    </row>
    <row r="105" spans="1:2" x14ac:dyDescent="0.3">
      <c r="A105" t="s">
        <v>585</v>
      </c>
      <c r="B105" s="167" t="b">
        <v>1</v>
      </c>
    </row>
    <row r="106" spans="1:2" x14ac:dyDescent="0.3">
      <c r="A106" t="s">
        <v>542</v>
      </c>
      <c r="B106" s="167" t="b">
        <v>1</v>
      </c>
    </row>
    <row r="107" spans="1:2" x14ac:dyDescent="0.3">
      <c r="A107" t="s">
        <v>570</v>
      </c>
      <c r="B107" s="167" t="b">
        <v>1</v>
      </c>
    </row>
    <row r="108" spans="1:2" x14ac:dyDescent="0.3">
      <c r="A108" t="s">
        <v>599</v>
      </c>
      <c r="B108" s="167" t="b">
        <v>1</v>
      </c>
    </row>
  </sheetData>
  <sortState xmlns:xlrd2="http://schemas.microsoft.com/office/spreadsheetml/2017/richdata2" ref="A2:B108">
    <sortCondition ref="A2:A108"/>
  </sortState>
  <conditionalFormatting sqref="B2:B108">
    <cfRule type="cellIs" dxfId="57" priority="1" operator="equal">
      <formula>FALSE</formula>
    </cfRule>
    <cfRule type="cellIs" dxfId="56" priority="2" operator="equal">
      <formula>TRUE</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EA1D6-A2CB-4DAD-B2E1-71AFE40E804D}">
  <sheetPr codeName="Sheet3"/>
  <dimension ref="A1:AT538"/>
  <sheetViews>
    <sheetView workbookViewId="0">
      <pane xSplit="7" ySplit="1" topLeftCell="U2" activePane="bottomRight" state="frozenSplit"/>
      <selection pane="topRight" activeCell="H1" sqref="H1"/>
      <selection pane="bottomLeft" activeCell="A2" sqref="A2"/>
      <selection pane="bottomRight" activeCell="AS2" sqref="AS2"/>
    </sheetView>
  </sheetViews>
  <sheetFormatPr defaultColWidth="11.6640625" defaultRowHeight="14.4" x14ac:dyDescent="0.3"/>
  <cols>
    <col min="1" max="1" width="24.6640625" bestFit="1" customWidth="1"/>
    <col min="2" max="2" width="6" hidden="1" customWidth="1"/>
    <col min="3" max="3" width="21" customWidth="1"/>
    <col min="4" max="4" width="5.88671875" hidden="1" customWidth="1"/>
    <col min="5" max="5" width="40.109375" customWidth="1"/>
    <col min="6" max="6" width="9.6640625" style="139" bestFit="1" customWidth="1"/>
    <col min="7" max="7" width="32.5546875" customWidth="1"/>
    <col min="8" max="8" width="15.109375" style="156" bestFit="1" customWidth="1"/>
    <col min="9" max="9" width="15.109375" style="156" hidden="1" customWidth="1"/>
    <col min="10" max="10" width="15.109375" style="156" bestFit="1" customWidth="1"/>
    <col min="11" max="11" width="15.109375" style="156" hidden="1" customWidth="1"/>
    <col min="12" max="12" width="15.109375" style="156" bestFit="1" customWidth="1"/>
    <col min="13" max="13" width="15.109375" style="156" hidden="1" customWidth="1"/>
    <col min="14" max="14" width="15.109375" style="156" bestFit="1" customWidth="1"/>
    <col min="15" max="16" width="15.109375" style="156" hidden="1" customWidth="1"/>
    <col min="17" max="18" width="15.109375" style="156" bestFit="1" customWidth="1"/>
    <col min="19" max="19" width="14.109375" style="156" bestFit="1" customWidth="1"/>
    <col min="20" max="20" width="13" style="156" hidden="1" customWidth="1"/>
    <col min="21" max="21" width="11.5546875" style="140" bestFit="1" customWidth="1"/>
    <col min="22" max="24" width="0" style="140" hidden="1" customWidth="1"/>
    <col min="25" max="25" width="11.5546875" style="140" bestFit="1" customWidth="1"/>
    <col min="26" max="26" width="0" style="140" hidden="1" customWidth="1"/>
    <col min="27" max="27" width="11.5546875" style="140" bestFit="1" customWidth="1"/>
    <col min="28" max="28" width="11.6640625" style="140" hidden="1" customWidth="1"/>
    <col min="29" max="29" width="11.5546875" style="140" bestFit="1" customWidth="1"/>
    <col min="30" max="30" width="11.5546875" style="140" hidden="1" customWidth="1"/>
    <col min="31" max="31" width="11.33203125" style="140" hidden="1" customWidth="1"/>
    <col min="32" max="32" width="11" style="140" hidden="1" customWidth="1"/>
    <col min="33" max="33" width="11.5546875" style="140" bestFit="1" customWidth="1"/>
    <col min="34" max="34" width="11.6640625" style="140" customWidth="1"/>
    <col min="35" max="35" width="11.33203125" style="140" customWidth="1"/>
    <col min="36" max="36" width="11" style="140" customWidth="1"/>
    <col min="37" max="37" width="11.5546875" style="140" customWidth="1"/>
    <col min="38" max="38" width="11.6640625" style="140" customWidth="1"/>
    <col min="39" max="39" width="23.109375" customWidth="1"/>
    <col min="40" max="40" width="17.33203125" style="140" customWidth="1"/>
    <col min="41" max="41" width="14.5546875" style="140" customWidth="1"/>
    <col min="42" max="42" width="15.109375" style="1" bestFit="1" customWidth="1"/>
    <col min="43" max="43" width="14.5546875" style="1" customWidth="1"/>
    <col min="44" max="44" width="16.33203125" customWidth="1"/>
    <col min="45" max="45" width="16.77734375" customWidth="1"/>
    <col min="46" max="46" width="14.88671875" customWidth="1"/>
  </cols>
  <sheetData>
    <row r="1" spans="1:46" s="144" customFormat="1" ht="72" x14ac:dyDescent="0.3">
      <c r="A1" s="144" t="s">
        <v>402</v>
      </c>
      <c r="B1" s="144" t="s">
        <v>403</v>
      </c>
      <c r="C1" s="144" t="s">
        <v>404</v>
      </c>
      <c r="D1" s="144" t="s">
        <v>405</v>
      </c>
      <c r="E1" s="144" t="s">
        <v>406</v>
      </c>
      <c r="F1" s="144" t="s">
        <v>0</v>
      </c>
      <c r="G1" s="144" t="s">
        <v>1</v>
      </c>
      <c r="H1" s="155" t="s">
        <v>450</v>
      </c>
      <c r="I1" s="155" t="s">
        <v>451</v>
      </c>
      <c r="J1" s="155" t="s">
        <v>452</v>
      </c>
      <c r="K1" s="155" t="s">
        <v>453</v>
      </c>
      <c r="L1" s="155" t="s">
        <v>454</v>
      </c>
      <c r="M1" s="155" t="s">
        <v>455</v>
      </c>
      <c r="N1" s="155" t="s">
        <v>456</v>
      </c>
      <c r="O1" s="155" t="s">
        <v>457</v>
      </c>
      <c r="P1" s="155" t="s">
        <v>458</v>
      </c>
      <c r="Q1" s="155" t="s">
        <v>448</v>
      </c>
      <c r="R1" s="155" t="s">
        <v>449</v>
      </c>
      <c r="S1" s="155" t="s">
        <v>459</v>
      </c>
      <c r="T1" s="155" t="s">
        <v>460</v>
      </c>
      <c r="U1" s="144" t="s">
        <v>461</v>
      </c>
      <c r="V1" s="144" t="s">
        <v>462</v>
      </c>
      <c r="W1" s="144" t="s">
        <v>463</v>
      </c>
      <c r="X1" s="144" t="s">
        <v>464</v>
      </c>
      <c r="Y1" s="144" t="s">
        <v>465</v>
      </c>
      <c r="Z1" s="144" t="s">
        <v>466</v>
      </c>
      <c r="AA1" s="144" t="s">
        <v>467</v>
      </c>
      <c r="AB1" s="144" t="s">
        <v>468</v>
      </c>
      <c r="AC1" s="144" t="s">
        <v>469</v>
      </c>
      <c r="AD1" s="144" t="s">
        <v>470</v>
      </c>
      <c r="AE1" s="144" t="s">
        <v>471</v>
      </c>
      <c r="AF1" s="144" t="s">
        <v>472</v>
      </c>
      <c r="AG1" s="144" t="s">
        <v>461</v>
      </c>
      <c r="AH1" s="144" t="s">
        <v>473</v>
      </c>
      <c r="AI1" s="144" t="s">
        <v>474</v>
      </c>
      <c r="AJ1" s="144" t="s">
        <v>475</v>
      </c>
      <c r="AK1" s="144" t="s">
        <v>476</v>
      </c>
      <c r="AL1" s="144" t="s">
        <v>477</v>
      </c>
      <c r="AM1" s="144" t="s">
        <v>488</v>
      </c>
      <c r="AN1" s="158" t="s">
        <v>601</v>
      </c>
      <c r="AO1" s="158" t="s">
        <v>616</v>
      </c>
      <c r="AP1" s="165" t="s">
        <v>642</v>
      </c>
      <c r="AQ1" s="165" t="s">
        <v>643</v>
      </c>
      <c r="AR1" s="144" t="s">
        <v>617</v>
      </c>
      <c r="AS1" s="165" t="s">
        <v>645</v>
      </c>
      <c r="AT1" s="165" t="s">
        <v>646</v>
      </c>
    </row>
    <row r="2" spans="1:46" x14ac:dyDescent="0.3">
      <c r="A2" t="s">
        <v>407</v>
      </c>
      <c r="B2" t="str">
        <f t="shared" ref="B2:B65" si="0">LEFT(A2, 2)</f>
        <v>01</v>
      </c>
      <c r="C2" t="s">
        <v>408</v>
      </c>
      <c r="D2" t="str">
        <f t="shared" ref="D2:D65" si="1">LEFT(C2, 2)</f>
        <v>00</v>
      </c>
      <c r="E2" t="s">
        <v>11</v>
      </c>
      <c r="F2" s="139" t="s">
        <v>12</v>
      </c>
      <c r="G2" t="s">
        <v>13</v>
      </c>
      <c r="H2" s="156">
        <v>10500</v>
      </c>
      <c r="I2" s="156">
        <v>10500</v>
      </c>
      <c r="J2" s="156">
        <v>10500</v>
      </c>
      <c r="K2" s="156">
        <v>10500</v>
      </c>
      <c r="L2" s="156">
        <v>10500</v>
      </c>
      <c r="M2" s="156">
        <v>10500</v>
      </c>
      <c r="N2" s="156">
        <v>10500</v>
      </c>
      <c r="O2" s="156">
        <v>10500</v>
      </c>
      <c r="P2" s="156">
        <v>10500</v>
      </c>
      <c r="Q2" s="156">
        <v>10500</v>
      </c>
      <c r="R2" s="156">
        <v>10500</v>
      </c>
      <c r="S2" s="156">
        <f t="shared" ref="S2:S65" si="2">Q2 - N2</f>
        <v>0</v>
      </c>
      <c r="T2" s="156">
        <f t="shared" ref="T2:T65" si="3">Q2 - R2</f>
        <v>0</v>
      </c>
      <c r="U2" s="140">
        <f t="shared" ref="U2:U65" si="4">IFERROR((Q2 - N2) / N2, "")</f>
        <v>0</v>
      </c>
      <c r="V2" s="140">
        <f t="shared" ref="V2:V65" si="5">IFERROR((I2 - H2) / H2, "")</f>
        <v>0</v>
      </c>
      <c r="W2" s="140">
        <f t="shared" ref="W2:W65" si="6">IFERROR((K2 - J2) / J2, "")</f>
        <v>0</v>
      </c>
      <c r="X2" s="140">
        <f t="shared" ref="X2:X65" si="7">IFERROR((M2 - L2) / L2, "")</f>
        <v>0</v>
      </c>
      <c r="Y2" s="140">
        <f t="shared" ref="Y2:Y65" si="8">IFERROR((J2 - H2) / H2, "")</f>
        <v>0</v>
      </c>
      <c r="Z2" s="140">
        <f t="shared" ref="Z2:Z65" si="9">IFERROR((K2 - I2) / I2, "")</f>
        <v>0</v>
      </c>
      <c r="AA2" s="140">
        <f t="shared" ref="AA2:AA65" si="10">IFERROR((L2 - J2) / J2, "")</f>
        <v>0</v>
      </c>
      <c r="AB2" s="140">
        <f t="shared" ref="AB2:AB65" si="11">IFERROR((M2 - K2) / K2, "")</f>
        <v>0</v>
      </c>
      <c r="AC2" s="140">
        <f t="shared" ref="AC2:AC65" si="12">IFERROR((N2 - L2) / L2, "")</f>
        <v>0</v>
      </c>
      <c r="AD2" s="140">
        <f t="shared" ref="AD2:AD65" si="13">IFERROR((N2 - H2) / H2, "")</f>
        <v>0</v>
      </c>
      <c r="AE2" s="140">
        <f t="shared" ref="AE2:AE65" si="14">IFERROR((O2 - N2) / N2, "")</f>
        <v>0</v>
      </c>
      <c r="AF2" s="140">
        <f t="shared" ref="AF2:AF65" si="15">IFERROR((P2 - N2) / N2, "")</f>
        <v>0</v>
      </c>
      <c r="AG2" s="140">
        <f t="shared" ref="AG2:AG65" si="16">IFERROR((Q2 - N2) / N2, "")</f>
        <v>0</v>
      </c>
      <c r="AH2" s="140">
        <f t="shared" ref="AH2:AH65" si="17">IFERROR((R2 - N2) / N2, "")</f>
        <v>0</v>
      </c>
      <c r="AI2" s="140">
        <f t="shared" ref="AI2:AI65" si="18">IFERROR((O2 - H2) / H2, "")</f>
        <v>0</v>
      </c>
      <c r="AJ2" s="140">
        <f t="shared" ref="AJ2:AJ65" si="19">IFERROR((P2 - H2) / H2, "")</f>
        <v>0</v>
      </c>
      <c r="AK2" s="140">
        <f t="shared" ref="AK2:AK65" si="20">IFERROR((Q2 - H2) / H2, "")</f>
        <v>0</v>
      </c>
      <c r="AL2" s="140">
        <f t="shared" ref="AL2:AL65" si="21">IFERROR((R2 - H2) / H2, "")</f>
        <v>0</v>
      </c>
      <c r="AM2" t="str">
        <f t="shared" ref="AM2:AM65" si="22">_xlfn.CONCAT(TRIM(F2), ": ", TRIM(G2))</f>
        <v>4130-000: Elected Salaries</v>
      </c>
      <c r="AN2" s="140">
        <f>IFERROR(AVERAGE(Y2, AA2, AC2), 0)</f>
        <v>0</v>
      </c>
      <c r="AO2" s="140">
        <f>IF($AG2="", 0-AN2, $AG2-AN2)</f>
        <v>0</v>
      </c>
      <c r="AP2" s="1" t="str">
        <f>IF(AND(AO2&gt;0, _xlfn.XLOOKUP($AM2, Discretionaries!$A$2:'Discretionaries'!$A$150, Discretionaries!$B$2:'Discretionaries'!$B$150)), (1+AN2)*$N2, "")</f>
        <v/>
      </c>
      <c r="AQ2" s="1" t="str">
        <f>IF(AND(AO2&gt;0, _xlfn.XLOOKUP($AM2, Discretionaries!$A$2:'Discretionaries'!$A$150, Discretionaries!$B$2:'Discretionaries'!$B$150)),AP2-$Q2,"")</f>
        <v/>
      </c>
      <c r="AR2" s="140">
        <f>IF(AG2="", 0-CPI!$B$15, AG2-CPI!$B$15)</f>
        <v>-3.8999999999999993E-2</v>
      </c>
      <c r="AS2" s="1" t="str">
        <f>IF(AND(AR2&gt;0, _xlfn.XLOOKUP($AM2, Discretionaries!$A$2:'Discretionaries'!$A$150, Discretionaries!$B$2:'Discretionaries'!$B$150)), (1+CPI!$B$15)*$N2, "")</f>
        <v/>
      </c>
      <c r="AT2" s="1" t="str">
        <f>IF(AND(AR2&gt;0, _xlfn.XLOOKUP($AM2, Discretionaries!$A$2:'Discretionaries'!$A$150, Discretionaries!$B$2:'Discretionaries'!$B$150)),AS2-$Q2,"")</f>
        <v/>
      </c>
    </row>
    <row r="3" spans="1:46" x14ac:dyDescent="0.3">
      <c r="A3" t="s">
        <v>407</v>
      </c>
      <c r="B3" t="str">
        <f t="shared" si="0"/>
        <v>01</v>
      </c>
      <c r="C3" t="s">
        <v>408</v>
      </c>
      <c r="D3" t="str">
        <f t="shared" si="1"/>
        <v>00</v>
      </c>
      <c r="E3" t="s">
        <v>14</v>
      </c>
      <c r="F3" s="139" t="s">
        <v>15</v>
      </c>
      <c r="G3" t="s">
        <v>16</v>
      </c>
      <c r="H3" s="156">
        <v>651</v>
      </c>
      <c r="I3" s="156">
        <v>651</v>
      </c>
      <c r="J3" s="156">
        <v>651</v>
      </c>
      <c r="K3" s="156">
        <v>651</v>
      </c>
      <c r="L3" s="156">
        <v>651</v>
      </c>
      <c r="M3" s="156">
        <v>651</v>
      </c>
      <c r="N3" s="156">
        <v>651</v>
      </c>
      <c r="O3" s="156">
        <v>651</v>
      </c>
      <c r="P3" s="156">
        <v>651</v>
      </c>
      <c r="Q3" s="156">
        <v>651</v>
      </c>
      <c r="R3" s="156">
        <v>651</v>
      </c>
      <c r="S3" s="156">
        <f t="shared" si="2"/>
        <v>0</v>
      </c>
      <c r="T3" s="156">
        <f t="shared" si="3"/>
        <v>0</v>
      </c>
      <c r="U3" s="140">
        <f t="shared" si="4"/>
        <v>0</v>
      </c>
      <c r="V3" s="140">
        <f t="shared" si="5"/>
        <v>0</v>
      </c>
      <c r="W3" s="140">
        <f t="shared" si="6"/>
        <v>0</v>
      </c>
      <c r="X3" s="140">
        <f t="shared" si="7"/>
        <v>0</v>
      </c>
      <c r="Y3" s="140">
        <f t="shared" si="8"/>
        <v>0</v>
      </c>
      <c r="Z3" s="140">
        <f t="shared" si="9"/>
        <v>0</v>
      </c>
      <c r="AA3" s="140">
        <f t="shared" si="10"/>
        <v>0</v>
      </c>
      <c r="AB3" s="140">
        <f t="shared" si="11"/>
        <v>0</v>
      </c>
      <c r="AC3" s="140">
        <f t="shared" si="12"/>
        <v>0</v>
      </c>
      <c r="AD3" s="140">
        <f t="shared" si="13"/>
        <v>0</v>
      </c>
      <c r="AE3" s="140">
        <f t="shared" si="14"/>
        <v>0</v>
      </c>
      <c r="AF3" s="140">
        <f t="shared" si="15"/>
        <v>0</v>
      </c>
      <c r="AG3" s="140">
        <f t="shared" si="16"/>
        <v>0</v>
      </c>
      <c r="AH3" s="140">
        <f t="shared" si="17"/>
        <v>0</v>
      </c>
      <c r="AI3" s="140">
        <f t="shared" si="18"/>
        <v>0</v>
      </c>
      <c r="AJ3" s="140">
        <f t="shared" si="19"/>
        <v>0</v>
      </c>
      <c r="AK3" s="140">
        <f t="shared" si="20"/>
        <v>0</v>
      </c>
      <c r="AL3" s="140">
        <f t="shared" si="21"/>
        <v>0</v>
      </c>
      <c r="AM3" t="str">
        <f t="shared" si="22"/>
        <v>4220-000: FICA Benefits</v>
      </c>
      <c r="AN3" s="140">
        <f t="shared" ref="AN3:AN66" si="23">IFERROR(AVERAGE(Y3, AA3, AC3), 0)</f>
        <v>0</v>
      </c>
      <c r="AO3" s="140">
        <f t="shared" ref="AO3:AO66" si="24">IF($AG3="", 0-AN3, $AG3-AN3)</f>
        <v>0</v>
      </c>
      <c r="AP3" s="1" t="str">
        <f>IF(AND(AO3&gt;0, _xlfn.XLOOKUP($AM3, Discretionaries!$A$2:'Discretionaries'!$A$150, Discretionaries!$B$2:'Discretionaries'!$B$150)), (1+AN3)*$N3, "")</f>
        <v/>
      </c>
      <c r="AQ3" s="1" t="str">
        <f>IF(AND(AO3&gt;0, _xlfn.XLOOKUP($AM3, Discretionaries!$A$2:'Discretionaries'!$A$150, Discretionaries!$B$2:'Discretionaries'!$B$150)),AP3-$Q3,"")</f>
        <v/>
      </c>
      <c r="AR3" s="140">
        <f>IF(AG3="", 0-CPI!$B$15, AG3-CPI!$B$15)</f>
        <v>-3.8999999999999993E-2</v>
      </c>
      <c r="AS3" s="1" t="str">
        <f>IF(AND(AR3&gt;0, _xlfn.XLOOKUP($AM3, Discretionaries!$A$2:'Discretionaries'!$A$150, Discretionaries!$B$2:'Discretionaries'!$B$150)), (1+CPI!$B$15)*$N3, "")</f>
        <v/>
      </c>
      <c r="AT3" s="1" t="str">
        <f>IF(AND(AR3&gt;0, _xlfn.XLOOKUP($AM3, Discretionaries!$A$2:'Discretionaries'!$A$150, Discretionaries!$B$2:'Discretionaries'!$B$150)),AS3-$Q3,"")</f>
        <v/>
      </c>
    </row>
    <row r="4" spans="1:46" x14ac:dyDescent="0.3">
      <c r="A4" t="s">
        <v>407</v>
      </c>
      <c r="B4" t="str">
        <f t="shared" si="0"/>
        <v>01</v>
      </c>
      <c r="C4" t="s">
        <v>408</v>
      </c>
      <c r="D4" t="str">
        <f t="shared" si="1"/>
        <v>00</v>
      </c>
      <c r="E4" t="s">
        <v>14</v>
      </c>
      <c r="F4" s="139" t="s">
        <v>17</v>
      </c>
      <c r="G4" t="s">
        <v>18</v>
      </c>
      <c r="H4" s="156">
        <v>153</v>
      </c>
      <c r="I4" s="156">
        <v>152.25</v>
      </c>
      <c r="J4" s="156">
        <v>153</v>
      </c>
      <c r="K4" s="156">
        <v>152.25</v>
      </c>
      <c r="L4" s="156">
        <v>153</v>
      </c>
      <c r="M4" s="156">
        <v>152.25</v>
      </c>
      <c r="N4" s="156">
        <v>153</v>
      </c>
      <c r="O4" s="156">
        <v>153</v>
      </c>
      <c r="P4" s="156">
        <v>153</v>
      </c>
      <c r="Q4" s="156">
        <v>153</v>
      </c>
      <c r="R4" s="156">
        <v>153</v>
      </c>
      <c r="S4" s="156">
        <f t="shared" si="2"/>
        <v>0</v>
      </c>
      <c r="T4" s="156">
        <f t="shared" si="3"/>
        <v>0</v>
      </c>
      <c r="U4" s="140">
        <f t="shared" si="4"/>
        <v>0</v>
      </c>
      <c r="V4" s="140">
        <f t="shared" si="5"/>
        <v>-4.9019607843137254E-3</v>
      </c>
      <c r="W4" s="140">
        <f t="shared" si="6"/>
        <v>-4.9019607843137254E-3</v>
      </c>
      <c r="X4" s="140">
        <f t="shared" si="7"/>
        <v>-4.9019607843137254E-3</v>
      </c>
      <c r="Y4" s="140">
        <f t="shared" si="8"/>
        <v>0</v>
      </c>
      <c r="Z4" s="140">
        <f t="shared" si="9"/>
        <v>0</v>
      </c>
      <c r="AA4" s="140">
        <f t="shared" si="10"/>
        <v>0</v>
      </c>
      <c r="AB4" s="140">
        <f t="shared" si="11"/>
        <v>0</v>
      </c>
      <c r="AC4" s="140">
        <f t="shared" si="12"/>
        <v>0</v>
      </c>
      <c r="AD4" s="140">
        <f t="shared" si="13"/>
        <v>0</v>
      </c>
      <c r="AE4" s="140">
        <f t="shared" si="14"/>
        <v>0</v>
      </c>
      <c r="AF4" s="140">
        <f t="shared" si="15"/>
        <v>0</v>
      </c>
      <c r="AG4" s="140">
        <f t="shared" si="16"/>
        <v>0</v>
      </c>
      <c r="AH4" s="140">
        <f t="shared" si="17"/>
        <v>0</v>
      </c>
      <c r="AI4" s="140">
        <f t="shared" si="18"/>
        <v>0</v>
      </c>
      <c r="AJ4" s="140">
        <f t="shared" si="19"/>
        <v>0</v>
      </c>
      <c r="AK4" s="140">
        <f t="shared" si="20"/>
        <v>0</v>
      </c>
      <c r="AL4" s="140">
        <f t="shared" si="21"/>
        <v>0</v>
      </c>
      <c r="AM4" t="str">
        <f t="shared" si="22"/>
        <v>4225-000: Medicare Benefits</v>
      </c>
      <c r="AN4" s="140">
        <f t="shared" si="23"/>
        <v>0</v>
      </c>
      <c r="AO4" s="140">
        <f t="shared" si="24"/>
        <v>0</v>
      </c>
      <c r="AP4" s="1" t="str">
        <f>IF(AND(AO4&gt;0, _xlfn.XLOOKUP($AM4, Discretionaries!$A$2:'Discretionaries'!$A$150, Discretionaries!$B$2:'Discretionaries'!$B$150)), (1+AN4)*$N4, "")</f>
        <v/>
      </c>
      <c r="AQ4" s="1" t="str">
        <f>IF(AND(AO4&gt;0, _xlfn.XLOOKUP($AM4, Discretionaries!$A$2:'Discretionaries'!$A$150, Discretionaries!$B$2:'Discretionaries'!$B$150)),AP4-$Q4,"")</f>
        <v/>
      </c>
      <c r="AR4" s="140">
        <f>IF(AG4="", 0-CPI!$B$15, AG4-CPI!$B$15)</f>
        <v>-3.8999999999999993E-2</v>
      </c>
      <c r="AS4" s="1" t="str">
        <f>IF(AND(AR4&gt;0, _xlfn.XLOOKUP($AM4, Discretionaries!$A$2:'Discretionaries'!$A$150, Discretionaries!$B$2:'Discretionaries'!$B$150)), (1+CPI!$B$15)*$N4, "")</f>
        <v/>
      </c>
      <c r="AT4" s="1" t="str">
        <f>IF(AND(AR4&gt;0, _xlfn.XLOOKUP($AM4, Discretionaries!$A$2:'Discretionaries'!$A$150, Discretionaries!$B$2:'Discretionaries'!$B$150)),AS4-$Q4,"")</f>
        <v/>
      </c>
    </row>
    <row r="5" spans="1:46" x14ac:dyDescent="0.3">
      <c r="A5" t="s">
        <v>407</v>
      </c>
      <c r="B5" t="str">
        <f t="shared" si="0"/>
        <v>01</v>
      </c>
      <c r="C5" t="s">
        <v>408</v>
      </c>
      <c r="D5" t="str">
        <f t="shared" si="1"/>
        <v>00</v>
      </c>
      <c r="E5" t="s">
        <v>14</v>
      </c>
      <c r="F5" s="139" t="s">
        <v>19</v>
      </c>
      <c r="G5" t="s">
        <v>20</v>
      </c>
      <c r="H5" s="156">
        <v>21</v>
      </c>
      <c r="I5" s="156">
        <v>18.77</v>
      </c>
      <c r="J5" s="156">
        <v>22</v>
      </c>
      <c r="K5" s="156">
        <v>22.22</v>
      </c>
      <c r="L5" s="156">
        <v>25</v>
      </c>
      <c r="M5" s="156">
        <v>24.9</v>
      </c>
      <c r="N5" s="156">
        <v>29</v>
      </c>
      <c r="O5" s="156">
        <v>29</v>
      </c>
      <c r="P5" s="156">
        <v>29</v>
      </c>
      <c r="Q5" s="156">
        <v>29</v>
      </c>
      <c r="R5" s="156">
        <v>29</v>
      </c>
      <c r="S5" s="156">
        <f t="shared" si="2"/>
        <v>0</v>
      </c>
      <c r="T5" s="156">
        <f t="shared" si="3"/>
        <v>0</v>
      </c>
      <c r="U5" s="140">
        <f t="shared" si="4"/>
        <v>0</v>
      </c>
      <c r="V5" s="140">
        <f t="shared" si="5"/>
        <v>-0.10619047619047621</v>
      </c>
      <c r="W5" s="140">
        <f t="shared" si="6"/>
        <v>9.9999999999999482E-3</v>
      </c>
      <c r="X5" s="140">
        <f t="shared" si="7"/>
        <v>-4.0000000000000565E-3</v>
      </c>
      <c r="Y5" s="140">
        <f t="shared" si="8"/>
        <v>4.7619047619047616E-2</v>
      </c>
      <c r="Z5" s="140">
        <f t="shared" si="9"/>
        <v>0.18380394246137449</v>
      </c>
      <c r="AA5" s="140">
        <f t="shared" si="10"/>
        <v>0.13636363636363635</v>
      </c>
      <c r="AB5" s="140">
        <f t="shared" si="11"/>
        <v>0.1206120612061206</v>
      </c>
      <c r="AC5" s="140">
        <f t="shared" si="12"/>
        <v>0.16</v>
      </c>
      <c r="AD5" s="140">
        <f t="shared" si="13"/>
        <v>0.38095238095238093</v>
      </c>
      <c r="AE5" s="140">
        <f t="shared" si="14"/>
        <v>0</v>
      </c>
      <c r="AF5" s="140">
        <f t="shared" si="15"/>
        <v>0</v>
      </c>
      <c r="AG5" s="140">
        <f t="shared" si="16"/>
        <v>0</v>
      </c>
      <c r="AH5" s="140">
        <f t="shared" si="17"/>
        <v>0</v>
      </c>
      <c r="AI5" s="140">
        <f t="shared" si="18"/>
        <v>0.38095238095238093</v>
      </c>
      <c r="AJ5" s="140">
        <f t="shared" si="19"/>
        <v>0.38095238095238093</v>
      </c>
      <c r="AK5" s="140">
        <f t="shared" si="20"/>
        <v>0.38095238095238093</v>
      </c>
      <c r="AL5" s="140">
        <f t="shared" si="21"/>
        <v>0.38095238095238093</v>
      </c>
      <c r="AM5" t="str">
        <f t="shared" si="22"/>
        <v>4260-000: Workers' comp Benefits</v>
      </c>
      <c r="AN5" s="140">
        <f t="shared" si="23"/>
        <v>0.11466089466089464</v>
      </c>
      <c r="AO5" s="140">
        <f t="shared" si="24"/>
        <v>-0.11466089466089464</v>
      </c>
      <c r="AP5" s="1" t="str">
        <f>IF(AND(AO5&gt;0, _xlfn.XLOOKUP($AM5, Discretionaries!$A$2:'Discretionaries'!$A$150, Discretionaries!$B$2:'Discretionaries'!$B$150)), (1+AN5)*$N5, "")</f>
        <v/>
      </c>
      <c r="AQ5" s="1" t="str">
        <f>IF(AND(AO5&gt;0, _xlfn.XLOOKUP($AM5, Discretionaries!$A$2:'Discretionaries'!$A$150, Discretionaries!$B$2:'Discretionaries'!$B$150)),AP5-$Q5,"")</f>
        <v/>
      </c>
      <c r="AR5" s="140">
        <f>IF(AG5="", 0-CPI!$B$15, AG5-CPI!$B$15)</f>
        <v>-3.8999999999999993E-2</v>
      </c>
      <c r="AS5" s="1" t="str">
        <f>IF(AND(AR5&gt;0, _xlfn.XLOOKUP($AM5, Discretionaries!$A$2:'Discretionaries'!$A$150, Discretionaries!$B$2:'Discretionaries'!$B$150)), (1+CPI!$B$15)*$N5, "")</f>
        <v/>
      </c>
      <c r="AT5" s="1" t="str">
        <f>IF(AND(AR5&gt;0, _xlfn.XLOOKUP($AM5, Discretionaries!$A$2:'Discretionaries'!$A$150, Discretionaries!$B$2:'Discretionaries'!$B$150)),AS5-$Q5,"")</f>
        <v/>
      </c>
    </row>
    <row r="6" spans="1:46" x14ac:dyDescent="0.3">
      <c r="A6" t="s">
        <v>407</v>
      </c>
      <c r="B6" t="str">
        <f t="shared" si="0"/>
        <v>01</v>
      </c>
      <c r="C6" t="s">
        <v>408</v>
      </c>
      <c r="D6" t="str">
        <f t="shared" si="1"/>
        <v>00</v>
      </c>
      <c r="E6" t="s">
        <v>21</v>
      </c>
      <c r="F6" s="139" t="s">
        <v>22</v>
      </c>
      <c r="G6" t="s">
        <v>23</v>
      </c>
      <c r="H6" s="156">
        <v>0</v>
      </c>
      <c r="I6" s="156">
        <v>0</v>
      </c>
      <c r="J6" s="156">
        <v>0</v>
      </c>
      <c r="K6" s="156">
        <v>0</v>
      </c>
      <c r="L6" s="156">
        <v>0</v>
      </c>
      <c r="M6" s="156">
        <v>0</v>
      </c>
      <c r="N6" s="156">
        <v>0</v>
      </c>
      <c r="O6" s="156">
        <v>3840</v>
      </c>
      <c r="P6" s="156">
        <v>3840</v>
      </c>
      <c r="Q6" s="156">
        <v>3840</v>
      </c>
      <c r="R6" s="156">
        <v>0</v>
      </c>
      <c r="S6" s="156">
        <f t="shared" si="2"/>
        <v>3840</v>
      </c>
      <c r="T6" s="156">
        <f t="shared" si="3"/>
        <v>3840</v>
      </c>
      <c r="U6" s="140" t="str">
        <f t="shared" si="4"/>
        <v/>
      </c>
      <c r="V6" s="140" t="str">
        <f t="shared" si="5"/>
        <v/>
      </c>
      <c r="W6" s="140" t="str">
        <f t="shared" si="6"/>
        <v/>
      </c>
      <c r="X6" s="140" t="str">
        <f t="shared" si="7"/>
        <v/>
      </c>
      <c r="Y6" s="140" t="str">
        <f t="shared" si="8"/>
        <v/>
      </c>
      <c r="Z6" s="140" t="str">
        <f t="shared" si="9"/>
        <v/>
      </c>
      <c r="AA6" s="140" t="str">
        <f t="shared" si="10"/>
        <v/>
      </c>
      <c r="AB6" s="140" t="str">
        <f t="shared" si="11"/>
        <v/>
      </c>
      <c r="AC6" s="140" t="str">
        <f t="shared" si="12"/>
        <v/>
      </c>
      <c r="AD6" s="140" t="str">
        <f t="shared" si="13"/>
        <v/>
      </c>
      <c r="AE6" s="140" t="str">
        <f t="shared" si="14"/>
        <v/>
      </c>
      <c r="AF6" s="140" t="str">
        <f t="shared" si="15"/>
        <v/>
      </c>
      <c r="AG6" s="140" t="str">
        <f t="shared" si="16"/>
        <v/>
      </c>
      <c r="AH6" s="140" t="str">
        <f t="shared" si="17"/>
        <v/>
      </c>
      <c r="AI6" s="140" t="str">
        <f t="shared" si="18"/>
        <v/>
      </c>
      <c r="AJ6" s="140" t="str">
        <f t="shared" si="19"/>
        <v/>
      </c>
      <c r="AK6" s="140" t="str">
        <f t="shared" si="20"/>
        <v/>
      </c>
      <c r="AL6" s="140" t="str">
        <f t="shared" si="21"/>
        <v/>
      </c>
      <c r="AM6" t="str">
        <f t="shared" si="22"/>
        <v>4550-000: Printing Services</v>
      </c>
      <c r="AN6" s="140">
        <f t="shared" si="23"/>
        <v>0</v>
      </c>
      <c r="AO6" s="140">
        <f t="shared" si="24"/>
        <v>0</v>
      </c>
      <c r="AP6" s="1" t="str">
        <f>IF(AND(AO6&gt;0, _xlfn.XLOOKUP($AM6, Discretionaries!$A$2:'Discretionaries'!$A$150, Discretionaries!$B$2:'Discretionaries'!$B$150)), (1+AN6)*$N6, "")</f>
        <v/>
      </c>
      <c r="AQ6" s="1" t="str">
        <f>IF(AND(AO6&gt;0, _xlfn.XLOOKUP($AM6, Discretionaries!$A$2:'Discretionaries'!$A$150, Discretionaries!$B$2:'Discretionaries'!$B$150)),AP6-$Q6,"")</f>
        <v/>
      </c>
      <c r="AR6" s="140">
        <f>IF(AG6="", 0-CPI!$B$15, AG6-CPI!$B$15)</f>
        <v>-3.8999999999999993E-2</v>
      </c>
      <c r="AS6" s="1" t="str">
        <f>IF(AND(AR6&gt;0, _xlfn.XLOOKUP($AM6, Discretionaries!$A$2:'Discretionaries'!$A$150, Discretionaries!$B$2:'Discretionaries'!$B$150)), (1+CPI!$B$15)*$N6, "")</f>
        <v/>
      </c>
      <c r="AT6" s="1" t="str">
        <f>IF(AND(AR6&gt;0, _xlfn.XLOOKUP($AM6, Discretionaries!$A$2:'Discretionaries'!$A$150, Discretionaries!$B$2:'Discretionaries'!$B$150)),AS6-$Q6,"")</f>
        <v/>
      </c>
    </row>
    <row r="7" spans="1:46" x14ac:dyDescent="0.3">
      <c r="A7" t="s">
        <v>407</v>
      </c>
      <c r="B7" t="str">
        <f t="shared" si="0"/>
        <v>01</v>
      </c>
      <c r="C7" t="s">
        <v>408</v>
      </c>
      <c r="D7" t="str">
        <f t="shared" si="1"/>
        <v>00</v>
      </c>
      <c r="E7" t="s">
        <v>21</v>
      </c>
      <c r="F7" s="139" t="s">
        <v>24</v>
      </c>
      <c r="G7" t="s">
        <v>25</v>
      </c>
      <c r="H7" s="156">
        <v>0</v>
      </c>
      <c r="I7" s="156">
        <v>0</v>
      </c>
      <c r="J7" s="156">
        <v>0</v>
      </c>
      <c r="K7" s="156">
        <v>0</v>
      </c>
      <c r="L7" s="156">
        <v>0</v>
      </c>
      <c r="M7" s="156">
        <v>0</v>
      </c>
      <c r="N7" s="156">
        <v>0</v>
      </c>
      <c r="O7" s="156">
        <v>750</v>
      </c>
      <c r="P7" s="156">
        <v>750</v>
      </c>
      <c r="Q7" s="156">
        <v>750</v>
      </c>
      <c r="R7" s="156">
        <v>0</v>
      </c>
      <c r="S7" s="156">
        <f t="shared" si="2"/>
        <v>750</v>
      </c>
      <c r="T7" s="156">
        <f t="shared" si="3"/>
        <v>750</v>
      </c>
      <c r="U7" s="140" t="str">
        <f t="shared" si="4"/>
        <v/>
      </c>
      <c r="V7" s="140" t="str">
        <f t="shared" si="5"/>
        <v/>
      </c>
      <c r="W7" s="140" t="str">
        <f t="shared" si="6"/>
        <v/>
      </c>
      <c r="X7" s="140" t="str">
        <f t="shared" si="7"/>
        <v/>
      </c>
      <c r="Y7" s="140" t="str">
        <f t="shared" si="8"/>
        <v/>
      </c>
      <c r="Z7" s="140" t="str">
        <f t="shared" si="9"/>
        <v/>
      </c>
      <c r="AA7" s="140" t="str">
        <f t="shared" si="10"/>
        <v/>
      </c>
      <c r="AB7" s="140" t="str">
        <f t="shared" si="11"/>
        <v/>
      </c>
      <c r="AC7" s="140" t="str">
        <f t="shared" si="12"/>
        <v/>
      </c>
      <c r="AD7" s="140" t="str">
        <f t="shared" si="13"/>
        <v/>
      </c>
      <c r="AE7" s="140" t="str">
        <f t="shared" si="14"/>
        <v/>
      </c>
      <c r="AF7" s="140" t="str">
        <f t="shared" si="15"/>
        <v/>
      </c>
      <c r="AG7" s="140" t="str">
        <f t="shared" si="16"/>
        <v/>
      </c>
      <c r="AH7" s="140" t="str">
        <f t="shared" si="17"/>
        <v/>
      </c>
      <c r="AI7" s="140" t="str">
        <f t="shared" si="18"/>
        <v/>
      </c>
      <c r="AJ7" s="140" t="str">
        <f t="shared" si="19"/>
        <v/>
      </c>
      <c r="AK7" s="140" t="str">
        <f t="shared" si="20"/>
        <v/>
      </c>
      <c r="AL7" s="140" t="str">
        <f t="shared" si="21"/>
        <v/>
      </c>
      <c r="AM7" t="str">
        <f t="shared" si="22"/>
        <v>4570-000: Sem &amp; workshops Services</v>
      </c>
      <c r="AN7" s="140">
        <f t="shared" si="23"/>
        <v>0</v>
      </c>
      <c r="AO7" s="140">
        <f t="shared" si="24"/>
        <v>0</v>
      </c>
      <c r="AP7" s="1" t="str">
        <f>IF(AND(AO7&gt;0, _xlfn.XLOOKUP($AM7, Discretionaries!$A$2:'Discretionaries'!$A$150, Discretionaries!$B$2:'Discretionaries'!$B$150)), (1+AN7)*$N7, "")</f>
        <v/>
      </c>
      <c r="AQ7" s="1" t="str">
        <f>IF(AND(AO7&gt;0, _xlfn.XLOOKUP($AM7, Discretionaries!$A$2:'Discretionaries'!$A$150, Discretionaries!$B$2:'Discretionaries'!$B$150)),AP7-$Q7,"")</f>
        <v/>
      </c>
      <c r="AR7" s="140">
        <f>IF(AG7="", 0-CPI!$B$15, AG7-CPI!$B$15)</f>
        <v>-3.8999999999999993E-2</v>
      </c>
      <c r="AS7" s="1" t="str">
        <f>IF(AND(AR7&gt;0, _xlfn.XLOOKUP($AM7, Discretionaries!$A$2:'Discretionaries'!$A$150, Discretionaries!$B$2:'Discretionaries'!$B$150)), (1+CPI!$B$15)*$N7, "")</f>
        <v/>
      </c>
      <c r="AT7" s="1" t="str">
        <f>IF(AND(AR7&gt;0, _xlfn.XLOOKUP($AM7, Discretionaries!$A$2:'Discretionaries'!$A$150, Discretionaries!$B$2:'Discretionaries'!$B$150)),AS7-$Q7,"")</f>
        <v/>
      </c>
    </row>
    <row r="8" spans="1:46" x14ac:dyDescent="0.3">
      <c r="A8" t="s">
        <v>407</v>
      </c>
      <c r="B8" t="str">
        <f t="shared" si="0"/>
        <v>01</v>
      </c>
      <c r="C8" t="s">
        <v>408</v>
      </c>
      <c r="D8" t="str">
        <f t="shared" si="1"/>
        <v>00</v>
      </c>
      <c r="E8" t="s">
        <v>21</v>
      </c>
      <c r="F8" s="139" t="s">
        <v>26</v>
      </c>
      <c r="G8" t="s">
        <v>27</v>
      </c>
      <c r="H8" s="156">
        <v>0</v>
      </c>
      <c r="I8" s="156">
        <v>0</v>
      </c>
      <c r="J8" s="156">
        <v>0</v>
      </c>
      <c r="K8" s="156">
        <v>0</v>
      </c>
      <c r="L8" s="156">
        <v>0</v>
      </c>
      <c r="M8" s="156">
        <v>0</v>
      </c>
      <c r="N8" s="156">
        <v>0</v>
      </c>
      <c r="O8" s="156">
        <v>500</v>
      </c>
      <c r="P8" s="156">
        <v>500</v>
      </c>
      <c r="Q8" s="156">
        <v>500</v>
      </c>
      <c r="R8" s="156">
        <v>0</v>
      </c>
      <c r="S8" s="156">
        <f t="shared" si="2"/>
        <v>500</v>
      </c>
      <c r="T8" s="156">
        <f t="shared" si="3"/>
        <v>500</v>
      </c>
      <c r="U8" s="140" t="str">
        <f t="shared" si="4"/>
        <v/>
      </c>
      <c r="V8" s="140" t="str">
        <f t="shared" si="5"/>
        <v/>
      </c>
      <c r="W8" s="140" t="str">
        <f t="shared" si="6"/>
        <v/>
      </c>
      <c r="X8" s="140" t="str">
        <f t="shared" si="7"/>
        <v/>
      </c>
      <c r="Y8" s="140" t="str">
        <f t="shared" si="8"/>
        <v/>
      </c>
      <c r="Z8" s="140" t="str">
        <f t="shared" si="9"/>
        <v/>
      </c>
      <c r="AA8" s="140" t="str">
        <f t="shared" si="10"/>
        <v/>
      </c>
      <c r="AB8" s="140" t="str">
        <f t="shared" si="11"/>
        <v/>
      </c>
      <c r="AC8" s="140" t="str">
        <f t="shared" si="12"/>
        <v/>
      </c>
      <c r="AD8" s="140" t="str">
        <f t="shared" si="13"/>
        <v/>
      </c>
      <c r="AE8" s="140" t="str">
        <f t="shared" si="14"/>
        <v/>
      </c>
      <c r="AF8" s="140" t="str">
        <f t="shared" si="15"/>
        <v/>
      </c>
      <c r="AG8" s="140" t="str">
        <f t="shared" si="16"/>
        <v/>
      </c>
      <c r="AH8" s="140" t="str">
        <f t="shared" si="17"/>
        <v/>
      </c>
      <c r="AI8" s="140" t="str">
        <f t="shared" si="18"/>
        <v/>
      </c>
      <c r="AJ8" s="140" t="str">
        <f t="shared" si="19"/>
        <v/>
      </c>
      <c r="AK8" s="140" t="str">
        <f t="shared" si="20"/>
        <v/>
      </c>
      <c r="AL8" s="140" t="str">
        <f t="shared" si="21"/>
        <v/>
      </c>
      <c r="AM8" t="str">
        <f t="shared" si="22"/>
        <v>4575-000: Travel &amp; mileage Services</v>
      </c>
      <c r="AN8" s="140">
        <f t="shared" si="23"/>
        <v>0</v>
      </c>
      <c r="AO8" s="140">
        <f t="shared" si="24"/>
        <v>0</v>
      </c>
      <c r="AP8" s="1" t="str">
        <f>IF(AND(AO8&gt;0, _xlfn.XLOOKUP($AM8, Discretionaries!$A$2:'Discretionaries'!$A$150, Discretionaries!$B$2:'Discretionaries'!$B$150)), (1+AN8)*$N8, "")</f>
        <v/>
      </c>
      <c r="AQ8" s="1" t="str">
        <f>IF(AND(AO8&gt;0, _xlfn.XLOOKUP($AM8, Discretionaries!$A$2:'Discretionaries'!$A$150, Discretionaries!$B$2:'Discretionaries'!$B$150)),AP8-$Q8,"")</f>
        <v/>
      </c>
      <c r="AR8" s="140">
        <f>IF(AG8="", 0-CPI!$B$15, AG8-CPI!$B$15)</f>
        <v>-3.8999999999999993E-2</v>
      </c>
      <c r="AS8" s="1" t="str">
        <f>IF(AND(AR8&gt;0, _xlfn.XLOOKUP($AM8, Discretionaries!$A$2:'Discretionaries'!$A$150, Discretionaries!$B$2:'Discretionaries'!$B$150)), (1+CPI!$B$15)*$N8, "")</f>
        <v/>
      </c>
      <c r="AT8" s="1" t="str">
        <f>IF(AND(AR8&gt;0, _xlfn.XLOOKUP($AM8, Discretionaries!$A$2:'Discretionaries'!$A$150, Discretionaries!$B$2:'Discretionaries'!$B$150)),AS8-$Q8,"")</f>
        <v/>
      </c>
    </row>
    <row r="9" spans="1:46" x14ac:dyDescent="0.3">
      <c r="A9" t="s">
        <v>407</v>
      </c>
      <c r="B9" t="str">
        <f t="shared" si="0"/>
        <v>01</v>
      </c>
      <c r="C9" t="s">
        <v>408</v>
      </c>
      <c r="D9" t="str">
        <f t="shared" si="1"/>
        <v>00</v>
      </c>
      <c r="E9" t="s">
        <v>21</v>
      </c>
      <c r="F9" s="139" t="s">
        <v>28</v>
      </c>
      <c r="G9" t="s">
        <v>29</v>
      </c>
      <c r="H9" s="156">
        <v>1000</v>
      </c>
      <c r="I9" s="156">
        <v>3106.92</v>
      </c>
      <c r="J9" s="156">
        <v>1000</v>
      </c>
      <c r="K9" s="156">
        <v>863.5</v>
      </c>
      <c r="L9" s="156">
        <v>1000</v>
      </c>
      <c r="M9" s="156">
        <v>591.22</v>
      </c>
      <c r="N9" s="156">
        <v>1000</v>
      </c>
      <c r="O9" s="156">
        <v>0</v>
      </c>
      <c r="P9" s="156">
        <v>0</v>
      </c>
      <c r="Q9" s="156">
        <v>0</v>
      </c>
      <c r="R9" s="156">
        <v>1000</v>
      </c>
      <c r="S9" s="156">
        <f t="shared" si="2"/>
        <v>-1000</v>
      </c>
      <c r="T9" s="156">
        <f t="shared" si="3"/>
        <v>-1000</v>
      </c>
      <c r="U9" s="140">
        <f t="shared" si="4"/>
        <v>-1</v>
      </c>
      <c r="V9" s="140">
        <f t="shared" si="5"/>
        <v>2.1069200000000001</v>
      </c>
      <c r="W9" s="140">
        <f t="shared" si="6"/>
        <v>-0.13650000000000001</v>
      </c>
      <c r="X9" s="140">
        <f t="shared" si="7"/>
        <v>-0.40877999999999998</v>
      </c>
      <c r="Y9" s="140">
        <f t="shared" si="8"/>
        <v>0</v>
      </c>
      <c r="Z9" s="140">
        <f t="shared" si="9"/>
        <v>-0.72207201987820735</v>
      </c>
      <c r="AA9" s="140">
        <f t="shared" si="10"/>
        <v>0</v>
      </c>
      <c r="AB9" s="140">
        <f t="shared" si="11"/>
        <v>-0.31532136653155757</v>
      </c>
      <c r="AC9" s="140">
        <f t="shared" si="12"/>
        <v>0</v>
      </c>
      <c r="AD9" s="140">
        <f t="shared" si="13"/>
        <v>0</v>
      </c>
      <c r="AE9" s="140">
        <f t="shared" si="14"/>
        <v>-1</v>
      </c>
      <c r="AF9" s="140">
        <f t="shared" si="15"/>
        <v>-1</v>
      </c>
      <c r="AG9" s="140">
        <f t="shared" si="16"/>
        <v>-1</v>
      </c>
      <c r="AH9" s="140">
        <f t="shared" si="17"/>
        <v>0</v>
      </c>
      <c r="AI9" s="140">
        <f t="shared" si="18"/>
        <v>-1</v>
      </c>
      <c r="AJ9" s="140">
        <f t="shared" si="19"/>
        <v>-1</v>
      </c>
      <c r="AK9" s="140">
        <f t="shared" si="20"/>
        <v>-1</v>
      </c>
      <c r="AL9" s="140">
        <f t="shared" si="21"/>
        <v>0</v>
      </c>
      <c r="AM9" t="str">
        <f t="shared" si="22"/>
        <v>4330-000: MGMT services Services</v>
      </c>
      <c r="AN9" s="140">
        <f t="shared" si="23"/>
        <v>0</v>
      </c>
      <c r="AO9" s="140">
        <f t="shared" si="24"/>
        <v>-1</v>
      </c>
      <c r="AP9" s="1" t="str">
        <f>IF(AND(AO9&gt;0, _xlfn.XLOOKUP($AM9, Discretionaries!$A$2:'Discretionaries'!$A$150, Discretionaries!$B$2:'Discretionaries'!$B$150)), (1+AN9)*$N9, "")</f>
        <v/>
      </c>
      <c r="AQ9" s="1" t="str">
        <f>IF(AND(AO9&gt;0, _xlfn.XLOOKUP($AM9, Discretionaries!$A$2:'Discretionaries'!$A$150, Discretionaries!$B$2:'Discretionaries'!$B$150)),AP9-$Q9,"")</f>
        <v/>
      </c>
      <c r="AR9" s="140">
        <f>IF(AG9="", 0-CPI!$B$15, AG9-CPI!$B$15)</f>
        <v>-1.0389999999999999</v>
      </c>
      <c r="AS9" s="1" t="str">
        <f>IF(AND(AR9&gt;0, _xlfn.XLOOKUP($AM9, Discretionaries!$A$2:'Discretionaries'!$A$150, Discretionaries!$B$2:'Discretionaries'!$B$150)), (1+CPI!$B$15)*$N9, "")</f>
        <v/>
      </c>
      <c r="AT9" s="1" t="str">
        <f>IF(AND(AR9&gt;0, _xlfn.XLOOKUP($AM9, Discretionaries!$A$2:'Discretionaries'!$A$150, Discretionaries!$B$2:'Discretionaries'!$B$150)),AS9-$Q9,"")</f>
        <v/>
      </c>
    </row>
    <row r="10" spans="1:46" x14ac:dyDescent="0.3">
      <c r="A10" t="s">
        <v>407</v>
      </c>
      <c r="B10" t="str">
        <f t="shared" si="0"/>
        <v>01</v>
      </c>
      <c r="C10" t="s">
        <v>408</v>
      </c>
      <c r="D10" t="str">
        <f t="shared" si="1"/>
        <v>00</v>
      </c>
      <c r="E10" t="s">
        <v>30</v>
      </c>
      <c r="F10" s="139" t="s">
        <v>31</v>
      </c>
      <c r="G10" t="s">
        <v>32</v>
      </c>
      <c r="H10" s="156">
        <v>777</v>
      </c>
      <c r="I10" s="156">
        <v>787.79</v>
      </c>
      <c r="J10" s="156">
        <v>777</v>
      </c>
      <c r="K10" s="156">
        <v>1022.4</v>
      </c>
      <c r="L10" s="156">
        <v>777</v>
      </c>
      <c r="M10" s="156">
        <v>2156.75</v>
      </c>
      <c r="N10" s="156">
        <v>737</v>
      </c>
      <c r="O10" s="156">
        <v>1000</v>
      </c>
      <c r="P10" s="156">
        <v>1000</v>
      </c>
      <c r="Q10" s="156">
        <v>1000</v>
      </c>
      <c r="R10" s="156">
        <v>737</v>
      </c>
      <c r="S10" s="156">
        <f t="shared" si="2"/>
        <v>263</v>
      </c>
      <c r="T10" s="156">
        <f t="shared" si="3"/>
        <v>263</v>
      </c>
      <c r="U10" s="140">
        <f t="shared" si="4"/>
        <v>0.35685210312075982</v>
      </c>
      <c r="V10" s="140">
        <f t="shared" si="5"/>
        <v>1.388674388674384E-2</v>
      </c>
      <c r="W10" s="140">
        <f t="shared" si="6"/>
        <v>0.31583011583011578</v>
      </c>
      <c r="X10" s="140">
        <f t="shared" si="7"/>
        <v>1.7757400257400258</v>
      </c>
      <c r="Y10" s="140">
        <f t="shared" si="8"/>
        <v>0</v>
      </c>
      <c r="Z10" s="140">
        <f t="shared" si="9"/>
        <v>0.29780779141649427</v>
      </c>
      <c r="AA10" s="140">
        <f t="shared" si="10"/>
        <v>0</v>
      </c>
      <c r="AB10" s="140">
        <f t="shared" si="11"/>
        <v>1.1094972613458529</v>
      </c>
      <c r="AC10" s="140">
        <f t="shared" si="12"/>
        <v>-5.1480051480051477E-2</v>
      </c>
      <c r="AD10" s="140">
        <f t="shared" si="13"/>
        <v>-5.1480051480051477E-2</v>
      </c>
      <c r="AE10" s="140">
        <f t="shared" si="14"/>
        <v>0.35685210312075982</v>
      </c>
      <c r="AF10" s="140">
        <f t="shared" si="15"/>
        <v>0.35685210312075982</v>
      </c>
      <c r="AG10" s="140">
        <f t="shared" si="16"/>
        <v>0.35685210312075982</v>
      </c>
      <c r="AH10" s="140">
        <f t="shared" si="17"/>
        <v>0</v>
      </c>
      <c r="AI10" s="140">
        <f t="shared" si="18"/>
        <v>0.28700128700128702</v>
      </c>
      <c r="AJ10" s="140">
        <f t="shared" si="19"/>
        <v>0.28700128700128702</v>
      </c>
      <c r="AK10" s="140">
        <f t="shared" si="20"/>
        <v>0.28700128700128702</v>
      </c>
      <c r="AL10" s="140">
        <f t="shared" si="21"/>
        <v>-5.1480051480051477E-2</v>
      </c>
      <c r="AM10" t="str">
        <f t="shared" si="22"/>
        <v>4610-000: General expenses Supplies</v>
      </c>
      <c r="AN10" s="140">
        <f t="shared" si="23"/>
        <v>-1.7160017160017159E-2</v>
      </c>
      <c r="AO10" s="140">
        <f t="shared" si="24"/>
        <v>0.37401212028077696</v>
      </c>
      <c r="AP10" s="1">
        <f>IF(AND(AO10&gt;0, _xlfn.XLOOKUP($AM10, Discretionaries!$A$2:'Discretionaries'!$A$150, Discretionaries!$B$2:'Discretionaries'!$B$150)), (1+AN10)*$N10, "")</f>
        <v>724.35306735306733</v>
      </c>
      <c r="AQ10" s="1">
        <f>IF(AND(AO10&gt;0, _xlfn.XLOOKUP($AM10, Discretionaries!$A$2:'Discretionaries'!$A$150, Discretionaries!$B$2:'Discretionaries'!$B$150)),AP10-$Q10,"")</f>
        <v>-275.64693264693267</v>
      </c>
      <c r="AR10" s="140">
        <f>IF(AG10="", 0-CPI!$B$15, AG10-CPI!$B$15)</f>
        <v>0.31785210312075984</v>
      </c>
      <c r="AS10" s="1">
        <f>IF(AND(AR10&gt;0, _xlfn.XLOOKUP($AM10, Discretionaries!$A$2:'Discretionaries'!$A$150, Discretionaries!$B$2:'Discretionaries'!$B$150)), (1+CPI!$B$15)*$N10, "")</f>
        <v>765.74299999999994</v>
      </c>
      <c r="AT10" s="1">
        <f>IF(AND(AR10&gt;0, _xlfn.XLOOKUP($AM10, Discretionaries!$A$2:'Discretionaries'!$A$150, Discretionaries!$B$2:'Discretionaries'!$B$150)),AS10-$Q10,"")</f>
        <v>-234.25700000000006</v>
      </c>
    </row>
    <row r="11" spans="1:46" x14ac:dyDescent="0.3">
      <c r="A11" t="s">
        <v>407</v>
      </c>
      <c r="B11" t="str">
        <f t="shared" si="0"/>
        <v>01</v>
      </c>
      <c r="C11" t="s">
        <v>408</v>
      </c>
      <c r="D11" t="str">
        <f t="shared" si="1"/>
        <v>00</v>
      </c>
      <c r="E11" t="s">
        <v>30</v>
      </c>
      <c r="F11" s="139" t="s">
        <v>33</v>
      </c>
      <c r="G11" t="s">
        <v>34</v>
      </c>
      <c r="H11" s="156">
        <v>0</v>
      </c>
      <c r="I11" s="156">
        <v>0</v>
      </c>
      <c r="J11" s="156">
        <v>0</v>
      </c>
      <c r="K11" s="156">
        <v>0</v>
      </c>
      <c r="L11" s="156">
        <v>0</v>
      </c>
      <c r="M11" s="156">
        <v>0</v>
      </c>
      <c r="N11" s="156">
        <v>0</v>
      </c>
      <c r="O11" s="156">
        <v>1950</v>
      </c>
      <c r="P11" s="156">
        <v>1950</v>
      </c>
      <c r="Q11" s="156">
        <v>1950</v>
      </c>
      <c r="R11" s="156">
        <v>0</v>
      </c>
      <c r="S11" s="156">
        <f t="shared" si="2"/>
        <v>1950</v>
      </c>
      <c r="T11" s="156">
        <f t="shared" si="3"/>
        <v>1950</v>
      </c>
      <c r="U11" s="140" t="str">
        <f t="shared" si="4"/>
        <v/>
      </c>
      <c r="V11" s="140" t="str">
        <f t="shared" si="5"/>
        <v/>
      </c>
      <c r="W11" s="140" t="str">
        <f t="shared" si="6"/>
        <v/>
      </c>
      <c r="X11" s="140" t="str">
        <f t="shared" si="7"/>
        <v/>
      </c>
      <c r="Y11" s="140" t="str">
        <f t="shared" si="8"/>
        <v/>
      </c>
      <c r="Z11" s="140" t="str">
        <f t="shared" si="9"/>
        <v/>
      </c>
      <c r="AA11" s="140" t="str">
        <f t="shared" si="10"/>
        <v/>
      </c>
      <c r="AB11" s="140" t="str">
        <f t="shared" si="11"/>
        <v/>
      </c>
      <c r="AC11" s="140" t="str">
        <f t="shared" si="12"/>
        <v/>
      </c>
      <c r="AD11" s="140" t="str">
        <f t="shared" si="13"/>
        <v/>
      </c>
      <c r="AE11" s="140" t="str">
        <f t="shared" si="14"/>
        <v/>
      </c>
      <c r="AF11" s="140" t="str">
        <f t="shared" si="15"/>
        <v/>
      </c>
      <c r="AG11" s="140" t="str">
        <f t="shared" si="16"/>
        <v/>
      </c>
      <c r="AH11" s="140" t="str">
        <f t="shared" si="17"/>
        <v/>
      </c>
      <c r="AI11" s="140" t="str">
        <f t="shared" si="18"/>
        <v/>
      </c>
      <c r="AJ11" s="140" t="str">
        <f t="shared" si="19"/>
        <v/>
      </c>
      <c r="AK11" s="140" t="str">
        <f t="shared" si="20"/>
        <v/>
      </c>
      <c r="AL11" s="140" t="str">
        <f t="shared" si="21"/>
        <v/>
      </c>
      <c r="AM11" t="str">
        <f t="shared" si="22"/>
        <v>4680-000: Dept. expense Supplies</v>
      </c>
      <c r="AN11" s="140">
        <f t="shared" si="23"/>
        <v>0</v>
      </c>
      <c r="AO11" s="140">
        <f t="shared" si="24"/>
        <v>0</v>
      </c>
      <c r="AP11" s="1" t="str">
        <f>IF(AND(AO11&gt;0, _xlfn.XLOOKUP($AM11, Discretionaries!$A$2:'Discretionaries'!$A$150, Discretionaries!$B$2:'Discretionaries'!$B$150)), (1+AN11)*$N11, "")</f>
        <v/>
      </c>
      <c r="AQ11" s="1" t="str">
        <f>IF(AND(AO11&gt;0, _xlfn.XLOOKUP($AM11, Discretionaries!$A$2:'Discretionaries'!$A$150, Discretionaries!$B$2:'Discretionaries'!$B$150)),AP11-$Q11,"")</f>
        <v/>
      </c>
      <c r="AR11" s="140">
        <f>IF(AG11="", 0-CPI!$B$15, AG11-CPI!$B$15)</f>
        <v>-3.8999999999999993E-2</v>
      </c>
      <c r="AS11" s="1" t="str">
        <f>IF(AND(AR11&gt;0, _xlfn.XLOOKUP($AM11, Discretionaries!$A$2:'Discretionaries'!$A$150, Discretionaries!$B$2:'Discretionaries'!$B$150)), (1+CPI!$B$15)*$N11, "")</f>
        <v/>
      </c>
      <c r="AT11" s="1" t="str">
        <f>IF(AND(AR11&gt;0, _xlfn.XLOOKUP($AM11, Discretionaries!$A$2:'Discretionaries'!$A$150, Discretionaries!$B$2:'Discretionaries'!$B$150)),AS11-$Q11,"")</f>
        <v/>
      </c>
    </row>
    <row r="12" spans="1:46" x14ac:dyDescent="0.3">
      <c r="A12" t="s">
        <v>409</v>
      </c>
      <c r="B12" t="str">
        <f t="shared" si="0"/>
        <v>02</v>
      </c>
      <c r="C12" t="s">
        <v>408</v>
      </c>
      <c r="D12" t="str">
        <f t="shared" si="1"/>
        <v>00</v>
      </c>
      <c r="E12" t="s">
        <v>11</v>
      </c>
      <c r="F12" s="139" t="s">
        <v>35</v>
      </c>
      <c r="G12" t="s">
        <v>36</v>
      </c>
      <c r="H12" s="156">
        <v>290520</v>
      </c>
      <c r="I12" s="156">
        <v>369996.1</v>
      </c>
      <c r="J12" s="156">
        <v>417393</v>
      </c>
      <c r="K12" s="156">
        <v>484970.23</v>
      </c>
      <c r="L12" s="156">
        <v>538153</v>
      </c>
      <c r="M12" s="156">
        <v>518022.65</v>
      </c>
      <c r="N12" s="156">
        <v>598233</v>
      </c>
      <c r="O12" s="156">
        <v>538574</v>
      </c>
      <c r="P12" s="156">
        <v>538574</v>
      </c>
      <c r="Q12" s="156">
        <v>538574</v>
      </c>
      <c r="R12" s="156">
        <v>538574</v>
      </c>
      <c r="S12" s="156">
        <f t="shared" si="2"/>
        <v>-59659</v>
      </c>
      <c r="T12" s="156">
        <f t="shared" si="3"/>
        <v>0</v>
      </c>
      <c r="U12" s="140">
        <f t="shared" si="4"/>
        <v>-9.9725357845521723E-2</v>
      </c>
      <c r="V12" s="140">
        <f t="shared" si="5"/>
        <v>0.27356498692000542</v>
      </c>
      <c r="W12" s="140">
        <f t="shared" si="6"/>
        <v>0.16190312247689823</v>
      </c>
      <c r="X12" s="140">
        <f t="shared" si="7"/>
        <v>-3.7406369564045867E-2</v>
      </c>
      <c r="Y12" s="140">
        <f t="shared" si="8"/>
        <v>0.43671003717472118</v>
      </c>
      <c r="Z12" s="140">
        <f t="shared" si="9"/>
        <v>0.31074416730338511</v>
      </c>
      <c r="AA12" s="140">
        <f t="shared" si="10"/>
        <v>0.28931965797222281</v>
      </c>
      <c r="AB12" s="140">
        <f t="shared" si="11"/>
        <v>6.815350294800579E-2</v>
      </c>
      <c r="AC12" s="140">
        <f t="shared" si="12"/>
        <v>0.11164111321501506</v>
      </c>
      <c r="AD12" s="140">
        <f t="shared" si="13"/>
        <v>1.0591800908715407</v>
      </c>
      <c r="AE12" s="140">
        <f t="shared" si="14"/>
        <v>-9.9725357845521723E-2</v>
      </c>
      <c r="AF12" s="140">
        <f t="shared" si="15"/>
        <v>-9.9725357845521723E-2</v>
      </c>
      <c r="AG12" s="140">
        <f t="shared" si="16"/>
        <v>-9.9725357845521723E-2</v>
      </c>
      <c r="AH12" s="140">
        <f t="shared" si="17"/>
        <v>-9.9725357845521723E-2</v>
      </c>
      <c r="AI12" s="140">
        <f t="shared" si="18"/>
        <v>0.85382761944100238</v>
      </c>
      <c r="AJ12" s="140">
        <f t="shared" si="19"/>
        <v>0.85382761944100238</v>
      </c>
      <c r="AK12" s="140">
        <f t="shared" si="20"/>
        <v>0.85382761944100238</v>
      </c>
      <c r="AL12" s="140">
        <f t="shared" si="21"/>
        <v>0.85382761944100238</v>
      </c>
      <c r="AM12" t="str">
        <f t="shared" si="22"/>
        <v>4110-000: Regular Salaries</v>
      </c>
      <c r="AN12" s="140">
        <f t="shared" si="23"/>
        <v>0.27922360278731967</v>
      </c>
      <c r="AO12" s="140">
        <f t="shared" si="24"/>
        <v>-0.37894896063284139</v>
      </c>
      <c r="AP12" s="1" t="str">
        <f>IF(AND(AO12&gt;0, _xlfn.XLOOKUP($AM12, Discretionaries!$A$2:'Discretionaries'!$A$150, Discretionaries!$B$2:'Discretionaries'!$B$150)), (1+AN12)*$N12, "")</f>
        <v/>
      </c>
      <c r="AQ12" s="1" t="str">
        <f>IF(AND(AO12&gt;0, _xlfn.XLOOKUP($AM12, Discretionaries!$A$2:'Discretionaries'!$A$150, Discretionaries!$B$2:'Discretionaries'!$B$150)),AP12-$Q12,"")</f>
        <v/>
      </c>
      <c r="AR12" s="140">
        <f>IF(AG12="", 0-CPI!$B$15, AG12-CPI!$B$15)</f>
        <v>-0.1387253578455217</v>
      </c>
      <c r="AS12" s="1" t="str">
        <f>IF(AND(AR12&gt;0, _xlfn.XLOOKUP($AM12, Discretionaries!$A$2:'Discretionaries'!$A$150, Discretionaries!$B$2:'Discretionaries'!$B$150)), (1+CPI!$B$15)*$N12, "")</f>
        <v/>
      </c>
      <c r="AT12" s="1" t="str">
        <f>IF(AND(AR12&gt;0, _xlfn.XLOOKUP($AM12, Discretionaries!$A$2:'Discretionaries'!$A$150, Discretionaries!$B$2:'Discretionaries'!$B$150)),AS12-$Q12,"")</f>
        <v/>
      </c>
    </row>
    <row r="13" spans="1:46" x14ac:dyDescent="0.3">
      <c r="A13" t="s">
        <v>409</v>
      </c>
      <c r="B13" t="str">
        <f t="shared" si="0"/>
        <v>02</v>
      </c>
      <c r="C13" t="s">
        <v>408</v>
      </c>
      <c r="D13" t="str">
        <f t="shared" si="1"/>
        <v>00</v>
      </c>
      <c r="E13" t="s">
        <v>11</v>
      </c>
      <c r="F13" s="139" t="s">
        <v>37</v>
      </c>
      <c r="G13" t="s">
        <v>38</v>
      </c>
      <c r="H13" s="156">
        <v>0</v>
      </c>
      <c r="I13" s="156">
        <v>0</v>
      </c>
      <c r="J13" s="156">
        <v>0</v>
      </c>
      <c r="K13" s="156">
        <v>0</v>
      </c>
      <c r="L13" s="156">
        <v>0</v>
      </c>
      <c r="M13" s="156">
        <v>0</v>
      </c>
      <c r="N13" s="156">
        <v>0</v>
      </c>
      <c r="O13" s="156">
        <v>0</v>
      </c>
      <c r="P13" s="156">
        <v>0</v>
      </c>
      <c r="Q13" s="156">
        <v>0</v>
      </c>
      <c r="R13" s="156">
        <v>0</v>
      </c>
      <c r="S13" s="156">
        <f t="shared" si="2"/>
        <v>0</v>
      </c>
      <c r="T13" s="156">
        <f t="shared" si="3"/>
        <v>0</v>
      </c>
      <c r="U13" s="140" t="str">
        <f t="shared" si="4"/>
        <v/>
      </c>
      <c r="V13" s="140" t="str">
        <f t="shared" si="5"/>
        <v/>
      </c>
      <c r="W13" s="140" t="str">
        <f t="shared" si="6"/>
        <v/>
      </c>
      <c r="X13" s="140" t="str">
        <f t="shared" si="7"/>
        <v/>
      </c>
      <c r="Y13" s="140" t="str">
        <f t="shared" si="8"/>
        <v/>
      </c>
      <c r="Z13" s="140" t="str">
        <f t="shared" si="9"/>
        <v/>
      </c>
      <c r="AA13" s="140" t="str">
        <f t="shared" si="10"/>
        <v/>
      </c>
      <c r="AB13" s="140" t="str">
        <f t="shared" si="11"/>
        <v/>
      </c>
      <c r="AC13" s="140" t="str">
        <f t="shared" si="12"/>
        <v/>
      </c>
      <c r="AD13" s="140" t="str">
        <f t="shared" si="13"/>
        <v/>
      </c>
      <c r="AE13" s="140" t="str">
        <f t="shared" si="14"/>
        <v/>
      </c>
      <c r="AF13" s="140" t="str">
        <f t="shared" si="15"/>
        <v/>
      </c>
      <c r="AG13" s="140" t="str">
        <f t="shared" si="16"/>
        <v/>
      </c>
      <c r="AH13" s="140" t="str">
        <f t="shared" si="17"/>
        <v/>
      </c>
      <c r="AI13" s="140" t="str">
        <f t="shared" si="18"/>
        <v/>
      </c>
      <c r="AJ13" s="140" t="str">
        <f t="shared" si="19"/>
        <v/>
      </c>
      <c r="AK13" s="140" t="str">
        <f t="shared" si="20"/>
        <v/>
      </c>
      <c r="AL13" s="140" t="str">
        <f t="shared" si="21"/>
        <v/>
      </c>
      <c r="AM13" t="str">
        <f t="shared" si="22"/>
        <v>4120-000: Part-time Salaries</v>
      </c>
      <c r="AN13" s="140">
        <f t="shared" si="23"/>
        <v>0</v>
      </c>
      <c r="AO13" s="140">
        <f t="shared" si="24"/>
        <v>0</v>
      </c>
      <c r="AP13" s="1" t="str">
        <f>IF(AND(AO13&gt;0, _xlfn.XLOOKUP($AM13, Discretionaries!$A$2:'Discretionaries'!$A$150, Discretionaries!$B$2:'Discretionaries'!$B$150)), (1+AN13)*$N13, "")</f>
        <v/>
      </c>
      <c r="AQ13" s="1" t="str">
        <f>IF(AND(AO13&gt;0, _xlfn.XLOOKUP($AM13, Discretionaries!$A$2:'Discretionaries'!$A$150, Discretionaries!$B$2:'Discretionaries'!$B$150)),AP13-$Q13,"")</f>
        <v/>
      </c>
      <c r="AR13" s="140">
        <f>IF(AG13="", 0-CPI!$B$15, AG13-CPI!$B$15)</f>
        <v>-3.8999999999999993E-2</v>
      </c>
      <c r="AS13" s="1" t="str">
        <f>IF(AND(AR13&gt;0, _xlfn.XLOOKUP($AM13, Discretionaries!$A$2:'Discretionaries'!$A$150, Discretionaries!$B$2:'Discretionaries'!$B$150)), (1+CPI!$B$15)*$N13, "")</f>
        <v/>
      </c>
      <c r="AT13" s="1" t="str">
        <f>IF(AND(AR13&gt;0, _xlfn.XLOOKUP($AM13, Discretionaries!$A$2:'Discretionaries'!$A$150, Discretionaries!$B$2:'Discretionaries'!$B$150)),AS13-$Q13,"")</f>
        <v/>
      </c>
    </row>
    <row r="14" spans="1:46" x14ac:dyDescent="0.3">
      <c r="A14" t="s">
        <v>409</v>
      </c>
      <c r="B14" t="str">
        <f t="shared" si="0"/>
        <v>02</v>
      </c>
      <c r="C14" t="s">
        <v>408</v>
      </c>
      <c r="D14" t="str">
        <f t="shared" si="1"/>
        <v>00</v>
      </c>
      <c r="E14" t="s">
        <v>11</v>
      </c>
      <c r="F14" s="139" t="s">
        <v>39</v>
      </c>
      <c r="G14" t="s">
        <v>40</v>
      </c>
      <c r="H14" s="156">
        <v>6000</v>
      </c>
      <c r="I14" s="156">
        <v>4682.84</v>
      </c>
      <c r="J14" s="156">
        <v>1000</v>
      </c>
      <c r="K14" s="156">
        <v>3676.76</v>
      </c>
      <c r="L14" s="156">
        <v>1000</v>
      </c>
      <c r="M14" s="156">
        <v>1053.3399999999999</v>
      </c>
      <c r="N14" s="156">
        <v>1000</v>
      </c>
      <c r="O14" s="156">
        <v>1000</v>
      </c>
      <c r="P14" s="156">
        <v>1000</v>
      </c>
      <c r="Q14" s="156">
        <v>1000</v>
      </c>
      <c r="R14" s="156">
        <v>1000</v>
      </c>
      <c r="S14" s="156">
        <f t="shared" si="2"/>
        <v>0</v>
      </c>
      <c r="T14" s="156">
        <f t="shared" si="3"/>
        <v>0</v>
      </c>
      <c r="U14" s="140">
        <f t="shared" si="4"/>
        <v>0</v>
      </c>
      <c r="V14" s="140">
        <f t="shared" si="5"/>
        <v>-0.21952666666666665</v>
      </c>
      <c r="W14" s="140">
        <f t="shared" si="6"/>
        <v>2.6767600000000003</v>
      </c>
      <c r="X14" s="140">
        <f t="shared" si="7"/>
        <v>5.3339999999999915E-2</v>
      </c>
      <c r="Y14" s="140">
        <f t="shared" si="8"/>
        <v>-0.83333333333333337</v>
      </c>
      <c r="Z14" s="140">
        <f t="shared" si="9"/>
        <v>-0.21484398356552858</v>
      </c>
      <c r="AA14" s="140">
        <f t="shared" si="10"/>
        <v>0</v>
      </c>
      <c r="AB14" s="140">
        <f t="shared" si="11"/>
        <v>-0.71351407217223861</v>
      </c>
      <c r="AC14" s="140">
        <f t="shared" si="12"/>
        <v>0</v>
      </c>
      <c r="AD14" s="140">
        <f t="shared" si="13"/>
        <v>-0.83333333333333337</v>
      </c>
      <c r="AE14" s="140">
        <f t="shared" si="14"/>
        <v>0</v>
      </c>
      <c r="AF14" s="140">
        <f t="shared" si="15"/>
        <v>0</v>
      </c>
      <c r="AG14" s="140">
        <f t="shared" si="16"/>
        <v>0</v>
      </c>
      <c r="AH14" s="140">
        <f t="shared" si="17"/>
        <v>0</v>
      </c>
      <c r="AI14" s="140">
        <f t="shared" si="18"/>
        <v>-0.83333333333333337</v>
      </c>
      <c r="AJ14" s="140">
        <f t="shared" si="19"/>
        <v>-0.83333333333333337</v>
      </c>
      <c r="AK14" s="140">
        <f t="shared" si="20"/>
        <v>-0.83333333333333337</v>
      </c>
      <c r="AL14" s="140">
        <f t="shared" si="21"/>
        <v>-0.83333333333333337</v>
      </c>
      <c r="AM14" t="str">
        <f t="shared" si="22"/>
        <v>4140-000: Overtime Salaries</v>
      </c>
      <c r="AN14" s="140">
        <f t="shared" si="23"/>
        <v>-0.27777777777777779</v>
      </c>
      <c r="AO14" s="140">
        <f t="shared" si="24"/>
        <v>0.27777777777777779</v>
      </c>
      <c r="AP14" s="1" t="str">
        <f>IF(AND(AO14&gt;0, _xlfn.XLOOKUP($AM14, Discretionaries!$A$2:'Discretionaries'!$A$150, Discretionaries!$B$2:'Discretionaries'!$B$150)), (1+AN14)*$N14, "")</f>
        <v/>
      </c>
      <c r="AQ14" s="1" t="str">
        <f>IF(AND(AO14&gt;0, _xlfn.XLOOKUP($AM14, Discretionaries!$A$2:'Discretionaries'!$A$150, Discretionaries!$B$2:'Discretionaries'!$B$150)),AP14-$Q14,"")</f>
        <v/>
      </c>
      <c r="AR14" s="140">
        <f>IF(AG14="", 0-CPI!$B$15, AG14-CPI!$B$15)</f>
        <v>-3.8999999999999993E-2</v>
      </c>
      <c r="AS14" s="1" t="str">
        <f>IF(AND(AR14&gt;0, _xlfn.XLOOKUP($AM14, Discretionaries!$A$2:'Discretionaries'!$A$150, Discretionaries!$B$2:'Discretionaries'!$B$150)), (1+CPI!$B$15)*$N14, "")</f>
        <v/>
      </c>
      <c r="AT14" s="1" t="str">
        <f>IF(AND(AR14&gt;0, _xlfn.XLOOKUP($AM14, Discretionaries!$A$2:'Discretionaries'!$A$150, Discretionaries!$B$2:'Discretionaries'!$B$150)),AS14-$Q14,"")</f>
        <v/>
      </c>
    </row>
    <row r="15" spans="1:46" x14ac:dyDescent="0.3">
      <c r="A15" t="s">
        <v>409</v>
      </c>
      <c r="B15" t="str">
        <f t="shared" si="0"/>
        <v>02</v>
      </c>
      <c r="C15" t="s">
        <v>408</v>
      </c>
      <c r="D15" t="str">
        <f t="shared" si="1"/>
        <v>00</v>
      </c>
      <c r="E15" t="s">
        <v>14</v>
      </c>
      <c r="F15" s="139" t="s">
        <v>41</v>
      </c>
      <c r="G15" t="s">
        <v>42</v>
      </c>
      <c r="H15" s="156">
        <v>3618</v>
      </c>
      <c r="I15" s="156">
        <v>890.71</v>
      </c>
      <c r="J15" s="156">
        <v>4732</v>
      </c>
      <c r="K15" s="156">
        <v>3808.65</v>
      </c>
      <c r="L15" s="156">
        <v>5595</v>
      </c>
      <c r="M15" s="156">
        <v>3241.5</v>
      </c>
      <c r="N15" s="156">
        <v>3800</v>
      </c>
      <c r="O15" s="156">
        <v>3800</v>
      </c>
      <c r="P15" s="156">
        <v>3800</v>
      </c>
      <c r="Q15" s="156">
        <v>3800</v>
      </c>
      <c r="R15" s="156">
        <v>3800</v>
      </c>
      <c r="S15" s="156">
        <f t="shared" si="2"/>
        <v>0</v>
      </c>
      <c r="T15" s="156">
        <f t="shared" si="3"/>
        <v>0</v>
      </c>
      <c r="U15" s="140">
        <f t="shared" si="4"/>
        <v>0</v>
      </c>
      <c r="V15" s="140">
        <f t="shared" si="5"/>
        <v>-0.7538114980652294</v>
      </c>
      <c r="W15" s="140">
        <f t="shared" si="6"/>
        <v>-0.19512890955198645</v>
      </c>
      <c r="X15" s="140">
        <f t="shared" si="7"/>
        <v>-0.42064343163538875</v>
      </c>
      <c r="Y15" s="140">
        <f t="shared" si="8"/>
        <v>0.30790491984521834</v>
      </c>
      <c r="Z15" s="140">
        <f t="shared" si="9"/>
        <v>3.2759708547114101</v>
      </c>
      <c r="AA15" s="140">
        <f t="shared" si="10"/>
        <v>0.18237531699070161</v>
      </c>
      <c r="AB15" s="140">
        <f t="shared" si="11"/>
        <v>-0.14891103146784296</v>
      </c>
      <c r="AC15" s="140">
        <f t="shared" si="12"/>
        <v>-0.32082216264521896</v>
      </c>
      <c r="AD15" s="140">
        <f t="shared" si="13"/>
        <v>5.0304035378662244E-2</v>
      </c>
      <c r="AE15" s="140">
        <f t="shared" si="14"/>
        <v>0</v>
      </c>
      <c r="AF15" s="140">
        <f t="shared" si="15"/>
        <v>0</v>
      </c>
      <c r="AG15" s="140">
        <f t="shared" si="16"/>
        <v>0</v>
      </c>
      <c r="AH15" s="140">
        <f t="shared" si="17"/>
        <v>0</v>
      </c>
      <c r="AI15" s="140">
        <f t="shared" si="18"/>
        <v>5.0304035378662244E-2</v>
      </c>
      <c r="AJ15" s="140">
        <f t="shared" si="19"/>
        <v>5.0304035378662244E-2</v>
      </c>
      <c r="AK15" s="140">
        <f t="shared" si="20"/>
        <v>5.0304035378662244E-2</v>
      </c>
      <c r="AL15" s="140">
        <f t="shared" si="21"/>
        <v>5.0304035378662244E-2</v>
      </c>
      <c r="AM15" t="str">
        <f t="shared" si="22"/>
        <v>4215-000: STD, LTD, &amp; Life Benefits</v>
      </c>
      <c r="AN15" s="140">
        <f t="shared" si="23"/>
        <v>5.6486024730233654E-2</v>
      </c>
      <c r="AO15" s="140">
        <f t="shared" si="24"/>
        <v>-5.6486024730233654E-2</v>
      </c>
      <c r="AP15" s="1" t="str">
        <f>IF(AND(AO15&gt;0, _xlfn.XLOOKUP($AM15, Discretionaries!$A$2:'Discretionaries'!$A$150, Discretionaries!$B$2:'Discretionaries'!$B$150)), (1+AN15)*$N15, "")</f>
        <v/>
      </c>
      <c r="AQ15" s="1" t="str">
        <f>IF(AND(AO15&gt;0, _xlfn.XLOOKUP($AM15, Discretionaries!$A$2:'Discretionaries'!$A$150, Discretionaries!$B$2:'Discretionaries'!$B$150)),AP15-$Q15,"")</f>
        <v/>
      </c>
      <c r="AR15" s="140">
        <f>IF(AG15="", 0-CPI!$B$15, AG15-CPI!$B$15)</f>
        <v>-3.8999999999999993E-2</v>
      </c>
      <c r="AS15" s="1" t="str">
        <f>IF(AND(AR15&gt;0, _xlfn.XLOOKUP($AM15, Discretionaries!$A$2:'Discretionaries'!$A$150, Discretionaries!$B$2:'Discretionaries'!$B$150)), (1+CPI!$B$15)*$N15, "")</f>
        <v/>
      </c>
      <c r="AT15" s="1" t="str">
        <f>IF(AND(AR15&gt;0, _xlfn.XLOOKUP($AM15, Discretionaries!$A$2:'Discretionaries'!$A$150, Discretionaries!$B$2:'Discretionaries'!$B$150)),AS15-$Q15,"")</f>
        <v/>
      </c>
    </row>
    <row r="16" spans="1:46" x14ac:dyDescent="0.3">
      <c r="A16" t="s">
        <v>409</v>
      </c>
      <c r="B16" t="str">
        <f t="shared" si="0"/>
        <v>02</v>
      </c>
      <c r="C16" t="s">
        <v>408</v>
      </c>
      <c r="D16" t="str">
        <f t="shared" si="1"/>
        <v>00</v>
      </c>
      <c r="E16" t="s">
        <v>14</v>
      </c>
      <c r="F16" s="139" t="s">
        <v>15</v>
      </c>
      <c r="G16" t="s">
        <v>16</v>
      </c>
      <c r="H16" s="156">
        <v>18385</v>
      </c>
      <c r="I16" s="156">
        <v>22682.15</v>
      </c>
      <c r="J16" s="156">
        <v>25941</v>
      </c>
      <c r="K16" s="156">
        <v>29049.95</v>
      </c>
      <c r="L16" s="156">
        <v>33428</v>
      </c>
      <c r="M16" s="156">
        <v>30684.86</v>
      </c>
      <c r="N16" s="156">
        <v>36653</v>
      </c>
      <c r="O16" s="156">
        <v>33454</v>
      </c>
      <c r="P16" s="156">
        <v>33454</v>
      </c>
      <c r="Q16" s="156">
        <v>33454</v>
      </c>
      <c r="R16" s="156">
        <v>33454</v>
      </c>
      <c r="S16" s="156">
        <f t="shared" si="2"/>
        <v>-3199</v>
      </c>
      <c r="T16" s="156">
        <f t="shared" si="3"/>
        <v>0</v>
      </c>
      <c r="U16" s="140">
        <f t="shared" si="4"/>
        <v>-8.7277985430933347E-2</v>
      </c>
      <c r="V16" s="140">
        <f t="shared" si="5"/>
        <v>0.23373130269241238</v>
      </c>
      <c r="W16" s="140">
        <f t="shared" si="6"/>
        <v>0.11984696041016155</v>
      </c>
      <c r="X16" s="140">
        <f t="shared" si="7"/>
        <v>-8.2061146344381941E-2</v>
      </c>
      <c r="Y16" s="140">
        <f t="shared" si="8"/>
        <v>0.41098721784063097</v>
      </c>
      <c r="Z16" s="140">
        <f t="shared" si="9"/>
        <v>0.28074058235220201</v>
      </c>
      <c r="AA16" s="140">
        <f t="shared" si="10"/>
        <v>0.28861647584904204</v>
      </c>
      <c r="AB16" s="140">
        <f t="shared" si="11"/>
        <v>5.6279270704424615E-2</v>
      </c>
      <c r="AC16" s="140">
        <f t="shared" si="12"/>
        <v>9.6476008136891223E-2</v>
      </c>
      <c r="AD16" s="140">
        <f t="shared" si="13"/>
        <v>0.99363611639923854</v>
      </c>
      <c r="AE16" s="140">
        <f t="shared" si="14"/>
        <v>-8.7277985430933347E-2</v>
      </c>
      <c r="AF16" s="140">
        <f t="shared" si="15"/>
        <v>-8.7277985430933347E-2</v>
      </c>
      <c r="AG16" s="140">
        <f t="shared" si="16"/>
        <v>-8.7277985430933347E-2</v>
      </c>
      <c r="AH16" s="140">
        <f t="shared" si="17"/>
        <v>-8.7277985430933347E-2</v>
      </c>
      <c r="AI16" s="140">
        <f t="shared" si="18"/>
        <v>0.81963557247756325</v>
      </c>
      <c r="AJ16" s="140">
        <f t="shared" si="19"/>
        <v>0.81963557247756325</v>
      </c>
      <c r="AK16" s="140">
        <f t="shared" si="20"/>
        <v>0.81963557247756325</v>
      </c>
      <c r="AL16" s="140">
        <f t="shared" si="21"/>
        <v>0.81963557247756325</v>
      </c>
      <c r="AM16" t="str">
        <f t="shared" si="22"/>
        <v>4220-000: FICA Benefits</v>
      </c>
      <c r="AN16" s="140">
        <f t="shared" si="23"/>
        <v>0.26535990060885473</v>
      </c>
      <c r="AO16" s="140">
        <f t="shared" si="24"/>
        <v>-0.35263788603978807</v>
      </c>
      <c r="AP16" s="1" t="str">
        <f>IF(AND(AO16&gt;0, _xlfn.XLOOKUP($AM16, Discretionaries!$A$2:'Discretionaries'!$A$150, Discretionaries!$B$2:'Discretionaries'!$B$150)), (1+AN16)*$N16, "")</f>
        <v/>
      </c>
      <c r="AQ16" s="1" t="str">
        <f>IF(AND(AO16&gt;0, _xlfn.XLOOKUP($AM16, Discretionaries!$A$2:'Discretionaries'!$A$150, Discretionaries!$B$2:'Discretionaries'!$B$150)),AP16-$Q16,"")</f>
        <v/>
      </c>
      <c r="AR16" s="140">
        <f>IF(AG16="", 0-CPI!$B$15, AG16-CPI!$B$15)</f>
        <v>-0.12627798543093333</v>
      </c>
      <c r="AS16" s="1" t="str">
        <f>IF(AND(AR16&gt;0, _xlfn.XLOOKUP($AM16, Discretionaries!$A$2:'Discretionaries'!$A$150, Discretionaries!$B$2:'Discretionaries'!$B$150)), (1+CPI!$B$15)*$N16, "")</f>
        <v/>
      </c>
      <c r="AT16" s="1" t="str">
        <f>IF(AND(AR16&gt;0, _xlfn.XLOOKUP($AM16, Discretionaries!$A$2:'Discretionaries'!$A$150, Discretionaries!$B$2:'Discretionaries'!$B$150)),AS16-$Q16,"")</f>
        <v/>
      </c>
    </row>
    <row r="17" spans="1:46" x14ac:dyDescent="0.3">
      <c r="A17" t="s">
        <v>409</v>
      </c>
      <c r="B17" t="str">
        <f t="shared" si="0"/>
        <v>02</v>
      </c>
      <c r="C17" t="s">
        <v>408</v>
      </c>
      <c r="D17" t="str">
        <f t="shared" si="1"/>
        <v>00</v>
      </c>
      <c r="E17" t="s">
        <v>14</v>
      </c>
      <c r="F17" s="139" t="s">
        <v>17</v>
      </c>
      <c r="G17" t="s">
        <v>18</v>
      </c>
      <c r="H17" s="156">
        <v>4300</v>
      </c>
      <c r="I17" s="156">
        <v>5304.68</v>
      </c>
      <c r="J17" s="156">
        <v>6067</v>
      </c>
      <c r="K17" s="156">
        <v>6793.94</v>
      </c>
      <c r="L17" s="156">
        <v>7818</v>
      </c>
      <c r="M17" s="156">
        <v>7361.08</v>
      </c>
      <c r="N17" s="156">
        <v>8690</v>
      </c>
      <c r="O17" s="156">
        <v>7824</v>
      </c>
      <c r="P17" s="156">
        <v>7824</v>
      </c>
      <c r="Q17" s="156">
        <v>7824</v>
      </c>
      <c r="R17" s="156">
        <v>7824</v>
      </c>
      <c r="S17" s="156">
        <f t="shared" si="2"/>
        <v>-866</v>
      </c>
      <c r="T17" s="156">
        <f t="shared" si="3"/>
        <v>0</v>
      </c>
      <c r="U17" s="140">
        <f t="shared" si="4"/>
        <v>-9.9654775604142695E-2</v>
      </c>
      <c r="V17" s="140">
        <f t="shared" si="5"/>
        <v>0.23364651162790703</v>
      </c>
      <c r="W17" s="140">
        <f t="shared" si="6"/>
        <v>0.1198186912806988</v>
      </c>
      <c r="X17" s="140">
        <f t="shared" si="7"/>
        <v>-5.8444614991046313E-2</v>
      </c>
      <c r="Y17" s="140">
        <f t="shared" si="8"/>
        <v>0.41093023255813954</v>
      </c>
      <c r="Z17" s="140">
        <f t="shared" si="9"/>
        <v>0.28074455009538735</v>
      </c>
      <c r="AA17" s="140">
        <f t="shared" si="10"/>
        <v>0.28861051590571946</v>
      </c>
      <c r="AB17" s="140">
        <f t="shared" si="11"/>
        <v>8.3477334212548299E-2</v>
      </c>
      <c r="AC17" s="140">
        <f t="shared" si="12"/>
        <v>0.11153747761575851</v>
      </c>
      <c r="AD17" s="140">
        <f t="shared" si="13"/>
        <v>1.0209302325581395</v>
      </c>
      <c r="AE17" s="140">
        <f t="shared" si="14"/>
        <v>-9.9654775604142695E-2</v>
      </c>
      <c r="AF17" s="140">
        <f t="shared" si="15"/>
        <v>-9.9654775604142695E-2</v>
      </c>
      <c r="AG17" s="140">
        <f t="shared" si="16"/>
        <v>-9.9654775604142695E-2</v>
      </c>
      <c r="AH17" s="140">
        <f t="shared" si="17"/>
        <v>-9.9654775604142695E-2</v>
      </c>
      <c r="AI17" s="140">
        <f t="shared" si="18"/>
        <v>0.8195348837209302</v>
      </c>
      <c r="AJ17" s="140">
        <f t="shared" si="19"/>
        <v>0.8195348837209302</v>
      </c>
      <c r="AK17" s="140">
        <f t="shared" si="20"/>
        <v>0.8195348837209302</v>
      </c>
      <c r="AL17" s="140">
        <f t="shared" si="21"/>
        <v>0.8195348837209302</v>
      </c>
      <c r="AM17" t="str">
        <f t="shared" si="22"/>
        <v>4225-000: Medicare Benefits</v>
      </c>
      <c r="AN17" s="140">
        <f t="shared" si="23"/>
        <v>0.27035940869320579</v>
      </c>
      <c r="AO17" s="140">
        <f t="shared" si="24"/>
        <v>-0.3700141842973485</v>
      </c>
      <c r="AP17" s="1" t="str">
        <f>IF(AND(AO17&gt;0, _xlfn.XLOOKUP($AM17, Discretionaries!$A$2:'Discretionaries'!$A$150, Discretionaries!$B$2:'Discretionaries'!$B$150)), (1+AN17)*$N17, "")</f>
        <v/>
      </c>
      <c r="AQ17" s="1" t="str">
        <f>IF(AND(AO17&gt;0, _xlfn.XLOOKUP($AM17, Discretionaries!$A$2:'Discretionaries'!$A$150, Discretionaries!$B$2:'Discretionaries'!$B$150)),AP17-$Q17,"")</f>
        <v/>
      </c>
      <c r="AR17" s="140">
        <f>IF(AG17="", 0-CPI!$B$15, AG17-CPI!$B$15)</f>
        <v>-0.13865477560414269</v>
      </c>
      <c r="AS17" s="1" t="str">
        <f>IF(AND(AR17&gt;0, _xlfn.XLOOKUP($AM17, Discretionaries!$A$2:'Discretionaries'!$A$150, Discretionaries!$B$2:'Discretionaries'!$B$150)), (1+CPI!$B$15)*$N17, "")</f>
        <v/>
      </c>
      <c r="AT17" s="1" t="str">
        <f>IF(AND(AR17&gt;0, _xlfn.XLOOKUP($AM17, Discretionaries!$A$2:'Discretionaries'!$A$150, Discretionaries!$B$2:'Discretionaries'!$B$150)),AS17-$Q17,"")</f>
        <v/>
      </c>
    </row>
    <row r="18" spans="1:46" x14ac:dyDescent="0.3">
      <c r="A18" t="s">
        <v>409</v>
      </c>
      <c r="B18" t="str">
        <f t="shared" si="0"/>
        <v>02</v>
      </c>
      <c r="C18" t="s">
        <v>408</v>
      </c>
      <c r="D18" t="str">
        <f t="shared" si="1"/>
        <v>00</v>
      </c>
      <c r="E18" t="s">
        <v>14</v>
      </c>
      <c r="F18" s="139" t="s">
        <v>43</v>
      </c>
      <c r="G18" t="s">
        <v>44</v>
      </c>
      <c r="H18" s="156">
        <v>42816</v>
      </c>
      <c r="I18" s="156">
        <v>46222.53</v>
      </c>
      <c r="J18" s="156">
        <v>56020</v>
      </c>
      <c r="K18" s="156">
        <v>60350.22</v>
      </c>
      <c r="L18" s="156">
        <v>71927</v>
      </c>
      <c r="M18" s="156">
        <v>61531.42</v>
      </c>
      <c r="N18" s="156">
        <v>73726</v>
      </c>
      <c r="O18" s="156">
        <v>64335</v>
      </c>
      <c r="P18" s="156">
        <v>64335</v>
      </c>
      <c r="Q18" s="156">
        <v>64335</v>
      </c>
      <c r="R18" s="156">
        <v>64335</v>
      </c>
      <c r="S18" s="156">
        <f t="shared" si="2"/>
        <v>-9391</v>
      </c>
      <c r="T18" s="156">
        <f t="shared" si="3"/>
        <v>0</v>
      </c>
      <c r="U18" s="140">
        <f t="shared" si="4"/>
        <v>-0.1273770447332013</v>
      </c>
      <c r="V18" s="140">
        <f t="shared" si="5"/>
        <v>7.9562079596412524E-2</v>
      </c>
      <c r="W18" s="140">
        <f t="shared" si="6"/>
        <v>7.7297750803284562E-2</v>
      </c>
      <c r="X18" s="140">
        <f t="shared" si="7"/>
        <v>-0.14452959250351052</v>
      </c>
      <c r="Y18" s="140">
        <f t="shared" si="8"/>
        <v>0.30838938714499253</v>
      </c>
      <c r="Z18" s="140">
        <f t="shared" si="9"/>
        <v>0.30564510423812807</v>
      </c>
      <c r="AA18" s="140">
        <f t="shared" si="10"/>
        <v>0.28395215994287754</v>
      </c>
      <c r="AB18" s="140">
        <f t="shared" si="11"/>
        <v>1.957242243690242E-2</v>
      </c>
      <c r="AC18" s="140">
        <f t="shared" si="12"/>
        <v>2.5011469962600969E-2</v>
      </c>
      <c r="AD18" s="140">
        <f t="shared" si="13"/>
        <v>0.72192638266068765</v>
      </c>
      <c r="AE18" s="140">
        <f t="shared" si="14"/>
        <v>-0.1273770447332013</v>
      </c>
      <c r="AF18" s="140">
        <f t="shared" si="15"/>
        <v>-0.1273770447332013</v>
      </c>
      <c r="AG18" s="140">
        <f t="shared" si="16"/>
        <v>-0.1273770447332013</v>
      </c>
      <c r="AH18" s="140">
        <f t="shared" si="17"/>
        <v>-0.1273770447332013</v>
      </c>
      <c r="AI18" s="140">
        <f t="shared" si="18"/>
        <v>0.50259248878923768</v>
      </c>
      <c r="AJ18" s="140">
        <f t="shared" si="19"/>
        <v>0.50259248878923768</v>
      </c>
      <c r="AK18" s="140">
        <f t="shared" si="20"/>
        <v>0.50259248878923768</v>
      </c>
      <c r="AL18" s="140">
        <f t="shared" si="21"/>
        <v>0.50259248878923768</v>
      </c>
      <c r="AM18" t="str">
        <f t="shared" si="22"/>
        <v>4230-000: Retirement Benefits</v>
      </c>
      <c r="AN18" s="140">
        <f t="shared" si="23"/>
        <v>0.20578433901682369</v>
      </c>
      <c r="AO18" s="140">
        <f t="shared" si="24"/>
        <v>-0.33316138375002502</v>
      </c>
      <c r="AP18" s="1" t="str">
        <f>IF(AND(AO18&gt;0, _xlfn.XLOOKUP($AM18, Discretionaries!$A$2:'Discretionaries'!$A$150, Discretionaries!$B$2:'Discretionaries'!$B$150)), (1+AN18)*$N18, "")</f>
        <v/>
      </c>
      <c r="AQ18" s="1" t="str">
        <f>IF(AND(AO18&gt;0, _xlfn.XLOOKUP($AM18, Discretionaries!$A$2:'Discretionaries'!$A$150, Discretionaries!$B$2:'Discretionaries'!$B$150)),AP18-$Q18,"")</f>
        <v/>
      </c>
      <c r="AR18" s="140">
        <f>IF(AG18="", 0-CPI!$B$15, AG18-CPI!$B$15)</f>
        <v>-0.16637704473320131</v>
      </c>
      <c r="AS18" s="1" t="str">
        <f>IF(AND(AR18&gt;0, _xlfn.XLOOKUP($AM18, Discretionaries!$A$2:'Discretionaries'!$A$150, Discretionaries!$B$2:'Discretionaries'!$B$150)), (1+CPI!$B$15)*$N18, "")</f>
        <v/>
      </c>
      <c r="AT18" s="1" t="str">
        <f>IF(AND(AR18&gt;0, _xlfn.XLOOKUP($AM18, Discretionaries!$A$2:'Discretionaries'!$A$150, Discretionaries!$B$2:'Discretionaries'!$B$150)),AS18-$Q18,"")</f>
        <v/>
      </c>
    </row>
    <row r="19" spans="1:46" x14ac:dyDescent="0.3">
      <c r="A19" t="s">
        <v>409</v>
      </c>
      <c r="B19" t="str">
        <f t="shared" si="0"/>
        <v>02</v>
      </c>
      <c r="C19" t="s">
        <v>408</v>
      </c>
      <c r="D19" t="str">
        <f t="shared" si="1"/>
        <v>00</v>
      </c>
      <c r="E19" t="s">
        <v>14</v>
      </c>
      <c r="F19" s="139" t="s">
        <v>19</v>
      </c>
      <c r="G19" t="s">
        <v>20</v>
      </c>
      <c r="H19" s="156">
        <v>446</v>
      </c>
      <c r="I19" s="156">
        <v>425.39</v>
      </c>
      <c r="J19" s="156">
        <v>473</v>
      </c>
      <c r="K19" s="156">
        <v>503.58</v>
      </c>
      <c r="L19" s="156">
        <v>564</v>
      </c>
      <c r="M19" s="156">
        <v>564.33000000000004</v>
      </c>
      <c r="N19" s="156">
        <v>667</v>
      </c>
      <c r="O19" s="156">
        <v>525</v>
      </c>
      <c r="P19" s="156">
        <v>525</v>
      </c>
      <c r="Q19" s="156">
        <v>525</v>
      </c>
      <c r="R19" s="156">
        <v>525</v>
      </c>
      <c r="S19" s="156">
        <f t="shared" si="2"/>
        <v>-142</v>
      </c>
      <c r="T19" s="156">
        <f t="shared" si="3"/>
        <v>0</v>
      </c>
      <c r="U19" s="140">
        <f t="shared" si="4"/>
        <v>-0.21289355322338829</v>
      </c>
      <c r="V19" s="140">
        <f t="shared" si="5"/>
        <v>-4.6210762331838594E-2</v>
      </c>
      <c r="W19" s="140">
        <f t="shared" si="6"/>
        <v>6.4651162790697644E-2</v>
      </c>
      <c r="X19" s="140">
        <f t="shared" si="7"/>
        <v>5.8510638297879598E-4</v>
      </c>
      <c r="Y19" s="140">
        <f t="shared" si="8"/>
        <v>6.0538116591928252E-2</v>
      </c>
      <c r="Z19" s="140">
        <f t="shared" si="9"/>
        <v>0.18380779990126708</v>
      </c>
      <c r="AA19" s="140">
        <f t="shared" si="10"/>
        <v>0.19238900634249473</v>
      </c>
      <c r="AB19" s="140">
        <f t="shared" si="11"/>
        <v>0.12063624448945562</v>
      </c>
      <c r="AC19" s="140">
        <f t="shared" si="12"/>
        <v>0.18262411347517732</v>
      </c>
      <c r="AD19" s="140">
        <f t="shared" si="13"/>
        <v>0.49551569506726456</v>
      </c>
      <c r="AE19" s="140">
        <f t="shared" si="14"/>
        <v>-0.21289355322338829</v>
      </c>
      <c r="AF19" s="140">
        <f t="shared" si="15"/>
        <v>-0.21289355322338829</v>
      </c>
      <c r="AG19" s="140">
        <f t="shared" si="16"/>
        <v>-0.21289355322338829</v>
      </c>
      <c r="AH19" s="140">
        <f t="shared" si="17"/>
        <v>-0.21289355322338829</v>
      </c>
      <c r="AI19" s="140">
        <f t="shared" si="18"/>
        <v>0.17713004484304934</v>
      </c>
      <c r="AJ19" s="140">
        <f t="shared" si="19"/>
        <v>0.17713004484304934</v>
      </c>
      <c r="AK19" s="140">
        <f t="shared" si="20"/>
        <v>0.17713004484304934</v>
      </c>
      <c r="AL19" s="140">
        <f t="shared" si="21"/>
        <v>0.17713004484304934</v>
      </c>
      <c r="AM19" t="str">
        <f t="shared" si="22"/>
        <v>4260-000: Workers' comp Benefits</v>
      </c>
      <c r="AN19" s="140">
        <f t="shared" si="23"/>
        <v>0.14518374546986676</v>
      </c>
      <c r="AO19" s="140">
        <f t="shared" si="24"/>
        <v>-0.35807729869325505</v>
      </c>
      <c r="AP19" s="1" t="str">
        <f>IF(AND(AO19&gt;0, _xlfn.XLOOKUP($AM19, Discretionaries!$A$2:'Discretionaries'!$A$150, Discretionaries!$B$2:'Discretionaries'!$B$150)), (1+AN19)*$N19, "")</f>
        <v/>
      </c>
      <c r="AQ19" s="1" t="str">
        <f>IF(AND(AO19&gt;0, _xlfn.XLOOKUP($AM19, Discretionaries!$A$2:'Discretionaries'!$A$150, Discretionaries!$B$2:'Discretionaries'!$B$150)),AP19-$Q19,"")</f>
        <v/>
      </c>
      <c r="AR19" s="140">
        <f>IF(AG19="", 0-CPI!$B$15, AG19-CPI!$B$15)</f>
        <v>-0.2518935532233883</v>
      </c>
      <c r="AS19" s="1" t="str">
        <f>IF(AND(AR19&gt;0, _xlfn.XLOOKUP($AM19, Discretionaries!$A$2:'Discretionaries'!$A$150, Discretionaries!$B$2:'Discretionaries'!$B$150)), (1+CPI!$B$15)*$N19, "")</f>
        <v/>
      </c>
      <c r="AT19" s="1" t="str">
        <f>IF(AND(AR19&gt;0, _xlfn.XLOOKUP($AM19, Discretionaries!$A$2:'Discretionaries'!$A$150, Discretionaries!$B$2:'Discretionaries'!$B$150)),AS19-$Q19,"")</f>
        <v/>
      </c>
    </row>
    <row r="20" spans="1:46" x14ac:dyDescent="0.3">
      <c r="A20" t="s">
        <v>409</v>
      </c>
      <c r="B20" t="str">
        <f t="shared" si="0"/>
        <v>02</v>
      </c>
      <c r="C20" t="s">
        <v>408</v>
      </c>
      <c r="D20" t="str">
        <f t="shared" si="1"/>
        <v>00</v>
      </c>
      <c r="E20" t="s">
        <v>21</v>
      </c>
      <c r="F20" s="139" t="s">
        <v>28</v>
      </c>
      <c r="G20" t="s">
        <v>29</v>
      </c>
      <c r="H20" s="156">
        <v>20390</v>
      </c>
      <c r="I20" s="156">
        <v>13220.41</v>
      </c>
      <c r="J20" s="156">
        <v>21390</v>
      </c>
      <c r="K20" s="156">
        <v>14802.57</v>
      </c>
      <c r="L20" s="156">
        <v>21390</v>
      </c>
      <c r="M20" s="156">
        <v>111143.09</v>
      </c>
      <c r="N20" s="156">
        <v>19390</v>
      </c>
      <c r="O20" s="156">
        <v>9670</v>
      </c>
      <c r="P20" s="156">
        <v>9670</v>
      </c>
      <c r="Q20" s="156">
        <v>9670</v>
      </c>
      <c r="R20" s="156">
        <v>19390</v>
      </c>
      <c r="S20" s="156">
        <f t="shared" si="2"/>
        <v>-9720</v>
      </c>
      <c r="T20" s="156">
        <f t="shared" si="3"/>
        <v>-9720</v>
      </c>
      <c r="U20" s="140">
        <f t="shared" si="4"/>
        <v>-0.50128932439401752</v>
      </c>
      <c r="V20" s="140">
        <f t="shared" si="5"/>
        <v>-0.35162285434036294</v>
      </c>
      <c r="W20" s="140">
        <f t="shared" si="6"/>
        <v>-0.30796774193548387</v>
      </c>
      <c r="X20" s="140">
        <f t="shared" si="7"/>
        <v>4.1960303880317902</v>
      </c>
      <c r="Y20" s="140">
        <f t="shared" si="8"/>
        <v>4.9043648847474253E-2</v>
      </c>
      <c r="Z20" s="140">
        <f t="shared" si="9"/>
        <v>0.11967556225563351</v>
      </c>
      <c r="AA20" s="140">
        <f t="shared" si="10"/>
        <v>0</v>
      </c>
      <c r="AB20" s="140">
        <f t="shared" si="11"/>
        <v>6.5083644259071223</v>
      </c>
      <c r="AC20" s="140">
        <f t="shared" si="12"/>
        <v>-9.3501636278634878E-2</v>
      </c>
      <c r="AD20" s="140">
        <f t="shared" si="13"/>
        <v>-4.9043648847474253E-2</v>
      </c>
      <c r="AE20" s="140">
        <f t="shared" si="14"/>
        <v>-0.50128932439401752</v>
      </c>
      <c r="AF20" s="140">
        <f t="shared" si="15"/>
        <v>-0.50128932439401752</v>
      </c>
      <c r="AG20" s="140">
        <f t="shared" si="16"/>
        <v>-0.50128932439401752</v>
      </c>
      <c r="AH20" s="140">
        <f t="shared" si="17"/>
        <v>0</v>
      </c>
      <c r="AI20" s="140">
        <f t="shared" si="18"/>
        <v>-0.52574791564492396</v>
      </c>
      <c r="AJ20" s="140">
        <f t="shared" si="19"/>
        <v>-0.52574791564492396</v>
      </c>
      <c r="AK20" s="140">
        <f t="shared" si="20"/>
        <v>-0.52574791564492396</v>
      </c>
      <c r="AL20" s="140">
        <f t="shared" si="21"/>
        <v>-4.9043648847474253E-2</v>
      </c>
      <c r="AM20" t="str">
        <f t="shared" si="22"/>
        <v>4330-000: MGMT services Services</v>
      </c>
      <c r="AN20" s="140">
        <f t="shared" si="23"/>
        <v>-1.4819329143720208E-2</v>
      </c>
      <c r="AO20" s="140">
        <f t="shared" si="24"/>
        <v>-0.48646999525029733</v>
      </c>
      <c r="AP20" s="1" t="str">
        <f>IF(AND(AO20&gt;0, _xlfn.XLOOKUP($AM20, Discretionaries!$A$2:'Discretionaries'!$A$150, Discretionaries!$B$2:'Discretionaries'!$B$150)), (1+AN20)*$N20, "")</f>
        <v/>
      </c>
      <c r="AQ20" s="1" t="str">
        <f>IF(AND(AO20&gt;0, _xlfn.XLOOKUP($AM20, Discretionaries!$A$2:'Discretionaries'!$A$150, Discretionaries!$B$2:'Discretionaries'!$B$150)),AP20-$Q20,"")</f>
        <v/>
      </c>
      <c r="AR20" s="140">
        <f>IF(AG20="", 0-CPI!$B$15, AG20-CPI!$B$15)</f>
        <v>-0.54028932439401756</v>
      </c>
      <c r="AS20" s="1" t="str">
        <f>IF(AND(AR20&gt;0, _xlfn.XLOOKUP($AM20, Discretionaries!$A$2:'Discretionaries'!$A$150, Discretionaries!$B$2:'Discretionaries'!$B$150)), (1+CPI!$B$15)*$N20, "")</f>
        <v/>
      </c>
      <c r="AT20" s="1" t="str">
        <f>IF(AND(AR20&gt;0, _xlfn.XLOOKUP($AM20, Discretionaries!$A$2:'Discretionaries'!$A$150, Discretionaries!$B$2:'Discretionaries'!$B$150)),AS20-$Q20,"")</f>
        <v/>
      </c>
    </row>
    <row r="21" spans="1:46" x14ac:dyDescent="0.3">
      <c r="A21" t="s">
        <v>409</v>
      </c>
      <c r="B21" t="str">
        <f t="shared" si="0"/>
        <v>02</v>
      </c>
      <c r="C21" t="s">
        <v>408</v>
      </c>
      <c r="D21" t="str">
        <f t="shared" si="1"/>
        <v>00</v>
      </c>
      <c r="E21" t="s">
        <v>45</v>
      </c>
      <c r="F21" s="139" t="s">
        <v>22</v>
      </c>
      <c r="G21" t="s">
        <v>23</v>
      </c>
      <c r="H21" s="156">
        <v>12000</v>
      </c>
      <c r="I21" s="156">
        <v>4526.16</v>
      </c>
      <c r="J21" s="156">
        <v>10000</v>
      </c>
      <c r="K21" s="156">
        <v>5910.93</v>
      </c>
      <c r="L21" s="156">
        <v>10000</v>
      </c>
      <c r="M21" s="156">
        <v>4311</v>
      </c>
      <c r="N21" s="156">
        <v>6500</v>
      </c>
      <c r="O21" s="156">
        <v>4600</v>
      </c>
      <c r="P21" s="156">
        <v>4600</v>
      </c>
      <c r="Q21" s="156">
        <v>4600</v>
      </c>
      <c r="R21" s="156">
        <v>6500</v>
      </c>
      <c r="S21" s="156">
        <f t="shared" si="2"/>
        <v>-1900</v>
      </c>
      <c r="T21" s="156">
        <f t="shared" si="3"/>
        <v>-1900</v>
      </c>
      <c r="U21" s="140">
        <f t="shared" si="4"/>
        <v>-0.29230769230769232</v>
      </c>
      <c r="V21" s="140">
        <f t="shared" si="5"/>
        <v>-0.62282000000000004</v>
      </c>
      <c r="W21" s="140">
        <f t="shared" si="6"/>
        <v>-0.40890699999999996</v>
      </c>
      <c r="X21" s="140">
        <f t="shared" si="7"/>
        <v>-0.56889999999999996</v>
      </c>
      <c r="Y21" s="140">
        <f t="shared" si="8"/>
        <v>-0.16666666666666666</v>
      </c>
      <c r="Z21" s="140">
        <f t="shared" si="9"/>
        <v>0.30594808844583499</v>
      </c>
      <c r="AA21" s="140">
        <f t="shared" si="10"/>
        <v>0</v>
      </c>
      <c r="AB21" s="140">
        <f t="shared" si="11"/>
        <v>-0.27067314280493937</v>
      </c>
      <c r="AC21" s="140">
        <f t="shared" si="12"/>
        <v>-0.35</v>
      </c>
      <c r="AD21" s="140">
        <f t="shared" si="13"/>
        <v>-0.45833333333333331</v>
      </c>
      <c r="AE21" s="140">
        <f t="shared" si="14"/>
        <v>-0.29230769230769232</v>
      </c>
      <c r="AF21" s="140">
        <f t="shared" si="15"/>
        <v>-0.29230769230769232</v>
      </c>
      <c r="AG21" s="140">
        <f t="shared" si="16"/>
        <v>-0.29230769230769232</v>
      </c>
      <c r="AH21" s="140">
        <f t="shared" si="17"/>
        <v>0</v>
      </c>
      <c r="AI21" s="140">
        <f t="shared" si="18"/>
        <v>-0.6166666666666667</v>
      </c>
      <c r="AJ21" s="140">
        <f t="shared" si="19"/>
        <v>-0.6166666666666667</v>
      </c>
      <c r="AK21" s="140">
        <f t="shared" si="20"/>
        <v>-0.6166666666666667</v>
      </c>
      <c r="AL21" s="140">
        <f t="shared" si="21"/>
        <v>-0.45833333333333331</v>
      </c>
      <c r="AM21" t="str">
        <f t="shared" si="22"/>
        <v>4550-000: Printing Services</v>
      </c>
      <c r="AN21" s="140">
        <f t="shared" si="23"/>
        <v>-0.17222222222222219</v>
      </c>
      <c r="AO21" s="140">
        <f t="shared" si="24"/>
        <v>-0.12008547008547013</v>
      </c>
      <c r="AP21" s="1" t="str">
        <f>IF(AND(AO21&gt;0, _xlfn.XLOOKUP($AM21, Discretionaries!$A$2:'Discretionaries'!$A$150, Discretionaries!$B$2:'Discretionaries'!$B$150)), (1+AN21)*$N21, "")</f>
        <v/>
      </c>
      <c r="AQ21" s="1" t="str">
        <f>IF(AND(AO21&gt;0, _xlfn.XLOOKUP($AM21, Discretionaries!$A$2:'Discretionaries'!$A$150, Discretionaries!$B$2:'Discretionaries'!$B$150)),AP21-$Q21,"")</f>
        <v/>
      </c>
      <c r="AR21" s="140">
        <f>IF(AG21="", 0-CPI!$B$15, AG21-CPI!$B$15)</f>
        <v>-0.3313076923076923</v>
      </c>
      <c r="AS21" s="1" t="str">
        <f>IF(AND(AR21&gt;0, _xlfn.XLOOKUP($AM21, Discretionaries!$A$2:'Discretionaries'!$A$150, Discretionaries!$B$2:'Discretionaries'!$B$150)), (1+CPI!$B$15)*$N21, "")</f>
        <v/>
      </c>
      <c r="AT21" s="1" t="str">
        <f>IF(AND(AR21&gt;0, _xlfn.XLOOKUP($AM21, Discretionaries!$A$2:'Discretionaries'!$A$150, Discretionaries!$B$2:'Discretionaries'!$B$150)),AS21-$Q21,"")</f>
        <v/>
      </c>
    </row>
    <row r="22" spans="1:46" x14ac:dyDescent="0.3">
      <c r="A22" t="s">
        <v>409</v>
      </c>
      <c r="B22" t="str">
        <f t="shared" si="0"/>
        <v>02</v>
      </c>
      <c r="C22" t="s">
        <v>408</v>
      </c>
      <c r="D22" t="str">
        <f t="shared" si="1"/>
        <v>00</v>
      </c>
      <c r="E22" t="s">
        <v>45</v>
      </c>
      <c r="F22" s="139" t="s">
        <v>46</v>
      </c>
      <c r="G22" t="s">
        <v>47</v>
      </c>
      <c r="H22" s="156">
        <v>57186</v>
      </c>
      <c r="I22" s="156">
        <v>46611.8</v>
      </c>
      <c r="J22" s="156">
        <v>58186</v>
      </c>
      <c r="K22" s="156">
        <v>50475.42</v>
      </c>
      <c r="L22" s="156">
        <v>58186</v>
      </c>
      <c r="M22" s="156">
        <v>49912.4</v>
      </c>
      <c r="N22" s="156">
        <v>55600</v>
      </c>
      <c r="O22" s="156">
        <v>34250</v>
      </c>
      <c r="P22" s="156">
        <v>34250</v>
      </c>
      <c r="Q22" s="156">
        <v>34250</v>
      </c>
      <c r="R22" s="156">
        <v>36289</v>
      </c>
      <c r="S22" s="156">
        <f t="shared" si="2"/>
        <v>-21350</v>
      </c>
      <c r="T22" s="156">
        <f t="shared" si="3"/>
        <v>-2039</v>
      </c>
      <c r="U22" s="140">
        <f t="shared" si="4"/>
        <v>-0.38399280575539568</v>
      </c>
      <c r="V22" s="140">
        <f t="shared" si="5"/>
        <v>-0.18490889378519212</v>
      </c>
      <c r="W22" s="140">
        <f t="shared" si="6"/>
        <v>-0.13251606915752934</v>
      </c>
      <c r="X22" s="140">
        <f t="shared" si="7"/>
        <v>-0.14219227992988001</v>
      </c>
      <c r="Y22" s="140">
        <f t="shared" si="8"/>
        <v>1.7486797467911725E-2</v>
      </c>
      <c r="Z22" s="140">
        <f t="shared" si="9"/>
        <v>8.2889311290274034E-2</v>
      </c>
      <c r="AA22" s="140">
        <f t="shared" si="10"/>
        <v>0</v>
      </c>
      <c r="AB22" s="140">
        <f t="shared" si="11"/>
        <v>-1.1154340072851238E-2</v>
      </c>
      <c r="AC22" s="140">
        <f t="shared" si="12"/>
        <v>-4.4443680610456122E-2</v>
      </c>
      <c r="AD22" s="140">
        <f t="shared" si="13"/>
        <v>-2.7734060784107999E-2</v>
      </c>
      <c r="AE22" s="140">
        <f t="shared" si="14"/>
        <v>-0.38399280575539568</v>
      </c>
      <c r="AF22" s="140">
        <f t="shared" si="15"/>
        <v>-0.38399280575539568</v>
      </c>
      <c r="AG22" s="140">
        <f t="shared" si="16"/>
        <v>-0.38399280575539568</v>
      </c>
      <c r="AH22" s="140">
        <f t="shared" si="17"/>
        <v>-0.34732014388489207</v>
      </c>
      <c r="AI22" s="140">
        <f t="shared" si="18"/>
        <v>-0.40107718672402337</v>
      </c>
      <c r="AJ22" s="140">
        <f t="shared" si="19"/>
        <v>-0.40107718672402337</v>
      </c>
      <c r="AK22" s="140">
        <f t="shared" si="20"/>
        <v>-0.40107718672402337</v>
      </c>
      <c r="AL22" s="140">
        <f t="shared" si="21"/>
        <v>-0.36542160668695134</v>
      </c>
      <c r="AM22" t="str">
        <f t="shared" si="22"/>
        <v>4560-000: Dues &amp; subs Services</v>
      </c>
      <c r="AN22" s="140">
        <f t="shared" si="23"/>
        <v>-8.9856277141814652E-3</v>
      </c>
      <c r="AO22" s="140">
        <f t="shared" si="24"/>
        <v>-0.3750071780412142</v>
      </c>
      <c r="AP22" s="1" t="str">
        <f>IF(AND(AO22&gt;0, _xlfn.XLOOKUP($AM22, Discretionaries!$A$2:'Discretionaries'!$A$150, Discretionaries!$B$2:'Discretionaries'!$B$150)), (1+AN22)*$N22, "")</f>
        <v/>
      </c>
      <c r="AQ22" s="1" t="str">
        <f>IF(AND(AO22&gt;0, _xlfn.XLOOKUP($AM22, Discretionaries!$A$2:'Discretionaries'!$A$150, Discretionaries!$B$2:'Discretionaries'!$B$150)),AP22-$Q22,"")</f>
        <v/>
      </c>
      <c r="AR22" s="140">
        <f>IF(AG22="", 0-CPI!$B$15, AG22-CPI!$B$15)</f>
        <v>-0.42299280575539566</v>
      </c>
      <c r="AS22" s="1" t="str">
        <f>IF(AND(AR22&gt;0, _xlfn.XLOOKUP($AM22, Discretionaries!$A$2:'Discretionaries'!$A$150, Discretionaries!$B$2:'Discretionaries'!$B$150)), (1+CPI!$B$15)*$N22, "")</f>
        <v/>
      </c>
      <c r="AT22" s="1" t="str">
        <f>IF(AND(AR22&gt;0, _xlfn.XLOOKUP($AM22, Discretionaries!$A$2:'Discretionaries'!$A$150, Discretionaries!$B$2:'Discretionaries'!$B$150)),AS22-$Q22,"")</f>
        <v/>
      </c>
    </row>
    <row r="23" spans="1:46" x14ac:dyDescent="0.3">
      <c r="A23" t="s">
        <v>409</v>
      </c>
      <c r="B23" t="str">
        <f t="shared" si="0"/>
        <v>02</v>
      </c>
      <c r="C23" t="s">
        <v>408</v>
      </c>
      <c r="D23" t="str">
        <f t="shared" si="1"/>
        <v>00</v>
      </c>
      <c r="E23" t="s">
        <v>45</v>
      </c>
      <c r="F23" s="139" t="s">
        <v>24</v>
      </c>
      <c r="G23" t="s">
        <v>25</v>
      </c>
      <c r="H23" s="156">
        <v>1500</v>
      </c>
      <c r="I23" s="156">
        <v>940</v>
      </c>
      <c r="J23" s="156">
        <v>1500</v>
      </c>
      <c r="K23" s="156">
        <v>3276.8</v>
      </c>
      <c r="L23" s="156">
        <v>2500</v>
      </c>
      <c r="M23" s="156">
        <v>516.5</v>
      </c>
      <c r="N23" s="156">
        <v>2750</v>
      </c>
      <c r="O23" s="156">
        <v>3000</v>
      </c>
      <c r="P23" s="156">
        <v>3000</v>
      </c>
      <c r="Q23" s="156">
        <v>3000</v>
      </c>
      <c r="R23" s="156">
        <v>2750</v>
      </c>
      <c r="S23" s="156">
        <f t="shared" si="2"/>
        <v>250</v>
      </c>
      <c r="T23" s="156">
        <f t="shared" si="3"/>
        <v>250</v>
      </c>
      <c r="U23" s="140">
        <f t="shared" si="4"/>
        <v>9.0909090909090912E-2</v>
      </c>
      <c r="V23" s="140">
        <f t="shared" si="5"/>
        <v>-0.37333333333333335</v>
      </c>
      <c r="W23" s="140">
        <f t="shared" si="6"/>
        <v>1.1845333333333334</v>
      </c>
      <c r="X23" s="140">
        <f t="shared" si="7"/>
        <v>-0.79339999999999999</v>
      </c>
      <c r="Y23" s="140">
        <f t="shared" si="8"/>
        <v>0</v>
      </c>
      <c r="Z23" s="140">
        <f t="shared" si="9"/>
        <v>2.4859574468085111</v>
      </c>
      <c r="AA23" s="140">
        <f t="shared" si="10"/>
        <v>0.66666666666666663</v>
      </c>
      <c r="AB23" s="140">
        <f t="shared" si="11"/>
        <v>-0.842376708984375</v>
      </c>
      <c r="AC23" s="140">
        <f t="shared" si="12"/>
        <v>0.1</v>
      </c>
      <c r="AD23" s="140">
        <f t="shared" si="13"/>
        <v>0.83333333333333337</v>
      </c>
      <c r="AE23" s="140">
        <f t="shared" si="14"/>
        <v>9.0909090909090912E-2</v>
      </c>
      <c r="AF23" s="140">
        <f t="shared" si="15"/>
        <v>9.0909090909090912E-2</v>
      </c>
      <c r="AG23" s="140">
        <f t="shared" si="16"/>
        <v>9.0909090909090912E-2</v>
      </c>
      <c r="AH23" s="140">
        <f t="shared" si="17"/>
        <v>0</v>
      </c>
      <c r="AI23" s="140">
        <f t="shared" si="18"/>
        <v>1</v>
      </c>
      <c r="AJ23" s="140">
        <f t="shared" si="19"/>
        <v>1</v>
      </c>
      <c r="AK23" s="140">
        <f t="shared" si="20"/>
        <v>1</v>
      </c>
      <c r="AL23" s="140">
        <f t="shared" si="21"/>
        <v>0.83333333333333337</v>
      </c>
      <c r="AM23" t="str">
        <f t="shared" si="22"/>
        <v>4570-000: Sem &amp; workshops Services</v>
      </c>
      <c r="AN23" s="140">
        <f t="shared" si="23"/>
        <v>0.25555555555555554</v>
      </c>
      <c r="AO23" s="140">
        <f t="shared" si="24"/>
        <v>-0.16464646464646462</v>
      </c>
      <c r="AP23" s="1" t="str">
        <f>IF(AND(AO23&gt;0, _xlfn.XLOOKUP($AM23, Discretionaries!$A$2:'Discretionaries'!$A$150, Discretionaries!$B$2:'Discretionaries'!$B$150)), (1+AN23)*$N23, "")</f>
        <v/>
      </c>
      <c r="AQ23" s="1" t="str">
        <f>IF(AND(AO23&gt;0, _xlfn.XLOOKUP($AM23, Discretionaries!$A$2:'Discretionaries'!$A$150, Discretionaries!$B$2:'Discretionaries'!$B$150)),AP23-$Q23,"")</f>
        <v/>
      </c>
      <c r="AR23" s="140">
        <f>IF(AG23="", 0-CPI!$B$15, AG23-CPI!$B$15)</f>
        <v>5.1909090909090919E-2</v>
      </c>
      <c r="AS23" s="1">
        <f>IF(AND(AR23&gt;0, _xlfn.XLOOKUP($AM23, Discretionaries!$A$2:'Discretionaries'!$A$150, Discretionaries!$B$2:'Discretionaries'!$B$150)), (1+CPI!$B$15)*$N23, "")</f>
        <v>2857.25</v>
      </c>
      <c r="AT23" s="1">
        <f>IF(AND(AR23&gt;0, _xlfn.XLOOKUP($AM23, Discretionaries!$A$2:'Discretionaries'!$A$150, Discretionaries!$B$2:'Discretionaries'!$B$150)),AS23-$Q23,"")</f>
        <v>-142.75</v>
      </c>
    </row>
    <row r="24" spans="1:46" x14ac:dyDescent="0.3">
      <c r="A24" t="s">
        <v>409</v>
      </c>
      <c r="B24" t="str">
        <f t="shared" si="0"/>
        <v>02</v>
      </c>
      <c r="C24" t="s">
        <v>408</v>
      </c>
      <c r="D24" t="str">
        <f t="shared" si="1"/>
        <v>00</v>
      </c>
      <c r="E24" t="s">
        <v>45</v>
      </c>
      <c r="F24" s="139" t="s">
        <v>26</v>
      </c>
      <c r="G24" t="s">
        <v>27</v>
      </c>
      <c r="H24" s="156">
        <v>2900</v>
      </c>
      <c r="I24" s="156">
        <v>167.49</v>
      </c>
      <c r="J24" s="156">
        <v>2900</v>
      </c>
      <c r="K24" s="156">
        <v>783.47</v>
      </c>
      <c r="L24" s="156">
        <v>2900</v>
      </c>
      <c r="M24" s="156">
        <v>741.76</v>
      </c>
      <c r="N24" s="156">
        <v>1700</v>
      </c>
      <c r="O24" s="156">
        <v>6900</v>
      </c>
      <c r="P24" s="156">
        <v>6900</v>
      </c>
      <c r="Q24" s="156">
        <v>6900</v>
      </c>
      <c r="R24" s="156">
        <v>1700</v>
      </c>
      <c r="S24" s="156">
        <f t="shared" si="2"/>
        <v>5200</v>
      </c>
      <c r="T24" s="156">
        <f t="shared" si="3"/>
        <v>5200</v>
      </c>
      <c r="U24" s="140">
        <f t="shared" si="4"/>
        <v>3.0588235294117645</v>
      </c>
      <c r="V24" s="140">
        <f t="shared" si="5"/>
        <v>-0.94224482758620698</v>
      </c>
      <c r="W24" s="140">
        <f t="shared" si="6"/>
        <v>-0.72983793103448269</v>
      </c>
      <c r="X24" s="140">
        <f t="shared" si="7"/>
        <v>-0.7442206896551723</v>
      </c>
      <c r="Y24" s="140">
        <f t="shared" si="8"/>
        <v>0</v>
      </c>
      <c r="Z24" s="140">
        <f t="shared" si="9"/>
        <v>3.6777121022150574</v>
      </c>
      <c r="AA24" s="140">
        <f t="shared" si="10"/>
        <v>0</v>
      </c>
      <c r="AB24" s="140">
        <f t="shared" si="11"/>
        <v>-5.3237520262422344E-2</v>
      </c>
      <c r="AC24" s="140">
        <f t="shared" si="12"/>
        <v>-0.41379310344827586</v>
      </c>
      <c r="AD24" s="140">
        <f t="shared" si="13"/>
        <v>-0.41379310344827586</v>
      </c>
      <c r="AE24" s="140">
        <f t="shared" si="14"/>
        <v>3.0588235294117645</v>
      </c>
      <c r="AF24" s="140">
        <f t="shared" si="15"/>
        <v>3.0588235294117645</v>
      </c>
      <c r="AG24" s="140">
        <f t="shared" si="16"/>
        <v>3.0588235294117645</v>
      </c>
      <c r="AH24" s="140">
        <f t="shared" si="17"/>
        <v>0</v>
      </c>
      <c r="AI24" s="140">
        <f t="shared" si="18"/>
        <v>1.3793103448275863</v>
      </c>
      <c r="AJ24" s="140">
        <f t="shared" si="19"/>
        <v>1.3793103448275863</v>
      </c>
      <c r="AK24" s="140">
        <f t="shared" si="20"/>
        <v>1.3793103448275863</v>
      </c>
      <c r="AL24" s="140">
        <f t="shared" si="21"/>
        <v>-0.41379310344827586</v>
      </c>
      <c r="AM24" t="str">
        <f t="shared" si="22"/>
        <v>4575-000: Travel &amp; mileage Services</v>
      </c>
      <c r="AN24" s="140">
        <f t="shared" si="23"/>
        <v>-0.13793103448275862</v>
      </c>
      <c r="AO24" s="140">
        <f t="shared" si="24"/>
        <v>3.1967545638945229</v>
      </c>
      <c r="AP24" s="1">
        <f>IF(AND(AO24&gt;0, _xlfn.XLOOKUP($AM24, Discretionaries!$A$2:'Discretionaries'!$A$150, Discretionaries!$B$2:'Discretionaries'!$B$150)), (1+AN24)*$N24, "")</f>
        <v>1465.5172413793102</v>
      </c>
      <c r="AQ24" s="1">
        <f>IF(AND(AO24&gt;0, _xlfn.XLOOKUP($AM24, Discretionaries!$A$2:'Discretionaries'!$A$150, Discretionaries!$B$2:'Discretionaries'!$B$150)),AP24-$Q24,"")</f>
        <v>-5434.4827586206902</v>
      </c>
      <c r="AR24" s="140">
        <f>IF(AG24="", 0-CPI!$B$15, AG24-CPI!$B$15)</f>
        <v>3.0198235294117644</v>
      </c>
      <c r="AS24" s="1">
        <f>IF(AND(AR24&gt;0, _xlfn.XLOOKUP($AM24, Discretionaries!$A$2:'Discretionaries'!$A$150, Discretionaries!$B$2:'Discretionaries'!$B$150)), (1+CPI!$B$15)*$N24, "")</f>
        <v>1766.3</v>
      </c>
      <c r="AT24" s="1">
        <f>IF(AND(AR24&gt;0, _xlfn.XLOOKUP($AM24, Discretionaries!$A$2:'Discretionaries'!$A$150, Discretionaries!$B$2:'Discretionaries'!$B$150)),AS24-$Q24,"")</f>
        <v>-5133.7</v>
      </c>
    </row>
    <row r="25" spans="1:46" x14ac:dyDescent="0.3">
      <c r="A25" t="s">
        <v>409</v>
      </c>
      <c r="B25" t="str">
        <f t="shared" si="0"/>
        <v>02</v>
      </c>
      <c r="C25" t="s">
        <v>408</v>
      </c>
      <c r="D25" t="str">
        <f t="shared" si="1"/>
        <v>00</v>
      </c>
      <c r="E25" t="s">
        <v>30</v>
      </c>
      <c r="F25" s="139" t="s">
        <v>51</v>
      </c>
      <c r="G25" t="s">
        <v>48</v>
      </c>
      <c r="H25" s="156">
        <v>1575</v>
      </c>
      <c r="I25" s="156">
        <v>2142.84</v>
      </c>
      <c r="J25" s="156">
        <v>1575</v>
      </c>
      <c r="K25" s="156">
        <v>3511.98</v>
      </c>
      <c r="L25" s="156">
        <v>1575</v>
      </c>
      <c r="M25" s="156">
        <v>1848.73</v>
      </c>
      <c r="N25" s="156">
        <v>1575</v>
      </c>
      <c r="O25" s="156">
        <v>2500</v>
      </c>
      <c r="P25" s="156">
        <v>2500</v>
      </c>
      <c r="Q25" s="156">
        <v>2500</v>
      </c>
      <c r="R25" s="156">
        <v>1575</v>
      </c>
      <c r="S25" s="156">
        <f t="shared" si="2"/>
        <v>925</v>
      </c>
      <c r="T25" s="156">
        <f t="shared" si="3"/>
        <v>925</v>
      </c>
      <c r="U25" s="140">
        <f t="shared" si="4"/>
        <v>0.58730158730158732</v>
      </c>
      <c r="V25" s="140">
        <f t="shared" si="5"/>
        <v>0.36053333333333343</v>
      </c>
      <c r="W25" s="140">
        <f t="shared" si="6"/>
        <v>1.2298285714285715</v>
      </c>
      <c r="X25" s="140">
        <f t="shared" si="7"/>
        <v>0.17379682539682542</v>
      </c>
      <c r="Y25" s="140">
        <f t="shared" si="8"/>
        <v>0</v>
      </c>
      <c r="Z25" s="140">
        <f t="shared" si="9"/>
        <v>0.63893711149689192</v>
      </c>
      <c r="AA25" s="140">
        <f t="shared" si="10"/>
        <v>0</v>
      </c>
      <c r="AB25" s="140">
        <f t="shared" si="11"/>
        <v>-0.47359324369728756</v>
      </c>
      <c r="AC25" s="140">
        <f t="shared" si="12"/>
        <v>0</v>
      </c>
      <c r="AD25" s="140">
        <f t="shared" si="13"/>
        <v>0</v>
      </c>
      <c r="AE25" s="140">
        <f t="shared" si="14"/>
        <v>0.58730158730158732</v>
      </c>
      <c r="AF25" s="140">
        <f t="shared" si="15"/>
        <v>0.58730158730158732</v>
      </c>
      <c r="AG25" s="140">
        <f t="shared" si="16"/>
        <v>0.58730158730158732</v>
      </c>
      <c r="AH25" s="140">
        <f t="shared" si="17"/>
        <v>0</v>
      </c>
      <c r="AI25" s="140">
        <f t="shared" si="18"/>
        <v>0.58730158730158732</v>
      </c>
      <c r="AJ25" s="140">
        <f t="shared" si="19"/>
        <v>0.58730158730158732</v>
      </c>
      <c r="AK25" s="140">
        <f t="shared" si="20"/>
        <v>0.58730158730158732</v>
      </c>
      <c r="AL25" s="140">
        <f t="shared" si="21"/>
        <v>0</v>
      </c>
      <c r="AM25" t="str">
        <f t="shared" si="22"/>
        <v>4620-000: Office supplies Supplies</v>
      </c>
      <c r="AN25" s="140">
        <f t="shared" si="23"/>
        <v>0</v>
      </c>
      <c r="AO25" s="140">
        <f t="shared" si="24"/>
        <v>0.58730158730158732</v>
      </c>
      <c r="AP25" s="1">
        <f>IF(AND(AO25&gt;0, _xlfn.XLOOKUP($AM25, Discretionaries!$A$2:'Discretionaries'!$A$150, Discretionaries!$B$2:'Discretionaries'!$B$150)), (1+AN25)*$N25, "")</f>
        <v>1575</v>
      </c>
      <c r="AQ25" s="1">
        <f>IF(AND(AO25&gt;0, _xlfn.XLOOKUP($AM25, Discretionaries!$A$2:'Discretionaries'!$A$150, Discretionaries!$B$2:'Discretionaries'!$B$150)),AP25-$Q25,"")</f>
        <v>-925</v>
      </c>
      <c r="AR25" s="140">
        <f>IF(AG25="", 0-CPI!$B$15, AG25-CPI!$B$15)</f>
        <v>0.54830158730158729</v>
      </c>
      <c r="AS25" s="1">
        <f>IF(AND(AR25&gt;0, _xlfn.XLOOKUP($AM25, Discretionaries!$A$2:'Discretionaries'!$A$150, Discretionaries!$B$2:'Discretionaries'!$B$150)), (1+CPI!$B$15)*$N25, "")</f>
        <v>1636.425</v>
      </c>
      <c r="AT25" s="1">
        <f>IF(AND(AR25&gt;0, _xlfn.XLOOKUP($AM25, Discretionaries!$A$2:'Discretionaries'!$A$150, Discretionaries!$B$2:'Discretionaries'!$B$150)),AS25-$Q25,"")</f>
        <v>-863.57500000000005</v>
      </c>
    </row>
    <row r="26" spans="1:46" x14ac:dyDescent="0.3">
      <c r="A26" t="s">
        <v>409</v>
      </c>
      <c r="B26" t="str">
        <f t="shared" si="0"/>
        <v>02</v>
      </c>
      <c r="C26" t="s">
        <v>408</v>
      </c>
      <c r="D26" t="str">
        <f t="shared" si="1"/>
        <v>00</v>
      </c>
      <c r="E26" t="s">
        <v>30</v>
      </c>
      <c r="F26" s="139" t="s">
        <v>52</v>
      </c>
      <c r="G26" t="s">
        <v>49</v>
      </c>
      <c r="H26" s="156">
        <v>750</v>
      </c>
      <c r="I26" s="156">
        <v>2407.98</v>
      </c>
      <c r="J26" s="156">
        <v>750</v>
      </c>
      <c r="K26" s="156">
        <v>745.19</v>
      </c>
      <c r="L26" s="156">
        <v>750</v>
      </c>
      <c r="M26" s="156">
        <v>200.57</v>
      </c>
      <c r="N26" s="156">
        <v>750</v>
      </c>
      <c r="O26" s="156">
        <v>1724</v>
      </c>
      <c r="P26" s="156">
        <v>1724</v>
      </c>
      <c r="Q26" s="156">
        <v>1724</v>
      </c>
      <c r="R26" s="156">
        <v>750</v>
      </c>
      <c r="S26" s="156">
        <f t="shared" si="2"/>
        <v>974</v>
      </c>
      <c r="T26" s="156">
        <f t="shared" si="3"/>
        <v>974</v>
      </c>
      <c r="U26" s="140">
        <f t="shared" si="4"/>
        <v>1.2986666666666666</v>
      </c>
      <c r="V26" s="140">
        <f t="shared" si="5"/>
        <v>2.2106400000000002</v>
      </c>
      <c r="W26" s="140">
        <f t="shared" si="6"/>
        <v>-6.4133333333332605E-3</v>
      </c>
      <c r="X26" s="140">
        <f t="shared" si="7"/>
        <v>-0.73257333333333341</v>
      </c>
      <c r="Y26" s="140">
        <f t="shared" si="8"/>
        <v>0</v>
      </c>
      <c r="Z26" s="140">
        <f t="shared" si="9"/>
        <v>-0.6905331439629897</v>
      </c>
      <c r="AA26" s="140">
        <f t="shared" si="10"/>
        <v>0</v>
      </c>
      <c r="AB26" s="140">
        <f t="shared" si="11"/>
        <v>-0.73084716649445114</v>
      </c>
      <c r="AC26" s="140">
        <f t="shared" si="12"/>
        <v>0</v>
      </c>
      <c r="AD26" s="140">
        <f t="shared" si="13"/>
        <v>0</v>
      </c>
      <c r="AE26" s="140">
        <f t="shared" si="14"/>
        <v>1.2986666666666666</v>
      </c>
      <c r="AF26" s="140">
        <f t="shared" si="15"/>
        <v>1.2986666666666666</v>
      </c>
      <c r="AG26" s="140">
        <f t="shared" si="16"/>
        <v>1.2986666666666666</v>
      </c>
      <c r="AH26" s="140">
        <f t="shared" si="17"/>
        <v>0</v>
      </c>
      <c r="AI26" s="140">
        <f t="shared" si="18"/>
        <v>1.2986666666666666</v>
      </c>
      <c r="AJ26" s="140">
        <f t="shared" si="19"/>
        <v>1.2986666666666666</v>
      </c>
      <c r="AK26" s="140">
        <f t="shared" si="20"/>
        <v>1.2986666666666666</v>
      </c>
      <c r="AL26" s="140">
        <f t="shared" si="21"/>
        <v>0</v>
      </c>
      <c r="AM26" t="str">
        <f t="shared" si="22"/>
        <v>4625-000: Postage Supplies</v>
      </c>
      <c r="AN26" s="140">
        <f t="shared" si="23"/>
        <v>0</v>
      </c>
      <c r="AO26" s="140">
        <f t="shared" si="24"/>
        <v>1.2986666666666666</v>
      </c>
      <c r="AP26" s="1">
        <f>IF(AND(AO26&gt;0, _xlfn.XLOOKUP($AM26, Discretionaries!$A$2:'Discretionaries'!$A$150, Discretionaries!$B$2:'Discretionaries'!$B$150)), (1+AN26)*$N26, "")</f>
        <v>750</v>
      </c>
      <c r="AQ26" s="1">
        <f>IF(AND(AO26&gt;0, _xlfn.XLOOKUP($AM26, Discretionaries!$A$2:'Discretionaries'!$A$150, Discretionaries!$B$2:'Discretionaries'!$B$150)),AP26-$Q26,"")</f>
        <v>-974</v>
      </c>
      <c r="AR26" s="140">
        <f>IF(AG26="", 0-CPI!$B$15, AG26-CPI!$B$15)</f>
        <v>1.2596666666666667</v>
      </c>
      <c r="AS26" s="1">
        <f>IF(AND(AR26&gt;0, _xlfn.XLOOKUP($AM26, Discretionaries!$A$2:'Discretionaries'!$A$150, Discretionaries!$B$2:'Discretionaries'!$B$150)), (1+CPI!$B$15)*$N26, "")</f>
        <v>779.24999999999989</v>
      </c>
      <c r="AT26" s="1">
        <f>IF(AND(AR26&gt;0, _xlfn.XLOOKUP($AM26, Discretionaries!$A$2:'Discretionaries'!$A$150, Discretionaries!$B$2:'Discretionaries'!$B$150)),AS26-$Q26,"")</f>
        <v>-944.75000000000011</v>
      </c>
    </row>
    <row r="27" spans="1:46" x14ac:dyDescent="0.3">
      <c r="A27" t="s">
        <v>409</v>
      </c>
      <c r="B27" t="str">
        <f t="shared" si="0"/>
        <v>02</v>
      </c>
      <c r="C27" t="s">
        <v>408</v>
      </c>
      <c r="D27" t="str">
        <f t="shared" si="1"/>
        <v>00</v>
      </c>
      <c r="E27" t="s">
        <v>30</v>
      </c>
      <c r="F27" s="139" t="s">
        <v>53</v>
      </c>
      <c r="G27" t="s">
        <v>50</v>
      </c>
      <c r="H27" s="156">
        <v>250</v>
      </c>
      <c r="I27" s="156">
        <v>0</v>
      </c>
      <c r="J27" s="156">
        <v>250</v>
      </c>
      <c r="K27" s="156">
        <v>425.31</v>
      </c>
      <c r="L27" s="156">
        <v>250</v>
      </c>
      <c r="M27" s="156">
        <v>489.61</v>
      </c>
      <c r="N27" s="156">
        <v>250</v>
      </c>
      <c r="O27" s="156">
        <v>75</v>
      </c>
      <c r="P27" s="156">
        <v>75</v>
      </c>
      <c r="Q27" s="156">
        <v>75</v>
      </c>
      <c r="R27" s="156">
        <v>250</v>
      </c>
      <c r="S27" s="156">
        <f t="shared" si="2"/>
        <v>-175</v>
      </c>
      <c r="T27" s="156">
        <f t="shared" si="3"/>
        <v>-175</v>
      </c>
      <c r="U27" s="140">
        <f t="shared" si="4"/>
        <v>-0.7</v>
      </c>
      <c r="V27" s="140">
        <f t="shared" si="5"/>
        <v>-1</v>
      </c>
      <c r="W27" s="140">
        <f t="shared" si="6"/>
        <v>0.70123999999999997</v>
      </c>
      <c r="X27" s="140">
        <f t="shared" si="7"/>
        <v>0.95844000000000007</v>
      </c>
      <c r="Y27" s="140">
        <f t="shared" si="8"/>
        <v>0</v>
      </c>
      <c r="Z27" s="140" t="str">
        <f t="shared" si="9"/>
        <v/>
      </c>
      <c r="AA27" s="140">
        <f t="shared" si="10"/>
        <v>0</v>
      </c>
      <c r="AB27" s="140">
        <f t="shared" si="11"/>
        <v>0.15118384237379795</v>
      </c>
      <c r="AC27" s="140">
        <f t="shared" si="12"/>
        <v>0</v>
      </c>
      <c r="AD27" s="140">
        <f t="shared" si="13"/>
        <v>0</v>
      </c>
      <c r="AE27" s="140">
        <f t="shared" si="14"/>
        <v>-0.7</v>
      </c>
      <c r="AF27" s="140">
        <f t="shared" si="15"/>
        <v>-0.7</v>
      </c>
      <c r="AG27" s="140">
        <f t="shared" si="16"/>
        <v>-0.7</v>
      </c>
      <c r="AH27" s="140">
        <f t="shared" si="17"/>
        <v>0</v>
      </c>
      <c r="AI27" s="140">
        <f t="shared" si="18"/>
        <v>-0.7</v>
      </c>
      <c r="AJ27" s="140">
        <f t="shared" si="19"/>
        <v>-0.7</v>
      </c>
      <c r="AK27" s="140">
        <f t="shared" si="20"/>
        <v>-0.7</v>
      </c>
      <c r="AL27" s="140">
        <f t="shared" si="21"/>
        <v>0</v>
      </c>
      <c r="AM27" t="str">
        <f t="shared" si="22"/>
        <v>4670-000: Books &amp; periodicals Supplies</v>
      </c>
      <c r="AN27" s="140">
        <f t="shared" si="23"/>
        <v>0</v>
      </c>
      <c r="AO27" s="140">
        <f t="shared" si="24"/>
        <v>-0.7</v>
      </c>
      <c r="AP27" s="1" t="str">
        <f>IF(AND(AO27&gt;0, _xlfn.XLOOKUP($AM27, Discretionaries!$A$2:'Discretionaries'!$A$150, Discretionaries!$B$2:'Discretionaries'!$B$150)), (1+AN27)*$N27, "")</f>
        <v/>
      </c>
      <c r="AQ27" s="1" t="str">
        <f>IF(AND(AO27&gt;0, _xlfn.XLOOKUP($AM27, Discretionaries!$A$2:'Discretionaries'!$A$150, Discretionaries!$B$2:'Discretionaries'!$B$150)),AP27-$Q27,"")</f>
        <v/>
      </c>
      <c r="AR27" s="140">
        <f>IF(AG27="", 0-CPI!$B$15, AG27-CPI!$B$15)</f>
        <v>-0.73899999999999999</v>
      </c>
      <c r="AS27" s="1" t="str">
        <f>IF(AND(AR27&gt;0, _xlfn.XLOOKUP($AM27, Discretionaries!$A$2:'Discretionaries'!$A$150, Discretionaries!$B$2:'Discretionaries'!$B$150)), (1+CPI!$B$15)*$N27, "")</f>
        <v/>
      </c>
      <c r="AT27" s="1" t="str">
        <f>IF(AND(AR27&gt;0, _xlfn.XLOOKUP($AM27, Discretionaries!$A$2:'Discretionaries'!$A$150, Discretionaries!$B$2:'Discretionaries'!$B$150)),AS27-$Q27,"")</f>
        <v/>
      </c>
    </row>
    <row r="28" spans="1:46" x14ac:dyDescent="0.3">
      <c r="A28" t="s">
        <v>409</v>
      </c>
      <c r="B28" t="str">
        <f t="shared" si="0"/>
        <v>02</v>
      </c>
      <c r="C28" t="s">
        <v>408</v>
      </c>
      <c r="D28" t="str">
        <f t="shared" si="1"/>
        <v>00</v>
      </c>
      <c r="E28" t="s">
        <v>54</v>
      </c>
      <c r="F28" s="139" t="s">
        <v>55</v>
      </c>
      <c r="G28" t="s">
        <v>56</v>
      </c>
      <c r="H28" s="156">
        <v>0</v>
      </c>
      <c r="I28" s="156">
        <v>2257.39</v>
      </c>
      <c r="J28" s="156">
        <v>0</v>
      </c>
      <c r="K28" s="156">
        <v>0</v>
      </c>
      <c r="L28" s="156">
        <v>0</v>
      </c>
      <c r="M28" s="156">
        <v>0</v>
      </c>
      <c r="N28" s="156">
        <v>0</v>
      </c>
      <c r="O28" s="156">
        <v>0</v>
      </c>
      <c r="P28" s="156">
        <v>0</v>
      </c>
      <c r="Q28" s="156">
        <v>0</v>
      </c>
      <c r="R28" s="156">
        <v>0</v>
      </c>
      <c r="S28" s="156">
        <f t="shared" si="2"/>
        <v>0</v>
      </c>
      <c r="T28" s="156">
        <f t="shared" si="3"/>
        <v>0</v>
      </c>
      <c r="U28" s="140" t="str">
        <f t="shared" si="4"/>
        <v/>
      </c>
      <c r="V28" s="140" t="str">
        <f t="shared" si="5"/>
        <v/>
      </c>
      <c r="W28" s="140" t="str">
        <f t="shared" si="6"/>
        <v/>
      </c>
      <c r="X28" s="140" t="str">
        <f t="shared" si="7"/>
        <v/>
      </c>
      <c r="Y28" s="140" t="str">
        <f t="shared" si="8"/>
        <v/>
      </c>
      <c r="Z28" s="140">
        <f t="shared" si="9"/>
        <v>-1</v>
      </c>
      <c r="AA28" s="140" t="str">
        <f t="shared" si="10"/>
        <v/>
      </c>
      <c r="AB28" s="140" t="str">
        <f t="shared" si="11"/>
        <v/>
      </c>
      <c r="AC28" s="140" t="str">
        <f t="shared" si="12"/>
        <v/>
      </c>
      <c r="AD28" s="140" t="str">
        <f t="shared" si="13"/>
        <v/>
      </c>
      <c r="AE28" s="140" t="str">
        <f t="shared" si="14"/>
        <v/>
      </c>
      <c r="AF28" s="140" t="str">
        <f t="shared" si="15"/>
        <v/>
      </c>
      <c r="AG28" s="140" t="str">
        <f t="shared" si="16"/>
        <v/>
      </c>
      <c r="AH28" s="140" t="str">
        <f t="shared" si="17"/>
        <v/>
      </c>
      <c r="AI28" s="140" t="str">
        <f t="shared" si="18"/>
        <v/>
      </c>
      <c r="AJ28" s="140" t="str">
        <f t="shared" si="19"/>
        <v/>
      </c>
      <c r="AK28" s="140" t="str">
        <f t="shared" si="20"/>
        <v/>
      </c>
      <c r="AL28" s="140" t="str">
        <f t="shared" si="21"/>
        <v/>
      </c>
      <c r="AM28" t="str">
        <f t="shared" si="22"/>
        <v>4750-000: Furniture &amp; fixures Property</v>
      </c>
      <c r="AN28" s="140">
        <f t="shared" si="23"/>
        <v>0</v>
      </c>
      <c r="AO28" s="140">
        <f t="shared" si="24"/>
        <v>0</v>
      </c>
      <c r="AP28" s="1" t="str">
        <f>IF(AND(AO28&gt;0, _xlfn.XLOOKUP($AM28, Discretionaries!$A$2:'Discretionaries'!$A$150, Discretionaries!$B$2:'Discretionaries'!$B$150)), (1+AN28)*$N28, "")</f>
        <v/>
      </c>
      <c r="AQ28" s="1" t="str">
        <f>IF(AND(AO28&gt;0, _xlfn.XLOOKUP($AM28, Discretionaries!$A$2:'Discretionaries'!$A$150, Discretionaries!$B$2:'Discretionaries'!$B$150)),AP28-$Q28,"")</f>
        <v/>
      </c>
      <c r="AR28" s="140">
        <f>IF(AG28="", 0-CPI!$B$15, AG28-CPI!$B$15)</f>
        <v>-3.8999999999999993E-2</v>
      </c>
      <c r="AS28" s="1" t="str">
        <f>IF(AND(AR28&gt;0, _xlfn.XLOOKUP($AM28, Discretionaries!$A$2:'Discretionaries'!$A$150, Discretionaries!$B$2:'Discretionaries'!$B$150)), (1+CPI!$B$15)*$N28, "")</f>
        <v/>
      </c>
      <c r="AT28" s="1" t="str">
        <f>IF(AND(AR28&gt;0, _xlfn.XLOOKUP($AM28, Discretionaries!$A$2:'Discretionaries'!$A$150, Discretionaries!$B$2:'Discretionaries'!$B$150)),AS28-$Q28,"")</f>
        <v/>
      </c>
    </row>
    <row r="29" spans="1:46" x14ac:dyDescent="0.3">
      <c r="A29" t="s">
        <v>410</v>
      </c>
      <c r="B29" t="str">
        <f t="shared" si="0"/>
        <v>03</v>
      </c>
      <c r="C29" t="s">
        <v>408</v>
      </c>
      <c r="D29" t="str">
        <f t="shared" si="1"/>
        <v>00</v>
      </c>
      <c r="E29" t="s">
        <v>11</v>
      </c>
      <c r="F29" s="139" t="s">
        <v>35</v>
      </c>
      <c r="G29" t="s">
        <v>36</v>
      </c>
      <c r="H29" s="156">
        <v>0</v>
      </c>
      <c r="I29" s="156">
        <v>0</v>
      </c>
      <c r="J29" s="156">
        <v>0</v>
      </c>
      <c r="K29" s="156">
        <v>0</v>
      </c>
      <c r="L29" s="156">
        <v>0</v>
      </c>
      <c r="M29" s="156">
        <v>0</v>
      </c>
      <c r="N29" s="156">
        <v>0</v>
      </c>
      <c r="O29" s="156">
        <v>243403</v>
      </c>
      <c r="P29" s="156">
        <v>243403</v>
      </c>
      <c r="Q29" s="156">
        <v>243403</v>
      </c>
      <c r="R29" s="156">
        <v>243403</v>
      </c>
      <c r="S29" s="156">
        <f t="shared" si="2"/>
        <v>243403</v>
      </c>
      <c r="T29" s="156">
        <f t="shared" si="3"/>
        <v>0</v>
      </c>
      <c r="U29" s="140" t="str">
        <f t="shared" si="4"/>
        <v/>
      </c>
      <c r="V29" s="140" t="str">
        <f t="shared" si="5"/>
        <v/>
      </c>
      <c r="W29" s="140" t="str">
        <f t="shared" si="6"/>
        <v/>
      </c>
      <c r="X29" s="140" t="str">
        <f t="shared" si="7"/>
        <v/>
      </c>
      <c r="Y29" s="140" t="str">
        <f t="shared" si="8"/>
        <v/>
      </c>
      <c r="Z29" s="140" t="str">
        <f t="shared" si="9"/>
        <v/>
      </c>
      <c r="AA29" s="140" t="str">
        <f t="shared" si="10"/>
        <v/>
      </c>
      <c r="AB29" s="140" t="str">
        <f t="shared" si="11"/>
        <v/>
      </c>
      <c r="AC29" s="140" t="str">
        <f t="shared" si="12"/>
        <v/>
      </c>
      <c r="AD29" s="140" t="str">
        <f t="shared" si="13"/>
        <v/>
      </c>
      <c r="AE29" s="140" t="str">
        <f t="shared" si="14"/>
        <v/>
      </c>
      <c r="AF29" s="140" t="str">
        <f t="shared" si="15"/>
        <v/>
      </c>
      <c r="AG29" s="140" t="str">
        <f t="shared" si="16"/>
        <v/>
      </c>
      <c r="AH29" s="140" t="str">
        <f t="shared" si="17"/>
        <v/>
      </c>
      <c r="AI29" s="140" t="str">
        <f t="shared" si="18"/>
        <v/>
      </c>
      <c r="AJ29" s="140" t="str">
        <f t="shared" si="19"/>
        <v/>
      </c>
      <c r="AK29" s="140" t="str">
        <f t="shared" si="20"/>
        <v/>
      </c>
      <c r="AL29" s="140" t="str">
        <f t="shared" si="21"/>
        <v/>
      </c>
      <c r="AM29" t="str">
        <f t="shared" si="22"/>
        <v>4110-000: Regular Salaries</v>
      </c>
      <c r="AN29" s="140">
        <f t="shared" si="23"/>
        <v>0</v>
      </c>
      <c r="AO29" s="140">
        <f t="shared" si="24"/>
        <v>0</v>
      </c>
      <c r="AP29" s="1" t="str">
        <f>IF(AND(AO29&gt;0, _xlfn.XLOOKUP($AM29, Discretionaries!$A$2:'Discretionaries'!$A$150, Discretionaries!$B$2:'Discretionaries'!$B$150)), (1+AN29)*$N29, "")</f>
        <v/>
      </c>
      <c r="AQ29" s="1" t="str">
        <f>IF(AND(AO29&gt;0, _xlfn.XLOOKUP($AM29, Discretionaries!$A$2:'Discretionaries'!$A$150, Discretionaries!$B$2:'Discretionaries'!$B$150)),AP29-$Q29,"")</f>
        <v/>
      </c>
      <c r="AR29" s="140">
        <f>IF(AG29="", 0-CPI!$B$15, AG29-CPI!$B$15)</f>
        <v>-3.8999999999999993E-2</v>
      </c>
      <c r="AS29" s="1" t="str">
        <f>IF(AND(AR29&gt;0, _xlfn.XLOOKUP($AM29, Discretionaries!$A$2:'Discretionaries'!$A$150, Discretionaries!$B$2:'Discretionaries'!$B$150)), (1+CPI!$B$15)*$N29, "")</f>
        <v/>
      </c>
      <c r="AT29" s="1" t="str">
        <f>IF(AND(AR29&gt;0, _xlfn.XLOOKUP($AM29, Discretionaries!$A$2:'Discretionaries'!$A$150, Discretionaries!$B$2:'Discretionaries'!$B$150)),AS29-$Q29,"")</f>
        <v/>
      </c>
    </row>
    <row r="30" spans="1:46" x14ac:dyDescent="0.3">
      <c r="A30" t="s">
        <v>410</v>
      </c>
      <c r="B30" t="str">
        <f t="shared" si="0"/>
        <v>03</v>
      </c>
      <c r="C30" t="s">
        <v>408</v>
      </c>
      <c r="D30" t="str">
        <f t="shared" si="1"/>
        <v>00</v>
      </c>
      <c r="E30" t="s">
        <v>11</v>
      </c>
      <c r="F30" s="139" t="s">
        <v>37</v>
      </c>
      <c r="G30" t="s">
        <v>38</v>
      </c>
      <c r="H30" s="156">
        <v>0</v>
      </c>
      <c r="I30" s="156">
        <v>0</v>
      </c>
      <c r="J30" s="156">
        <v>0</v>
      </c>
      <c r="K30" s="156">
        <v>0</v>
      </c>
      <c r="L30" s="156">
        <v>0</v>
      </c>
      <c r="M30" s="156">
        <v>0</v>
      </c>
      <c r="N30" s="156">
        <v>0</v>
      </c>
      <c r="O30" s="156">
        <v>95708</v>
      </c>
      <c r="P30" s="156">
        <v>95708</v>
      </c>
      <c r="Q30" s="156">
        <v>95708</v>
      </c>
      <c r="R30" s="156">
        <v>0</v>
      </c>
      <c r="S30" s="156">
        <f t="shared" si="2"/>
        <v>95708</v>
      </c>
      <c r="T30" s="156">
        <f t="shared" si="3"/>
        <v>95708</v>
      </c>
      <c r="U30" s="140" t="str">
        <f t="shared" si="4"/>
        <v/>
      </c>
      <c r="V30" s="140" t="str">
        <f t="shared" si="5"/>
        <v/>
      </c>
      <c r="W30" s="140" t="str">
        <f t="shared" si="6"/>
        <v/>
      </c>
      <c r="X30" s="140" t="str">
        <f t="shared" si="7"/>
        <v/>
      </c>
      <c r="Y30" s="140" t="str">
        <f t="shared" si="8"/>
        <v/>
      </c>
      <c r="Z30" s="140" t="str">
        <f t="shared" si="9"/>
        <v/>
      </c>
      <c r="AA30" s="140" t="str">
        <f t="shared" si="10"/>
        <v/>
      </c>
      <c r="AB30" s="140" t="str">
        <f t="shared" si="11"/>
        <v/>
      </c>
      <c r="AC30" s="140" t="str">
        <f t="shared" si="12"/>
        <v/>
      </c>
      <c r="AD30" s="140" t="str">
        <f t="shared" si="13"/>
        <v/>
      </c>
      <c r="AE30" s="140" t="str">
        <f t="shared" si="14"/>
        <v/>
      </c>
      <c r="AF30" s="140" t="str">
        <f t="shared" si="15"/>
        <v/>
      </c>
      <c r="AG30" s="140" t="str">
        <f t="shared" si="16"/>
        <v/>
      </c>
      <c r="AH30" s="140" t="str">
        <f t="shared" si="17"/>
        <v/>
      </c>
      <c r="AI30" s="140" t="str">
        <f t="shared" si="18"/>
        <v/>
      </c>
      <c r="AJ30" s="140" t="str">
        <f t="shared" si="19"/>
        <v/>
      </c>
      <c r="AK30" s="140" t="str">
        <f t="shared" si="20"/>
        <v/>
      </c>
      <c r="AL30" s="140" t="str">
        <f t="shared" si="21"/>
        <v/>
      </c>
      <c r="AM30" t="str">
        <f t="shared" si="22"/>
        <v>4120-000: Part-time Salaries</v>
      </c>
      <c r="AN30" s="140">
        <f t="shared" si="23"/>
        <v>0</v>
      </c>
      <c r="AO30" s="140">
        <f t="shared" si="24"/>
        <v>0</v>
      </c>
      <c r="AP30" s="1" t="str">
        <f>IF(AND(AO30&gt;0, _xlfn.XLOOKUP($AM30, Discretionaries!$A$2:'Discretionaries'!$A$150, Discretionaries!$B$2:'Discretionaries'!$B$150)), (1+AN30)*$N30, "")</f>
        <v/>
      </c>
      <c r="AQ30" s="1" t="str">
        <f>IF(AND(AO30&gt;0, _xlfn.XLOOKUP($AM30, Discretionaries!$A$2:'Discretionaries'!$A$150, Discretionaries!$B$2:'Discretionaries'!$B$150)),AP30-$Q30,"")</f>
        <v/>
      </c>
      <c r="AR30" s="140">
        <f>IF(AG30="", 0-CPI!$B$15, AG30-CPI!$B$15)</f>
        <v>-3.8999999999999993E-2</v>
      </c>
      <c r="AS30" s="1" t="str">
        <f>IF(AND(AR30&gt;0, _xlfn.XLOOKUP($AM30, Discretionaries!$A$2:'Discretionaries'!$A$150, Discretionaries!$B$2:'Discretionaries'!$B$150)), (1+CPI!$B$15)*$N30, "")</f>
        <v/>
      </c>
      <c r="AT30" s="1" t="str">
        <f>IF(AND(AR30&gt;0, _xlfn.XLOOKUP($AM30, Discretionaries!$A$2:'Discretionaries'!$A$150, Discretionaries!$B$2:'Discretionaries'!$B$150)),AS30-$Q30,"")</f>
        <v/>
      </c>
    </row>
    <row r="31" spans="1:46" x14ac:dyDescent="0.3">
      <c r="A31" t="s">
        <v>410</v>
      </c>
      <c r="B31" t="str">
        <f t="shared" si="0"/>
        <v>03</v>
      </c>
      <c r="C31" t="s">
        <v>408</v>
      </c>
      <c r="D31" t="str">
        <f t="shared" si="1"/>
        <v>00</v>
      </c>
      <c r="E31" t="s">
        <v>11</v>
      </c>
      <c r="F31" s="139" t="s">
        <v>39</v>
      </c>
      <c r="G31" t="s">
        <v>40</v>
      </c>
      <c r="H31" s="156">
        <v>0</v>
      </c>
      <c r="I31" s="156">
        <v>0</v>
      </c>
      <c r="J31" s="156">
        <v>0</v>
      </c>
      <c r="K31" s="156">
        <v>0</v>
      </c>
      <c r="L31" s="156">
        <v>0</v>
      </c>
      <c r="M31" s="156">
        <v>0</v>
      </c>
      <c r="N31" s="156">
        <v>0</v>
      </c>
      <c r="O31" s="156">
        <v>0</v>
      </c>
      <c r="P31" s="156">
        <v>0</v>
      </c>
      <c r="Q31" s="156">
        <v>0</v>
      </c>
      <c r="R31" s="156">
        <v>0</v>
      </c>
      <c r="S31" s="156">
        <f t="shared" si="2"/>
        <v>0</v>
      </c>
      <c r="T31" s="156">
        <f t="shared" si="3"/>
        <v>0</v>
      </c>
      <c r="U31" s="140" t="str">
        <f t="shared" si="4"/>
        <v/>
      </c>
      <c r="V31" s="140" t="str">
        <f t="shared" si="5"/>
        <v/>
      </c>
      <c r="W31" s="140" t="str">
        <f t="shared" si="6"/>
        <v/>
      </c>
      <c r="X31" s="140" t="str">
        <f t="shared" si="7"/>
        <v/>
      </c>
      <c r="Y31" s="140" t="str">
        <f t="shared" si="8"/>
        <v/>
      </c>
      <c r="Z31" s="140" t="str">
        <f t="shared" si="9"/>
        <v/>
      </c>
      <c r="AA31" s="140" t="str">
        <f t="shared" si="10"/>
        <v/>
      </c>
      <c r="AB31" s="140" t="str">
        <f t="shared" si="11"/>
        <v/>
      </c>
      <c r="AC31" s="140" t="str">
        <f t="shared" si="12"/>
        <v/>
      </c>
      <c r="AD31" s="140" t="str">
        <f t="shared" si="13"/>
        <v/>
      </c>
      <c r="AE31" s="140" t="str">
        <f t="shared" si="14"/>
        <v/>
      </c>
      <c r="AF31" s="140" t="str">
        <f t="shared" si="15"/>
        <v/>
      </c>
      <c r="AG31" s="140" t="str">
        <f t="shared" si="16"/>
        <v/>
      </c>
      <c r="AH31" s="140" t="str">
        <f t="shared" si="17"/>
        <v/>
      </c>
      <c r="AI31" s="140" t="str">
        <f t="shared" si="18"/>
        <v/>
      </c>
      <c r="AJ31" s="140" t="str">
        <f t="shared" si="19"/>
        <v/>
      </c>
      <c r="AK31" s="140" t="str">
        <f t="shared" si="20"/>
        <v/>
      </c>
      <c r="AL31" s="140" t="str">
        <f t="shared" si="21"/>
        <v/>
      </c>
      <c r="AM31" t="str">
        <f t="shared" si="22"/>
        <v>4140-000: Overtime Salaries</v>
      </c>
      <c r="AN31" s="140">
        <f t="shared" si="23"/>
        <v>0</v>
      </c>
      <c r="AO31" s="140">
        <f t="shared" si="24"/>
        <v>0</v>
      </c>
      <c r="AP31" s="1" t="str">
        <f>IF(AND(AO31&gt;0, _xlfn.XLOOKUP($AM31, Discretionaries!$A$2:'Discretionaries'!$A$150, Discretionaries!$B$2:'Discretionaries'!$B$150)), (1+AN31)*$N31, "")</f>
        <v/>
      </c>
      <c r="AQ31" s="1" t="str">
        <f>IF(AND(AO31&gt;0, _xlfn.XLOOKUP($AM31, Discretionaries!$A$2:'Discretionaries'!$A$150, Discretionaries!$B$2:'Discretionaries'!$B$150)),AP31-$Q31,"")</f>
        <v/>
      </c>
      <c r="AR31" s="140">
        <f>IF(AG31="", 0-CPI!$B$15, AG31-CPI!$B$15)</f>
        <v>-3.8999999999999993E-2</v>
      </c>
      <c r="AS31" s="1" t="str">
        <f>IF(AND(AR31&gt;0, _xlfn.XLOOKUP($AM31, Discretionaries!$A$2:'Discretionaries'!$A$150, Discretionaries!$B$2:'Discretionaries'!$B$150)), (1+CPI!$B$15)*$N31, "")</f>
        <v/>
      </c>
      <c r="AT31" s="1" t="str">
        <f>IF(AND(AR31&gt;0, _xlfn.XLOOKUP($AM31, Discretionaries!$A$2:'Discretionaries'!$A$150, Discretionaries!$B$2:'Discretionaries'!$B$150)),AS31-$Q31,"")</f>
        <v/>
      </c>
    </row>
    <row r="32" spans="1:46" x14ac:dyDescent="0.3">
      <c r="A32" t="s">
        <v>410</v>
      </c>
      <c r="B32" t="str">
        <f t="shared" si="0"/>
        <v>03</v>
      </c>
      <c r="C32" t="s">
        <v>408</v>
      </c>
      <c r="D32" t="str">
        <f t="shared" si="1"/>
        <v>00</v>
      </c>
      <c r="E32" t="s">
        <v>14</v>
      </c>
      <c r="F32" s="139" t="s">
        <v>41</v>
      </c>
      <c r="G32" t="s">
        <v>42</v>
      </c>
      <c r="H32" s="156">
        <v>0</v>
      </c>
      <c r="I32" s="156">
        <v>0</v>
      </c>
      <c r="J32" s="156">
        <v>0</v>
      </c>
      <c r="K32" s="156">
        <v>0</v>
      </c>
      <c r="L32" s="156">
        <v>0</v>
      </c>
      <c r="M32" s="156">
        <v>0</v>
      </c>
      <c r="N32" s="156">
        <v>0</v>
      </c>
      <c r="O32" s="156">
        <v>2004</v>
      </c>
      <c r="P32" s="156">
        <v>2004</v>
      </c>
      <c r="Q32" s="156">
        <v>2004</v>
      </c>
      <c r="R32" s="156">
        <v>2004</v>
      </c>
      <c r="S32" s="156">
        <f t="shared" si="2"/>
        <v>2004</v>
      </c>
      <c r="T32" s="156">
        <f t="shared" si="3"/>
        <v>0</v>
      </c>
      <c r="U32" s="140" t="str">
        <f t="shared" si="4"/>
        <v/>
      </c>
      <c r="V32" s="140" t="str">
        <f t="shared" si="5"/>
        <v/>
      </c>
      <c r="W32" s="140" t="str">
        <f t="shared" si="6"/>
        <v/>
      </c>
      <c r="X32" s="140" t="str">
        <f t="shared" si="7"/>
        <v/>
      </c>
      <c r="Y32" s="140" t="str">
        <f t="shared" si="8"/>
        <v/>
      </c>
      <c r="Z32" s="140" t="str">
        <f t="shared" si="9"/>
        <v/>
      </c>
      <c r="AA32" s="140" t="str">
        <f t="shared" si="10"/>
        <v/>
      </c>
      <c r="AB32" s="140" t="str">
        <f t="shared" si="11"/>
        <v/>
      </c>
      <c r="AC32" s="140" t="str">
        <f t="shared" si="12"/>
        <v/>
      </c>
      <c r="AD32" s="140" t="str">
        <f t="shared" si="13"/>
        <v/>
      </c>
      <c r="AE32" s="140" t="str">
        <f t="shared" si="14"/>
        <v/>
      </c>
      <c r="AF32" s="140" t="str">
        <f t="shared" si="15"/>
        <v/>
      </c>
      <c r="AG32" s="140" t="str">
        <f t="shared" si="16"/>
        <v/>
      </c>
      <c r="AH32" s="140" t="str">
        <f t="shared" si="17"/>
        <v/>
      </c>
      <c r="AI32" s="140" t="str">
        <f t="shared" si="18"/>
        <v/>
      </c>
      <c r="AJ32" s="140" t="str">
        <f t="shared" si="19"/>
        <v/>
      </c>
      <c r="AK32" s="140" t="str">
        <f t="shared" si="20"/>
        <v/>
      </c>
      <c r="AL32" s="140" t="str">
        <f t="shared" si="21"/>
        <v/>
      </c>
      <c r="AM32" t="str">
        <f t="shared" si="22"/>
        <v>4215-000: STD, LTD, &amp; Life Benefits</v>
      </c>
      <c r="AN32" s="140">
        <f t="shared" si="23"/>
        <v>0</v>
      </c>
      <c r="AO32" s="140">
        <f t="shared" si="24"/>
        <v>0</v>
      </c>
      <c r="AP32" s="1" t="str">
        <f>IF(AND(AO32&gt;0, _xlfn.XLOOKUP($AM32, Discretionaries!$A$2:'Discretionaries'!$A$150, Discretionaries!$B$2:'Discretionaries'!$B$150)), (1+AN32)*$N32, "")</f>
        <v/>
      </c>
      <c r="AQ32" s="1" t="str">
        <f>IF(AND(AO32&gt;0, _xlfn.XLOOKUP($AM32, Discretionaries!$A$2:'Discretionaries'!$A$150, Discretionaries!$B$2:'Discretionaries'!$B$150)),AP32-$Q32,"")</f>
        <v/>
      </c>
      <c r="AR32" s="140">
        <f>IF(AG32="", 0-CPI!$B$15, AG32-CPI!$B$15)</f>
        <v>-3.8999999999999993E-2</v>
      </c>
      <c r="AS32" s="1" t="str">
        <f>IF(AND(AR32&gt;0, _xlfn.XLOOKUP($AM32, Discretionaries!$A$2:'Discretionaries'!$A$150, Discretionaries!$B$2:'Discretionaries'!$B$150)), (1+CPI!$B$15)*$N32, "")</f>
        <v/>
      </c>
      <c r="AT32" s="1" t="str">
        <f>IF(AND(AR32&gt;0, _xlfn.XLOOKUP($AM32, Discretionaries!$A$2:'Discretionaries'!$A$150, Discretionaries!$B$2:'Discretionaries'!$B$150)),AS32-$Q32,"")</f>
        <v/>
      </c>
    </row>
    <row r="33" spans="1:46" x14ac:dyDescent="0.3">
      <c r="A33" t="s">
        <v>410</v>
      </c>
      <c r="B33" t="str">
        <f t="shared" si="0"/>
        <v>03</v>
      </c>
      <c r="C33" t="s">
        <v>408</v>
      </c>
      <c r="D33" t="str">
        <f t="shared" si="1"/>
        <v>00</v>
      </c>
      <c r="E33" t="s">
        <v>14</v>
      </c>
      <c r="F33" s="139" t="s">
        <v>15</v>
      </c>
      <c r="G33" t="s">
        <v>16</v>
      </c>
      <c r="H33" s="156">
        <v>0</v>
      </c>
      <c r="I33" s="156">
        <v>0</v>
      </c>
      <c r="J33" s="156">
        <v>0</v>
      </c>
      <c r="K33" s="156">
        <v>0</v>
      </c>
      <c r="L33" s="156">
        <v>0</v>
      </c>
      <c r="M33" s="156">
        <v>0</v>
      </c>
      <c r="N33" s="156">
        <v>0</v>
      </c>
      <c r="O33" s="156">
        <v>21025</v>
      </c>
      <c r="P33" s="156">
        <v>21025</v>
      </c>
      <c r="Q33" s="156">
        <v>21025</v>
      </c>
      <c r="R33" s="156">
        <v>15091</v>
      </c>
      <c r="S33" s="156">
        <f t="shared" si="2"/>
        <v>21025</v>
      </c>
      <c r="T33" s="156">
        <f t="shared" si="3"/>
        <v>5934</v>
      </c>
      <c r="U33" s="140" t="str">
        <f t="shared" si="4"/>
        <v/>
      </c>
      <c r="V33" s="140" t="str">
        <f t="shared" si="5"/>
        <v/>
      </c>
      <c r="W33" s="140" t="str">
        <f t="shared" si="6"/>
        <v/>
      </c>
      <c r="X33" s="140" t="str">
        <f t="shared" si="7"/>
        <v/>
      </c>
      <c r="Y33" s="140" t="str">
        <f t="shared" si="8"/>
        <v/>
      </c>
      <c r="Z33" s="140" t="str">
        <f t="shared" si="9"/>
        <v/>
      </c>
      <c r="AA33" s="140" t="str">
        <f t="shared" si="10"/>
        <v/>
      </c>
      <c r="AB33" s="140" t="str">
        <f t="shared" si="11"/>
        <v/>
      </c>
      <c r="AC33" s="140" t="str">
        <f t="shared" si="12"/>
        <v/>
      </c>
      <c r="AD33" s="140" t="str">
        <f t="shared" si="13"/>
        <v/>
      </c>
      <c r="AE33" s="140" t="str">
        <f t="shared" si="14"/>
        <v/>
      </c>
      <c r="AF33" s="140" t="str">
        <f t="shared" si="15"/>
        <v/>
      </c>
      <c r="AG33" s="140" t="str">
        <f t="shared" si="16"/>
        <v/>
      </c>
      <c r="AH33" s="140" t="str">
        <f t="shared" si="17"/>
        <v/>
      </c>
      <c r="AI33" s="140" t="str">
        <f t="shared" si="18"/>
        <v/>
      </c>
      <c r="AJ33" s="140" t="str">
        <f t="shared" si="19"/>
        <v/>
      </c>
      <c r="AK33" s="140" t="str">
        <f t="shared" si="20"/>
        <v/>
      </c>
      <c r="AL33" s="140" t="str">
        <f t="shared" si="21"/>
        <v/>
      </c>
      <c r="AM33" t="str">
        <f t="shared" si="22"/>
        <v>4220-000: FICA Benefits</v>
      </c>
      <c r="AN33" s="140">
        <f t="shared" si="23"/>
        <v>0</v>
      </c>
      <c r="AO33" s="140">
        <f t="shared" si="24"/>
        <v>0</v>
      </c>
      <c r="AP33" s="1" t="str">
        <f>IF(AND(AO33&gt;0, _xlfn.XLOOKUP($AM33, Discretionaries!$A$2:'Discretionaries'!$A$150, Discretionaries!$B$2:'Discretionaries'!$B$150)), (1+AN33)*$N33, "")</f>
        <v/>
      </c>
      <c r="AQ33" s="1" t="str">
        <f>IF(AND(AO33&gt;0, _xlfn.XLOOKUP($AM33, Discretionaries!$A$2:'Discretionaries'!$A$150, Discretionaries!$B$2:'Discretionaries'!$B$150)),AP33-$Q33,"")</f>
        <v/>
      </c>
      <c r="AR33" s="140">
        <f>IF(AG33="", 0-CPI!$B$15, AG33-CPI!$B$15)</f>
        <v>-3.8999999999999993E-2</v>
      </c>
      <c r="AS33" s="1" t="str">
        <f>IF(AND(AR33&gt;0, _xlfn.XLOOKUP($AM33, Discretionaries!$A$2:'Discretionaries'!$A$150, Discretionaries!$B$2:'Discretionaries'!$B$150)), (1+CPI!$B$15)*$N33, "")</f>
        <v/>
      </c>
      <c r="AT33" s="1" t="str">
        <f>IF(AND(AR33&gt;0, _xlfn.XLOOKUP($AM33, Discretionaries!$A$2:'Discretionaries'!$A$150, Discretionaries!$B$2:'Discretionaries'!$B$150)),AS33-$Q33,"")</f>
        <v/>
      </c>
    </row>
    <row r="34" spans="1:46" x14ac:dyDescent="0.3">
      <c r="A34" t="s">
        <v>410</v>
      </c>
      <c r="B34" t="str">
        <f t="shared" si="0"/>
        <v>03</v>
      </c>
      <c r="C34" t="s">
        <v>408</v>
      </c>
      <c r="D34" t="str">
        <f t="shared" si="1"/>
        <v>00</v>
      </c>
      <c r="E34" t="s">
        <v>14</v>
      </c>
      <c r="F34" s="139" t="s">
        <v>17</v>
      </c>
      <c r="G34" t="s">
        <v>18</v>
      </c>
      <c r="H34" s="156">
        <v>0</v>
      </c>
      <c r="I34" s="156">
        <v>0</v>
      </c>
      <c r="J34" s="156">
        <v>0</v>
      </c>
      <c r="K34" s="156">
        <v>0</v>
      </c>
      <c r="L34" s="156">
        <v>0</v>
      </c>
      <c r="M34" s="156">
        <v>0</v>
      </c>
      <c r="N34" s="156">
        <v>0</v>
      </c>
      <c r="O34" s="156">
        <v>4918</v>
      </c>
      <c r="P34" s="156">
        <v>4918</v>
      </c>
      <c r="Q34" s="156">
        <v>4918</v>
      </c>
      <c r="R34" s="156">
        <v>3530</v>
      </c>
      <c r="S34" s="156">
        <f t="shared" si="2"/>
        <v>4918</v>
      </c>
      <c r="T34" s="156">
        <f t="shared" si="3"/>
        <v>1388</v>
      </c>
      <c r="U34" s="140" t="str">
        <f t="shared" si="4"/>
        <v/>
      </c>
      <c r="V34" s="140" t="str">
        <f t="shared" si="5"/>
        <v/>
      </c>
      <c r="W34" s="140" t="str">
        <f t="shared" si="6"/>
        <v/>
      </c>
      <c r="X34" s="140" t="str">
        <f t="shared" si="7"/>
        <v/>
      </c>
      <c r="Y34" s="140" t="str">
        <f t="shared" si="8"/>
        <v/>
      </c>
      <c r="Z34" s="140" t="str">
        <f t="shared" si="9"/>
        <v/>
      </c>
      <c r="AA34" s="140" t="str">
        <f t="shared" si="10"/>
        <v/>
      </c>
      <c r="AB34" s="140" t="str">
        <f t="shared" si="11"/>
        <v/>
      </c>
      <c r="AC34" s="140" t="str">
        <f t="shared" si="12"/>
        <v/>
      </c>
      <c r="AD34" s="140" t="str">
        <f t="shared" si="13"/>
        <v/>
      </c>
      <c r="AE34" s="140" t="str">
        <f t="shared" si="14"/>
        <v/>
      </c>
      <c r="AF34" s="140" t="str">
        <f t="shared" si="15"/>
        <v/>
      </c>
      <c r="AG34" s="140" t="str">
        <f t="shared" si="16"/>
        <v/>
      </c>
      <c r="AH34" s="140" t="str">
        <f t="shared" si="17"/>
        <v/>
      </c>
      <c r="AI34" s="140" t="str">
        <f t="shared" si="18"/>
        <v/>
      </c>
      <c r="AJ34" s="140" t="str">
        <f t="shared" si="19"/>
        <v/>
      </c>
      <c r="AK34" s="140" t="str">
        <f t="shared" si="20"/>
        <v/>
      </c>
      <c r="AL34" s="140" t="str">
        <f t="shared" si="21"/>
        <v/>
      </c>
      <c r="AM34" t="str">
        <f t="shared" si="22"/>
        <v>4225-000: Medicare Benefits</v>
      </c>
      <c r="AN34" s="140">
        <f t="shared" si="23"/>
        <v>0</v>
      </c>
      <c r="AO34" s="140">
        <f t="shared" si="24"/>
        <v>0</v>
      </c>
      <c r="AP34" s="1" t="str">
        <f>IF(AND(AO34&gt;0, _xlfn.XLOOKUP($AM34, Discretionaries!$A$2:'Discretionaries'!$A$150, Discretionaries!$B$2:'Discretionaries'!$B$150)), (1+AN34)*$N34, "")</f>
        <v/>
      </c>
      <c r="AQ34" s="1" t="str">
        <f>IF(AND(AO34&gt;0, _xlfn.XLOOKUP($AM34, Discretionaries!$A$2:'Discretionaries'!$A$150, Discretionaries!$B$2:'Discretionaries'!$B$150)),AP34-$Q34,"")</f>
        <v/>
      </c>
      <c r="AR34" s="140">
        <f>IF(AG34="", 0-CPI!$B$15, AG34-CPI!$B$15)</f>
        <v>-3.8999999999999993E-2</v>
      </c>
      <c r="AS34" s="1" t="str">
        <f>IF(AND(AR34&gt;0, _xlfn.XLOOKUP($AM34, Discretionaries!$A$2:'Discretionaries'!$A$150, Discretionaries!$B$2:'Discretionaries'!$B$150)), (1+CPI!$B$15)*$N34, "")</f>
        <v/>
      </c>
      <c r="AT34" s="1" t="str">
        <f>IF(AND(AR34&gt;0, _xlfn.XLOOKUP($AM34, Discretionaries!$A$2:'Discretionaries'!$A$150, Discretionaries!$B$2:'Discretionaries'!$B$150)),AS34-$Q34,"")</f>
        <v/>
      </c>
    </row>
    <row r="35" spans="1:46" x14ac:dyDescent="0.3">
      <c r="A35" t="s">
        <v>410</v>
      </c>
      <c r="B35" t="str">
        <f t="shared" si="0"/>
        <v>03</v>
      </c>
      <c r="C35" t="s">
        <v>408</v>
      </c>
      <c r="D35" t="str">
        <f t="shared" si="1"/>
        <v>00</v>
      </c>
      <c r="E35" t="s">
        <v>14</v>
      </c>
      <c r="F35" s="139" t="s">
        <v>43</v>
      </c>
      <c r="G35" t="s">
        <v>44</v>
      </c>
      <c r="H35" s="156">
        <v>0</v>
      </c>
      <c r="I35" s="156">
        <v>0</v>
      </c>
      <c r="J35" s="156">
        <v>0</v>
      </c>
      <c r="K35" s="156">
        <v>0</v>
      </c>
      <c r="L35" s="156">
        <v>0</v>
      </c>
      <c r="M35" s="156">
        <v>0</v>
      </c>
      <c r="N35" s="156">
        <v>0</v>
      </c>
      <c r="O35" s="156">
        <v>31034</v>
      </c>
      <c r="P35" s="156">
        <v>31034</v>
      </c>
      <c r="Q35" s="156">
        <v>31034</v>
      </c>
      <c r="R35" s="156">
        <v>31034</v>
      </c>
      <c r="S35" s="156">
        <f t="shared" si="2"/>
        <v>31034</v>
      </c>
      <c r="T35" s="156">
        <f t="shared" si="3"/>
        <v>0</v>
      </c>
      <c r="U35" s="140" t="str">
        <f t="shared" si="4"/>
        <v/>
      </c>
      <c r="V35" s="140" t="str">
        <f t="shared" si="5"/>
        <v/>
      </c>
      <c r="W35" s="140" t="str">
        <f t="shared" si="6"/>
        <v/>
      </c>
      <c r="X35" s="140" t="str">
        <f t="shared" si="7"/>
        <v/>
      </c>
      <c r="Y35" s="140" t="str">
        <f t="shared" si="8"/>
        <v/>
      </c>
      <c r="Z35" s="140" t="str">
        <f t="shared" si="9"/>
        <v/>
      </c>
      <c r="AA35" s="140" t="str">
        <f t="shared" si="10"/>
        <v/>
      </c>
      <c r="AB35" s="140" t="str">
        <f t="shared" si="11"/>
        <v/>
      </c>
      <c r="AC35" s="140" t="str">
        <f t="shared" si="12"/>
        <v/>
      </c>
      <c r="AD35" s="140" t="str">
        <f t="shared" si="13"/>
        <v/>
      </c>
      <c r="AE35" s="140" t="str">
        <f t="shared" si="14"/>
        <v/>
      </c>
      <c r="AF35" s="140" t="str">
        <f t="shared" si="15"/>
        <v/>
      </c>
      <c r="AG35" s="140" t="str">
        <f t="shared" si="16"/>
        <v/>
      </c>
      <c r="AH35" s="140" t="str">
        <f t="shared" si="17"/>
        <v/>
      </c>
      <c r="AI35" s="140" t="str">
        <f t="shared" si="18"/>
        <v/>
      </c>
      <c r="AJ35" s="140" t="str">
        <f t="shared" si="19"/>
        <v/>
      </c>
      <c r="AK35" s="140" t="str">
        <f t="shared" si="20"/>
        <v/>
      </c>
      <c r="AL35" s="140" t="str">
        <f t="shared" si="21"/>
        <v/>
      </c>
      <c r="AM35" t="str">
        <f t="shared" si="22"/>
        <v>4230-000: Retirement Benefits</v>
      </c>
      <c r="AN35" s="140">
        <f t="shared" si="23"/>
        <v>0</v>
      </c>
      <c r="AO35" s="140">
        <f t="shared" si="24"/>
        <v>0</v>
      </c>
      <c r="AP35" s="1" t="str">
        <f>IF(AND(AO35&gt;0, _xlfn.XLOOKUP($AM35, Discretionaries!$A$2:'Discretionaries'!$A$150, Discretionaries!$B$2:'Discretionaries'!$B$150)), (1+AN35)*$N35, "")</f>
        <v/>
      </c>
      <c r="AQ35" s="1" t="str">
        <f>IF(AND(AO35&gt;0, _xlfn.XLOOKUP($AM35, Discretionaries!$A$2:'Discretionaries'!$A$150, Discretionaries!$B$2:'Discretionaries'!$B$150)),AP35-$Q35,"")</f>
        <v/>
      </c>
      <c r="AR35" s="140">
        <f>IF(AG35="", 0-CPI!$B$15, AG35-CPI!$B$15)</f>
        <v>-3.8999999999999993E-2</v>
      </c>
      <c r="AS35" s="1" t="str">
        <f>IF(AND(AR35&gt;0, _xlfn.XLOOKUP($AM35, Discretionaries!$A$2:'Discretionaries'!$A$150, Discretionaries!$B$2:'Discretionaries'!$B$150)), (1+CPI!$B$15)*$N35, "")</f>
        <v/>
      </c>
      <c r="AT35" s="1" t="str">
        <f>IF(AND(AR35&gt;0, _xlfn.XLOOKUP($AM35, Discretionaries!$A$2:'Discretionaries'!$A$150, Discretionaries!$B$2:'Discretionaries'!$B$150)),AS35-$Q35,"")</f>
        <v/>
      </c>
    </row>
    <row r="36" spans="1:46" x14ac:dyDescent="0.3">
      <c r="A36" t="s">
        <v>410</v>
      </c>
      <c r="B36" t="str">
        <f t="shared" si="0"/>
        <v>03</v>
      </c>
      <c r="C36" t="s">
        <v>408</v>
      </c>
      <c r="D36" t="str">
        <f t="shared" si="1"/>
        <v>00</v>
      </c>
      <c r="E36" t="s">
        <v>14</v>
      </c>
      <c r="F36" s="139" t="s">
        <v>19</v>
      </c>
      <c r="G36" t="s">
        <v>20</v>
      </c>
      <c r="H36" s="156">
        <v>0</v>
      </c>
      <c r="I36" s="156">
        <v>0</v>
      </c>
      <c r="J36" s="156">
        <v>0</v>
      </c>
      <c r="K36" s="156">
        <v>0</v>
      </c>
      <c r="L36" s="156">
        <v>0</v>
      </c>
      <c r="M36" s="156">
        <v>0</v>
      </c>
      <c r="N36" s="156">
        <v>0</v>
      </c>
      <c r="O36" s="156">
        <v>298</v>
      </c>
      <c r="P36" s="156">
        <v>298</v>
      </c>
      <c r="Q36" s="156">
        <v>298</v>
      </c>
      <c r="R36" s="156">
        <v>298</v>
      </c>
      <c r="S36" s="156">
        <f t="shared" si="2"/>
        <v>298</v>
      </c>
      <c r="T36" s="156">
        <f t="shared" si="3"/>
        <v>0</v>
      </c>
      <c r="U36" s="140" t="str">
        <f t="shared" si="4"/>
        <v/>
      </c>
      <c r="V36" s="140" t="str">
        <f t="shared" si="5"/>
        <v/>
      </c>
      <c r="W36" s="140" t="str">
        <f t="shared" si="6"/>
        <v/>
      </c>
      <c r="X36" s="140" t="str">
        <f t="shared" si="7"/>
        <v/>
      </c>
      <c r="Y36" s="140" t="str">
        <f t="shared" si="8"/>
        <v/>
      </c>
      <c r="Z36" s="140" t="str">
        <f t="shared" si="9"/>
        <v/>
      </c>
      <c r="AA36" s="140" t="str">
        <f t="shared" si="10"/>
        <v/>
      </c>
      <c r="AB36" s="140" t="str">
        <f t="shared" si="11"/>
        <v/>
      </c>
      <c r="AC36" s="140" t="str">
        <f t="shared" si="12"/>
        <v/>
      </c>
      <c r="AD36" s="140" t="str">
        <f t="shared" si="13"/>
        <v/>
      </c>
      <c r="AE36" s="140" t="str">
        <f t="shared" si="14"/>
        <v/>
      </c>
      <c r="AF36" s="140" t="str">
        <f t="shared" si="15"/>
        <v/>
      </c>
      <c r="AG36" s="140" t="str">
        <f t="shared" si="16"/>
        <v/>
      </c>
      <c r="AH36" s="140" t="str">
        <f t="shared" si="17"/>
        <v/>
      </c>
      <c r="AI36" s="140" t="str">
        <f t="shared" si="18"/>
        <v/>
      </c>
      <c r="AJ36" s="140" t="str">
        <f t="shared" si="19"/>
        <v/>
      </c>
      <c r="AK36" s="140" t="str">
        <f t="shared" si="20"/>
        <v/>
      </c>
      <c r="AL36" s="140" t="str">
        <f t="shared" si="21"/>
        <v/>
      </c>
      <c r="AM36" t="str">
        <f t="shared" si="22"/>
        <v>4260-000: Workers' comp Benefits</v>
      </c>
      <c r="AN36" s="140">
        <f t="shared" si="23"/>
        <v>0</v>
      </c>
      <c r="AO36" s="140">
        <f t="shared" si="24"/>
        <v>0</v>
      </c>
      <c r="AP36" s="1" t="str">
        <f>IF(AND(AO36&gt;0, _xlfn.XLOOKUP($AM36, Discretionaries!$A$2:'Discretionaries'!$A$150, Discretionaries!$B$2:'Discretionaries'!$B$150)), (1+AN36)*$N36, "")</f>
        <v/>
      </c>
      <c r="AQ36" s="1" t="str">
        <f>IF(AND(AO36&gt;0, _xlfn.XLOOKUP($AM36, Discretionaries!$A$2:'Discretionaries'!$A$150, Discretionaries!$B$2:'Discretionaries'!$B$150)),AP36-$Q36,"")</f>
        <v/>
      </c>
      <c r="AR36" s="140">
        <f>IF(AG36="", 0-CPI!$B$15, AG36-CPI!$B$15)</f>
        <v>-3.8999999999999993E-2</v>
      </c>
      <c r="AS36" s="1" t="str">
        <f>IF(AND(AR36&gt;0, _xlfn.XLOOKUP($AM36, Discretionaries!$A$2:'Discretionaries'!$A$150, Discretionaries!$B$2:'Discretionaries'!$B$150)), (1+CPI!$B$15)*$N36, "")</f>
        <v/>
      </c>
      <c r="AT36" s="1" t="str">
        <f>IF(AND(AR36&gt;0, _xlfn.XLOOKUP($AM36, Discretionaries!$A$2:'Discretionaries'!$A$150, Discretionaries!$B$2:'Discretionaries'!$B$150)),AS36-$Q36,"")</f>
        <v/>
      </c>
    </row>
    <row r="37" spans="1:46" x14ac:dyDescent="0.3">
      <c r="A37" t="s">
        <v>410</v>
      </c>
      <c r="B37" t="str">
        <f t="shared" si="0"/>
        <v>03</v>
      </c>
      <c r="C37" t="s">
        <v>408</v>
      </c>
      <c r="D37" t="str">
        <f t="shared" si="1"/>
        <v>00</v>
      </c>
      <c r="E37" t="s">
        <v>21</v>
      </c>
      <c r="F37" s="139" t="s">
        <v>28</v>
      </c>
      <c r="G37" t="s">
        <v>29</v>
      </c>
      <c r="H37" s="156">
        <v>0</v>
      </c>
      <c r="I37" s="156">
        <v>0</v>
      </c>
      <c r="J37" s="156">
        <v>0</v>
      </c>
      <c r="K37" s="156">
        <v>0</v>
      </c>
      <c r="L37" s="156">
        <v>0</v>
      </c>
      <c r="M37" s="156">
        <v>0</v>
      </c>
      <c r="N37" s="156">
        <v>0</v>
      </c>
      <c r="O37" s="156">
        <v>1100</v>
      </c>
      <c r="P37" s="156">
        <v>1100</v>
      </c>
      <c r="Q37" s="156">
        <v>1100</v>
      </c>
      <c r="R37" s="156">
        <v>0</v>
      </c>
      <c r="S37" s="156">
        <f t="shared" si="2"/>
        <v>1100</v>
      </c>
      <c r="T37" s="156">
        <f t="shared" si="3"/>
        <v>1100</v>
      </c>
      <c r="U37" s="140" t="str">
        <f t="shared" si="4"/>
        <v/>
      </c>
      <c r="V37" s="140" t="str">
        <f t="shared" si="5"/>
        <v/>
      </c>
      <c r="W37" s="140" t="str">
        <f t="shared" si="6"/>
        <v/>
      </c>
      <c r="X37" s="140" t="str">
        <f t="shared" si="7"/>
        <v/>
      </c>
      <c r="Y37" s="140" t="str">
        <f t="shared" si="8"/>
        <v/>
      </c>
      <c r="Z37" s="140" t="str">
        <f t="shared" si="9"/>
        <v/>
      </c>
      <c r="AA37" s="140" t="str">
        <f t="shared" si="10"/>
        <v/>
      </c>
      <c r="AB37" s="140" t="str">
        <f t="shared" si="11"/>
        <v/>
      </c>
      <c r="AC37" s="140" t="str">
        <f t="shared" si="12"/>
        <v/>
      </c>
      <c r="AD37" s="140" t="str">
        <f t="shared" si="13"/>
        <v/>
      </c>
      <c r="AE37" s="140" t="str">
        <f t="shared" si="14"/>
        <v/>
      </c>
      <c r="AF37" s="140" t="str">
        <f t="shared" si="15"/>
        <v/>
      </c>
      <c r="AG37" s="140" t="str">
        <f t="shared" si="16"/>
        <v/>
      </c>
      <c r="AH37" s="140" t="str">
        <f t="shared" si="17"/>
        <v/>
      </c>
      <c r="AI37" s="140" t="str">
        <f t="shared" si="18"/>
        <v/>
      </c>
      <c r="AJ37" s="140" t="str">
        <f t="shared" si="19"/>
        <v/>
      </c>
      <c r="AK37" s="140" t="str">
        <f t="shared" si="20"/>
        <v/>
      </c>
      <c r="AL37" s="140" t="str">
        <f t="shared" si="21"/>
        <v/>
      </c>
      <c r="AM37" t="str">
        <f t="shared" si="22"/>
        <v>4330-000: MGMT services Services</v>
      </c>
      <c r="AN37" s="140">
        <f t="shared" si="23"/>
        <v>0</v>
      </c>
      <c r="AO37" s="140">
        <f t="shared" si="24"/>
        <v>0</v>
      </c>
      <c r="AP37" s="1" t="str">
        <f>IF(AND(AO37&gt;0, _xlfn.XLOOKUP($AM37, Discretionaries!$A$2:'Discretionaries'!$A$150, Discretionaries!$B$2:'Discretionaries'!$B$150)), (1+AN37)*$N37, "")</f>
        <v/>
      </c>
      <c r="AQ37" s="1" t="str">
        <f>IF(AND(AO37&gt;0, _xlfn.XLOOKUP($AM37, Discretionaries!$A$2:'Discretionaries'!$A$150, Discretionaries!$B$2:'Discretionaries'!$B$150)),AP37-$Q37,"")</f>
        <v/>
      </c>
      <c r="AR37" s="140">
        <f>IF(AG37="", 0-CPI!$B$15, AG37-CPI!$B$15)</f>
        <v>-3.8999999999999993E-2</v>
      </c>
      <c r="AS37" s="1" t="str">
        <f>IF(AND(AR37&gt;0, _xlfn.XLOOKUP($AM37, Discretionaries!$A$2:'Discretionaries'!$A$150, Discretionaries!$B$2:'Discretionaries'!$B$150)), (1+CPI!$B$15)*$N37, "")</f>
        <v/>
      </c>
      <c r="AT37" s="1" t="str">
        <f>IF(AND(AR37&gt;0, _xlfn.XLOOKUP($AM37, Discretionaries!$A$2:'Discretionaries'!$A$150, Discretionaries!$B$2:'Discretionaries'!$B$150)),AS37-$Q37,"")</f>
        <v/>
      </c>
    </row>
    <row r="38" spans="1:46" x14ac:dyDescent="0.3">
      <c r="A38" t="s">
        <v>410</v>
      </c>
      <c r="B38" t="str">
        <f t="shared" si="0"/>
        <v>03</v>
      </c>
      <c r="C38" t="s">
        <v>408</v>
      </c>
      <c r="D38" t="str">
        <f t="shared" si="1"/>
        <v>00</v>
      </c>
      <c r="E38" t="s">
        <v>45</v>
      </c>
      <c r="F38" s="139" t="s">
        <v>22</v>
      </c>
      <c r="G38" t="s">
        <v>23</v>
      </c>
      <c r="H38" s="156">
        <v>0</v>
      </c>
      <c r="I38" s="156">
        <v>0</v>
      </c>
      <c r="J38" s="156">
        <v>0</v>
      </c>
      <c r="K38" s="156">
        <v>0</v>
      </c>
      <c r="L38" s="156">
        <v>0</v>
      </c>
      <c r="M38" s="156">
        <v>0</v>
      </c>
      <c r="N38" s="156">
        <v>0</v>
      </c>
      <c r="O38" s="156">
        <v>200</v>
      </c>
      <c r="P38" s="156">
        <v>200</v>
      </c>
      <c r="Q38" s="156">
        <v>200</v>
      </c>
      <c r="R38" s="156">
        <v>0</v>
      </c>
      <c r="S38" s="156">
        <f t="shared" si="2"/>
        <v>200</v>
      </c>
      <c r="T38" s="156">
        <f t="shared" si="3"/>
        <v>200</v>
      </c>
      <c r="U38" s="140" t="str">
        <f t="shared" si="4"/>
        <v/>
      </c>
      <c r="V38" s="140" t="str">
        <f t="shared" si="5"/>
        <v/>
      </c>
      <c r="W38" s="140" t="str">
        <f t="shared" si="6"/>
        <v/>
      </c>
      <c r="X38" s="140" t="str">
        <f t="shared" si="7"/>
        <v/>
      </c>
      <c r="Y38" s="140" t="str">
        <f t="shared" si="8"/>
        <v/>
      </c>
      <c r="Z38" s="140" t="str">
        <f t="shared" si="9"/>
        <v/>
      </c>
      <c r="AA38" s="140" t="str">
        <f t="shared" si="10"/>
        <v/>
      </c>
      <c r="AB38" s="140" t="str">
        <f t="shared" si="11"/>
        <v/>
      </c>
      <c r="AC38" s="140" t="str">
        <f t="shared" si="12"/>
        <v/>
      </c>
      <c r="AD38" s="140" t="str">
        <f t="shared" si="13"/>
        <v/>
      </c>
      <c r="AE38" s="140" t="str">
        <f t="shared" si="14"/>
        <v/>
      </c>
      <c r="AF38" s="140" t="str">
        <f t="shared" si="15"/>
        <v/>
      </c>
      <c r="AG38" s="140" t="str">
        <f t="shared" si="16"/>
        <v/>
      </c>
      <c r="AH38" s="140" t="str">
        <f t="shared" si="17"/>
        <v/>
      </c>
      <c r="AI38" s="140" t="str">
        <f t="shared" si="18"/>
        <v/>
      </c>
      <c r="AJ38" s="140" t="str">
        <f t="shared" si="19"/>
        <v/>
      </c>
      <c r="AK38" s="140" t="str">
        <f t="shared" si="20"/>
        <v/>
      </c>
      <c r="AL38" s="140" t="str">
        <f t="shared" si="21"/>
        <v/>
      </c>
      <c r="AM38" t="str">
        <f t="shared" si="22"/>
        <v>4550-000: Printing Services</v>
      </c>
      <c r="AN38" s="140">
        <f t="shared" si="23"/>
        <v>0</v>
      </c>
      <c r="AO38" s="140">
        <f t="shared" si="24"/>
        <v>0</v>
      </c>
      <c r="AP38" s="1" t="str">
        <f>IF(AND(AO38&gt;0, _xlfn.XLOOKUP($AM38, Discretionaries!$A$2:'Discretionaries'!$A$150, Discretionaries!$B$2:'Discretionaries'!$B$150)), (1+AN38)*$N38, "")</f>
        <v/>
      </c>
      <c r="AQ38" s="1" t="str">
        <f>IF(AND(AO38&gt;0, _xlfn.XLOOKUP($AM38, Discretionaries!$A$2:'Discretionaries'!$A$150, Discretionaries!$B$2:'Discretionaries'!$B$150)),AP38-$Q38,"")</f>
        <v/>
      </c>
      <c r="AR38" s="140">
        <f>IF(AG38="", 0-CPI!$B$15, AG38-CPI!$B$15)</f>
        <v>-3.8999999999999993E-2</v>
      </c>
      <c r="AS38" s="1" t="str">
        <f>IF(AND(AR38&gt;0, _xlfn.XLOOKUP($AM38, Discretionaries!$A$2:'Discretionaries'!$A$150, Discretionaries!$B$2:'Discretionaries'!$B$150)), (1+CPI!$B$15)*$N38, "")</f>
        <v/>
      </c>
      <c r="AT38" s="1" t="str">
        <f>IF(AND(AR38&gt;0, _xlfn.XLOOKUP($AM38, Discretionaries!$A$2:'Discretionaries'!$A$150, Discretionaries!$B$2:'Discretionaries'!$B$150)),AS38-$Q38,"")</f>
        <v/>
      </c>
    </row>
    <row r="39" spans="1:46" x14ac:dyDescent="0.3">
      <c r="A39" t="s">
        <v>410</v>
      </c>
      <c r="B39" t="str">
        <f t="shared" si="0"/>
        <v>03</v>
      </c>
      <c r="C39" t="s">
        <v>408</v>
      </c>
      <c r="D39" t="str">
        <f t="shared" si="1"/>
        <v>00</v>
      </c>
      <c r="E39" t="s">
        <v>45</v>
      </c>
      <c r="F39" s="139" t="s">
        <v>46</v>
      </c>
      <c r="G39" t="s">
        <v>47</v>
      </c>
      <c r="H39" s="156">
        <v>0</v>
      </c>
      <c r="I39" s="156">
        <v>0</v>
      </c>
      <c r="J39" s="156">
        <v>0</v>
      </c>
      <c r="K39" s="156">
        <v>0</v>
      </c>
      <c r="L39" s="156">
        <v>0</v>
      </c>
      <c r="M39" s="156">
        <v>0</v>
      </c>
      <c r="N39" s="156">
        <v>0</v>
      </c>
      <c r="O39" s="156">
        <v>650</v>
      </c>
      <c r="P39" s="156">
        <v>650</v>
      </c>
      <c r="Q39" s="156">
        <v>650</v>
      </c>
      <c r="R39" s="156">
        <v>264</v>
      </c>
      <c r="S39" s="156">
        <f t="shared" si="2"/>
        <v>650</v>
      </c>
      <c r="T39" s="156">
        <f t="shared" si="3"/>
        <v>386</v>
      </c>
      <c r="U39" s="140" t="str">
        <f t="shared" si="4"/>
        <v/>
      </c>
      <c r="V39" s="140" t="str">
        <f t="shared" si="5"/>
        <v/>
      </c>
      <c r="W39" s="140" t="str">
        <f t="shared" si="6"/>
        <v/>
      </c>
      <c r="X39" s="140" t="str">
        <f t="shared" si="7"/>
        <v/>
      </c>
      <c r="Y39" s="140" t="str">
        <f t="shared" si="8"/>
        <v/>
      </c>
      <c r="Z39" s="140" t="str">
        <f t="shared" si="9"/>
        <v/>
      </c>
      <c r="AA39" s="140" t="str">
        <f t="shared" si="10"/>
        <v/>
      </c>
      <c r="AB39" s="140" t="str">
        <f t="shared" si="11"/>
        <v/>
      </c>
      <c r="AC39" s="140" t="str">
        <f t="shared" si="12"/>
        <v/>
      </c>
      <c r="AD39" s="140" t="str">
        <f t="shared" si="13"/>
        <v/>
      </c>
      <c r="AE39" s="140" t="str">
        <f t="shared" si="14"/>
        <v/>
      </c>
      <c r="AF39" s="140" t="str">
        <f t="shared" si="15"/>
        <v/>
      </c>
      <c r="AG39" s="140" t="str">
        <f t="shared" si="16"/>
        <v/>
      </c>
      <c r="AH39" s="140" t="str">
        <f t="shared" si="17"/>
        <v/>
      </c>
      <c r="AI39" s="140" t="str">
        <f t="shared" si="18"/>
        <v/>
      </c>
      <c r="AJ39" s="140" t="str">
        <f t="shared" si="19"/>
        <v/>
      </c>
      <c r="AK39" s="140" t="str">
        <f t="shared" si="20"/>
        <v/>
      </c>
      <c r="AL39" s="140" t="str">
        <f t="shared" si="21"/>
        <v/>
      </c>
      <c r="AM39" t="str">
        <f t="shared" si="22"/>
        <v>4560-000: Dues &amp; subs Services</v>
      </c>
      <c r="AN39" s="140">
        <f t="shared" si="23"/>
        <v>0</v>
      </c>
      <c r="AO39" s="140">
        <f t="shared" si="24"/>
        <v>0</v>
      </c>
      <c r="AP39" s="1" t="str">
        <f>IF(AND(AO39&gt;0, _xlfn.XLOOKUP($AM39, Discretionaries!$A$2:'Discretionaries'!$A$150, Discretionaries!$B$2:'Discretionaries'!$B$150)), (1+AN39)*$N39, "")</f>
        <v/>
      </c>
      <c r="AQ39" s="1" t="str">
        <f>IF(AND(AO39&gt;0, _xlfn.XLOOKUP($AM39, Discretionaries!$A$2:'Discretionaries'!$A$150, Discretionaries!$B$2:'Discretionaries'!$B$150)),AP39-$Q39,"")</f>
        <v/>
      </c>
      <c r="AR39" s="140">
        <f>IF(AG39="", 0-CPI!$B$15, AG39-CPI!$B$15)</f>
        <v>-3.8999999999999993E-2</v>
      </c>
      <c r="AS39" s="1" t="str">
        <f>IF(AND(AR39&gt;0, _xlfn.XLOOKUP($AM39, Discretionaries!$A$2:'Discretionaries'!$A$150, Discretionaries!$B$2:'Discretionaries'!$B$150)), (1+CPI!$B$15)*$N39, "")</f>
        <v/>
      </c>
      <c r="AT39" s="1" t="str">
        <f>IF(AND(AR39&gt;0, _xlfn.XLOOKUP($AM39, Discretionaries!$A$2:'Discretionaries'!$A$150, Discretionaries!$B$2:'Discretionaries'!$B$150)),AS39-$Q39,"")</f>
        <v/>
      </c>
    </row>
    <row r="40" spans="1:46" x14ac:dyDescent="0.3">
      <c r="A40" t="s">
        <v>410</v>
      </c>
      <c r="B40" t="str">
        <f t="shared" si="0"/>
        <v>03</v>
      </c>
      <c r="C40" t="s">
        <v>408</v>
      </c>
      <c r="D40" t="str">
        <f t="shared" si="1"/>
        <v>00</v>
      </c>
      <c r="E40" t="s">
        <v>45</v>
      </c>
      <c r="F40" s="139" t="s">
        <v>24</v>
      </c>
      <c r="G40" t="s">
        <v>25</v>
      </c>
      <c r="H40" s="156">
        <v>0</v>
      </c>
      <c r="I40" s="156">
        <v>0</v>
      </c>
      <c r="J40" s="156">
        <v>0</v>
      </c>
      <c r="K40" s="156">
        <v>0</v>
      </c>
      <c r="L40" s="156">
        <v>0</v>
      </c>
      <c r="M40" s="156">
        <v>0</v>
      </c>
      <c r="N40" s="156">
        <v>0</v>
      </c>
      <c r="O40" s="156">
        <v>400</v>
      </c>
      <c r="P40" s="156">
        <v>400</v>
      </c>
      <c r="Q40" s="156">
        <v>400</v>
      </c>
      <c r="R40" s="156">
        <v>0</v>
      </c>
      <c r="S40" s="156">
        <f t="shared" si="2"/>
        <v>400</v>
      </c>
      <c r="T40" s="156">
        <f t="shared" si="3"/>
        <v>400</v>
      </c>
      <c r="U40" s="140" t="str">
        <f t="shared" si="4"/>
        <v/>
      </c>
      <c r="V40" s="140" t="str">
        <f t="shared" si="5"/>
        <v/>
      </c>
      <c r="W40" s="140" t="str">
        <f t="shared" si="6"/>
        <v/>
      </c>
      <c r="X40" s="140" t="str">
        <f t="shared" si="7"/>
        <v/>
      </c>
      <c r="Y40" s="140" t="str">
        <f t="shared" si="8"/>
        <v/>
      </c>
      <c r="Z40" s="140" t="str">
        <f t="shared" si="9"/>
        <v/>
      </c>
      <c r="AA40" s="140" t="str">
        <f t="shared" si="10"/>
        <v/>
      </c>
      <c r="AB40" s="140" t="str">
        <f t="shared" si="11"/>
        <v/>
      </c>
      <c r="AC40" s="140" t="str">
        <f t="shared" si="12"/>
        <v/>
      </c>
      <c r="AD40" s="140" t="str">
        <f t="shared" si="13"/>
        <v/>
      </c>
      <c r="AE40" s="140" t="str">
        <f t="shared" si="14"/>
        <v/>
      </c>
      <c r="AF40" s="140" t="str">
        <f t="shared" si="15"/>
        <v/>
      </c>
      <c r="AG40" s="140" t="str">
        <f t="shared" si="16"/>
        <v/>
      </c>
      <c r="AH40" s="140" t="str">
        <f t="shared" si="17"/>
        <v/>
      </c>
      <c r="AI40" s="140" t="str">
        <f t="shared" si="18"/>
        <v/>
      </c>
      <c r="AJ40" s="140" t="str">
        <f t="shared" si="19"/>
        <v/>
      </c>
      <c r="AK40" s="140" t="str">
        <f t="shared" si="20"/>
        <v/>
      </c>
      <c r="AL40" s="140" t="str">
        <f t="shared" si="21"/>
        <v/>
      </c>
      <c r="AM40" t="str">
        <f t="shared" si="22"/>
        <v>4570-000: Sem &amp; workshops Services</v>
      </c>
      <c r="AN40" s="140">
        <f t="shared" si="23"/>
        <v>0</v>
      </c>
      <c r="AO40" s="140">
        <f t="shared" si="24"/>
        <v>0</v>
      </c>
      <c r="AP40" s="1" t="str">
        <f>IF(AND(AO40&gt;0, _xlfn.XLOOKUP($AM40, Discretionaries!$A$2:'Discretionaries'!$A$150, Discretionaries!$B$2:'Discretionaries'!$B$150)), (1+AN40)*$N40, "")</f>
        <v/>
      </c>
      <c r="AQ40" s="1" t="str">
        <f>IF(AND(AO40&gt;0, _xlfn.XLOOKUP($AM40, Discretionaries!$A$2:'Discretionaries'!$A$150, Discretionaries!$B$2:'Discretionaries'!$B$150)),AP40-$Q40,"")</f>
        <v/>
      </c>
      <c r="AR40" s="140">
        <f>IF(AG40="", 0-CPI!$B$15, AG40-CPI!$B$15)</f>
        <v>-3.8999999999999993E-2</v>
      </c>
      <c r="AS40" s="1" t="str">
        <f>IF(AND(AR40&gt;0, _xlfn.XLOOKUP($AM40, Discretionaries!$A$2:'Discretionaries'!$A$150, Discretionaries!$B$2:'Discretionaries'!$B$150)), (1+CPI!$B$15)*$N40, "")</f>
        <v/>
      </c>
      <c r="AT40" s="1" t="str">
        <f>IF(AND(AR40&gt;0, _xlfn.XLOOKUP($AM40, Discretionaries!$A$2:'Discretionaries'!$A$150, Discretionaries!$B$2:'Discretionaries'!$B$150)),AS40-$Q40,"")</f>
        <v/>
      </c>
    </row>
    <row r="41" spans="1:46" x14ac:dyDescent="0.3">
      <c r="A41" t="s">
        <v>410</v>
      </c>
      <c r="B41" t="str">
        <f t="shared" si="0"/>
        <v>03</v>
      </c>
      <c r="C41" t="s">
        <v>408</v>
      </c>
      <c r="D41" t="str">
        <f t="shared" si="1"/>
        <v>00</v>
      </c>
      <c r="E41" t="s">
        <v>45</v>
      </c>
      <c r="F41" s="139" t="s">
        <v>26</v>
      </c>
      <c r="G41" t="s">
        <v>27</v>
      </c>
      <c r="H41" s="156">
        <v>0</v>
      </c>
      <c r="I41" s="156">
        <v>0</v>
      </c>
      <c r="J41" s="156">
        <v>0</v>
      </c>
      <c r="K41" s="156">
        <v>0</v>
      </c>
      <c r="L41" s="156">
        <v>0</v>
      </c>
      <c r="M41" s="156">
        <v>0</v>
      </c>
      <c r="N41" s="156">
        <v>0</v>
      </c>
      <c r="O41" s="156">
        <v>200</v>
      </c>
      <c r="P41" s="156">
        <v>200</v>
      </c>
      <c r="Q41" s="156">
        <v>200</v>
      </c>
      <c r="R41" s="156">
        <v>0</v>
      </c>
      <c r="S41" s="156">
        <f t="shared" si="2"/>
        <v>200</v>
      </c>
      <c r="T41" s="156">
        <f t="shared" si="3"/>
        <v>200</v>
      </c>
      <c r="U41" s="140" t="str">
        <f t="shared" si="4"/>
        <v/>
      </c>
      <c r="V41" s="140" t="str">
        <f t="shared" si="5"/>
        <v/>
      </c>
      <c r="W41" s="140" t="str">
        <f t="shared" si="6"/>
        <v/>
      </c>
      <c r="X41" s="140" t="str">
        <f t="shared" si="7"/>
        <v/>
      </c>
      <c r="Y41" s="140" t="str">
        <f t="shared" si="8"/>
        <v/>
      </c>
      <c r="Z41" s="140" t="str">
        <f t="shared" si="9"/>
        <v/>
      </c>
      <c r="AA41" s="140" t="str">
        <f t="shared" si="10"/>
        <v/>
      </c>
      <c r="AB41" s="140" t="str">
        <f t="shared" si="11"/>
        <v/>
      </c>
      <c r="AC41" s="140" t="str">
        <f t="shared" si="12"/>
        <v/>
      </c>
      <c r="AD41" s="140" t="str">
        <f t="shared" si="13"/>
        <v/>
      </c>
      <c r="AE41" s="140" t="str">
        <f t="shared" si="14"/>
        <v/>
      </c>
      <c r="AF41" s="140" t="str">
        <f t="shared" si="15"/>
        <v/>
      </c>
      <c r="AG41" s="140" t="str">
        <f t="shared" si="16"/>
        <v/>
      </c>
      <c r="AH41" s="140" t="str">
        <f t="shared" si="17"/>
        <v/>
      </c>
      <c r="AI41" s="140" t="str">
        <f t="shared" si="18"/>
        <v/>
      </c>
      <c r="AJ41" s="140" t="str">
        <f t="shared" si="19"/>
        <v/>
      </c>
      <c r="AK41" s="140" t="str">
        <f t="shared" si="20"/>
        <v/>
      </c>
      <c r="AL41" s="140" t="str">
        <f t="shared" si="21"/>
        <v/>
      </c>
      <c r="AM41" t="str">
        <f t="shared" si="22"/>
        <v>4575-000: Travel &amp; mileage Services</v>
      </c>
      <c r="AN41" s="140">
        <f t="shared" si="23"/>
        <v>0</v>
      </c>
      <c r="AO41" s="140">
        <f t="shared" si="24"/>
        <v>0</v>
      </c>
      <c r="AP41" s="1" t="str">
        <f>IF(AND(AO41&gt;0, _xlfn.XLOOKUP($AM41, Discretionaries!$A$2:'Discretionaries'!$A$150, Discretionaries!$B$2:'Discretionaries'!$B$150)), (1+AN41)*$N41, "")</f>
        <v/>
      </c>
      <c r="AQ41" s="1" t="str">
        <f>IF(AND(AO41&gt;0, _xlfn.XLOOKUP($AM41, Discretionaries!$A$2:'Discretionaries'!$A$150, Discretionaries!$B$2:'Discretionaries'!$B$150)),AP41-$Q41,"")</f>
        <v/>
      </c>
      <c r="AR41" s="140">
        <f>IF(AG41="", 0-CPI!$B$15, AG41-CPI!$B$15)</f>
        <v>-3.8999999999999993E-2</v>
      </c>
      <c r="AS41" s="1" t="str">
        <f>IF(AND(AR41&gt;0, _xlfn.XLOOKUP($AM41, Discretionaries!$A$2:'Discretionaries'!$A$150, Discretionaries!$B$2:'Discretionaries'!$B$150)), (1+CPI!$B$15)*$N41, "")</f>
        <v/>
      </c>
      <c r="AT41" s="1" t="str">
        <f>IF(AND(AR41&gt;0, _xlfn.XLOOKUP($AM41, Discretionaries!$A$2:'Discretionaries'!$A$150, Discretionaries!$B$2:'Discretionaries'!$B$150)),AS41-$Q41,"")</f>
        <v/>
      </c>
    </row>
    <row r="42" spans="1:46" x14ac:dyDescent="0.3">
      <c r="A42" t="s">
        <v>410</v>
      </c>
      <c r="B42" t="str">
        <f t="shared" si="0"/>
        <v>03</v>
      </c>
      <c r="C42" t="s">
        <v>408</v>
      </c>
      <c r="D42" t="str">
        <f t="shared" si="1"/>
        <v>00</v>
      </c>
      <c r="E42" t="s">
        <v>30</v>
      </c>
      <c r="F42" s="139" t="s">
        <v>51</v>
      </c>
      <c r="G42" t="s">
        <v>48</v>
      </c>
      <c r="H42" s="156">
        <v>0</v>
      </c>
      <c r="I42" s="156">
        <v>0</v>
      </c>
      <c r="J42" s="156">
        <v>0</v>
      </c>
      <c r="K42" s="156">
        <v>0</v>
      </c>
      <c r="L42" s="156">
        <v>0</v>
      </c>
      <c r="M42" s="156">
        <v>0</v>
      </c>
      <c r="N42" s="156">
        <v>0</v>
      </c>
      <c r="O42" s="156">
        <v>500</v>
      </c>
      <c r="P42" s="156">
        <v>500</v>
      </c>
      <c r="Q42" s="156">
        <v>500</v>
      </c>
      <c r="R42" s="156">
        <v>0</v>
      </c>
      <c r="S42" s="156">
        <f t="shared" si="2"/>
        <v>500</v>
      </c>
      <c r="T42" s="156">
        <f t="shared" si="3"/>
        <v>500</v>
      </c>
      <c r="U42" s="140" t="str">
        <f t="shared" si="4"/>
        <v/>
      </c>
      <c r="V42" s="140" t="str">
        <f t="shared" si="5"/>
        <v/>
      </c>
      <c r="W42" s="140" t="str">
        <f t="shared" si="6"/>
        <v/>
      </c>
      <c r="X42" s="140" t="str">
        <f t="shared" si="7"/>
        <v/>
      </c>
      <c r="Y42" s="140" t="str">
        <f t="shared" si="8"/>
        <v/>
      </c>
      <c r="Z42" s="140" t="str">
        <f t="shared" si="9"/>
        <v/>
      </c>
      <c r="AA42" s="140" t="str">
        <f t="shared" si="10"/>
        <v/>
      </c>
      <c r="AB42" s="140" t="str">
        <f t="shared" si="11"/>
        <v/>
      </c>
      <c r="AC42" s="140" t="str">
        <f t="shared" si="12"/>
        <v/>
      </c>
      <c r="AD42" s="140" t="str">
        <f t="shared" si="13"/>
        <v/>
      </c>
      <c r="AE42" s="140" t="str">
        <f t="shared" si="14"/>
        <v/>
      </c>
      <c r="AF42" s="140" t="str">
        <f t="shared" si="15"/>
        <v/>
      </c>
      <c r="AG42" s="140" t="str">
        <f t="shared" si="16"/>
        <v/>
      </c>
      <c r="AH42" s="140" t="str">
        <f t="shared" si="17"/>
        <v/>
      </c>
      <c r="AI42" s="140" t="str">
        <f t="shared" si="18"/>
        <v/>
      </c>
      <c r="AJ42" s="140" t="str">
        <f t="shared" si="19"/>
        <v/>
      </c>
      <c r="AK42" s="140" t="str">
        <f t="shared" si="20"/>
        <v/>
      </c>
      <c r="AL42" s="140" t="str">
        <f t="shared" si="21"/>
        <v/>
      </c>
      <c r="AM42" t="str">
        <f t="shared" si="22"/>
        <v>4620-000: Office supplies Supplies</v>
      </c>
      <c r="AN42" s="140">
        <f t="shared" si="23"/>
        <v>0</v>
      </c>
      <c r="AO42" s="140">
        <f t="shared" si="24"/>
        <v>0</v>
      </c>
      <c r="AP42" s="1" t="str">
        <f>IF(AND(AO42&gt;0, _xlfn.XLOOKUP($AM42, Discretionaries!$A$2:'Discretionaries'!$A$150, Discretionaries!$B$2:'Discretionaries'!$B$150)), (1+AN42)*$N42, "")</f>
        <v/>
      </c>
      <c r="AQ42" s="1" t="str">
        <f>IF(AND(AO42&gt;0, _xlfn.XLOOKUP($AM42, Discretionaries!$A$2:'Discretionaries'!$A$150, Discretionaries!$B$2:'Discretionaries'!$B$150)),AP42-$Q42,"")</f>
        <v/>
      </c>
      <c r="AR42" s="140">
        <f>IF(AG42="", 0-CPI!$B$15, AG42-CPI!$B$15)</f>
        <v>-3.8999999999999993E-2</v>
      </c>
      <c r="AS42" s="1" t="str">
        <f>IF(AND(AR42&gt;0, _xlfn.XLOOKUP($AM42, Discretionaries!$A$2:'Discretionaries'!$A$150, Discretionaries!$B$2:'Discretionaries'!$B$150)), (1+CPI!$B$15)*$N42, "")</f>
        <v/>
      </c>
      <c r="AT42" s="1" t="str">
        <f>IF(AND(AR42&gt;0, _xlfn.XLOOKUP($AM42, Discretionaries!$A$2:'Discretionaries'!$A$150, Discretionaries!$B$2:'Discretionaries'!$B$150)),AS42-$Q42,"")</f>
        <v/>
      </c>
    </row>
    <row r="43" spans="1:46" x14ac:dyDescent="0.3">
      <c r="A43" t="s">
        <v>410</v>
      </c>
      <c r="B43" t="str">
        <f t="shared" si="0"/>
        <v>03</v>
      </c>
      <c r="C43" t="s">
        <v>408</v>
      </c>
      <c r="D43" t="str">
        <f t="shared" si="1"/>
        <v>00</v>
      </c>
      <c r="E43" t="s">
        <v>30</v>
      </c>
      <c r="F43" s="139" t="s">
        <v>52</v>
      </c>
      <c r="G43" t="s">
        <v>49</v>
      </c>
      <c r="H43" s="156">
        <v>0</v>
      </c>
      <c r="I43" s="156">
        <v>0</v>
      </c>
      <c r="J43" s="156">
        <v>0</v>
      </c>
      <c r="K43" s="156">
        <v>0</v>
      </c>
      <c r="L43" s="156">
        <v>0</v>
      </c>
      <c r="M43" s="156">
        <v>0</v>
      </c>
      <c r="N43" s="156">
        <v>0</v>
      </c>
      <c r="O43" s="156">
        <v>0</v>
      </c>
      <c r="P43" s="156">
        <v>0</v>
      </c>
      <c r="Q43" s="156">
        <v>0</v>
      </c>
      <c r="R43" s="156">
        <v>0</v>
      </c>
      <c r="S43" s="156">
        <f t="shared" si="2"/>
        <v>0</v>
      </c>
      <c r="T43" s="156">
        <f t="shared" si="3"/>
        <v>0</v>
      </c>
      <c r="U43" s="140" t="str">
        <f t="shared" si="4"/>
        <v/>
      </c>
      <c r="V43" s="140" t="str">
        <f t="shared" si="5"/>
        <v/>
      </c>
      <c r="W43" s="140" t="str">
        <f t="shared" si="6"/>
        <v/>
      </c>
      <c r="X43" s="140" t="str">
        <f t="shared" si="7"/>
        <v/>
      </c>
      <c r="Y43" s="140" t="str">
        <f t="shared" si="8"/>
        <v/>
      </c>
      <c r="Z43" s="140" t="str">
        <f t="shared" si="9"/>
        <v/>
      </c>
      <c r="AA43" s="140" t="str">
        <f t="shared" si="10"/>
        <v/>
      </c>
      <c r="AB43" s="140" t="str">
        <f t="shared" si="11"/>
        <v/>
      </c>
      <c r="AC43" s="140" t="str">
        <f t="shared" si="12"/>
        <v/>
      </c>
      <c r="AD43" s="140" t="str">
        <f t="shared" si="13"/>
        <v/>
      </c>
      <c r="AE43" s="140" t="str">
        <f t="shared" si="14"/>
        <v/>
      </c>
      <c r="AF43" s="140" t="str">
        <f t="shared" si="15"/>
        <v/>
      </c>
      <c r="AG43" s="140" t="str">
        <f t="shared" si="16"/>
        <v/>
      </c>
      <c r="AH43" s="140" t="str">
        <f t="shared" si="17"/>
        <v/>
      </c>
      <c r="AI43" s="140" t="str">
        <f t="shared" si="18"/>
        <v/>
      </c>
      <c r="AJ43" s="140" t="str">
        <f t="shared" si="19"/>
        <v/>
      </c>
      <c r="AK43" s="140" t="str">
        <f t="shared" si="20"/>
        <v/>
      </c>
      <c r="AL43" s="140" t="str">
        <f t="shared" si="21"/>
        <v/>
      </c>
      <c r="AM43" t="str">
        <f t="shared" si="22"/>
        <v>4625-000: Postage Supplies</v>
      </c>
      <c r="AN43" s="140">
        <f t="shared" si="23"/>
        <v>0</v>
      </c>
      <c r="AO43" s="140">
        <f t="shared" si="24"/>
        <v>0</v>
      </c>
      <c r="AP43" s="1" t="str">
        <f>IF(AND(AO43&gt;0, _xlfn.XLOOKUP($AM43, Discretionaries!$A$2:'Discretionaries'!$A$150, Discretionaries!$B$2:'Discretionaries'!$B$150)), (1+AN43)*$N43, "")</f>
        <v/>
      </c>
      <c r="AQ43" s="1" t="str">
        <f>IF(AND(AO43&gt;0, _xlfn.XLOOKUP($AM43, Discretionaries!$A$2:'Discretionaries'!$A$150, Discretionaries!$B$2:'Discretionaries'!$B$150)),AP43-$Q43,"")</f>
        <v/>
      </c>
      <c r="AR43" s="140">
        <f>IF(AG43="", 0-CPI!$B$15, AG43-CPI!$B$15)</f>
        <v>-3.8999999999999993E-2</v>
      </c>
      <c r="AS43" s="1" t="str">
        <f>IF(AND(AR43&gt;0, _xlfn.XLOOKUP($AM43, Discretionaries!$A$2:'Discretionaries'!$A$150, Discretionaries!$B$2:'Discretionaries'!$B$150)), (1+CPI!$B$15)*$N43, "")</f>
        <v/>
      </c>
      <c r="AT43" s="1" t="str">
        <f>IF(AND(AR43&gt;0, _xlfn.XLOOKUP($AM43, Discretionaries!$A$2:'Discretionaries'!$A$150, Discretionaries!$B$2:'Discretionaries'!$B$150)),AS43-$Q43,"")</f>
        <v/>
      </c>
    </row>
    <row r="44" spans="1:46" x14ac:dyDescent="0.3">
      <c r="A44" t="s">
        <v>410</v>
      </c>
      <c r="B44" t="str">
        <f t="shared" si="0"/>
        <v>03</v>
      </c>
      <c r="C44" t="s">
        <v>408</v>
      </c>
      <c r="D44" t="str">
        <f t="shared" si="1"/>
        <v>00</v>
      </c>
      <c r="E44" t="s">
        <v>30</v>
      </c>
      <c r="F44" s="139" t="s">
        <v>53</v>
      </c>
      <c r="G44" t="s">
        <v>50</v>
      </c>
      <c r="H44" s="156">
        <v>0</v>
      </c>
      <c r="I44" s="156">
        <v>0</v>
      </c>
      <c r="J44" s="156">
        <v>0</v>
      </c>
      <c r="K44" s="156">
        <v>0</v>
      </c>
      <c r="L44" s="156">
        <v>0</v>
      </c>
      <c r="M44" s="156">
        <v>0</v>
      </c>
      <c r="N44" s="156">
        <v>0</v>
      </c>
      <c r="O44" s="156">
        <v>0</v>
      </c>
      <c r="P44" s="156">
        <v>0</v>
      </c>
      <c r="Q44" s="156">
        <v>0</v>
      </c>
      <c r="R44" s="156">
        <v>0</v>
      </c>
      <c r="S44" s="156">
        <f t="shared" si="2"/>
        <v>0</v>
      </c>
      <c r="T44" s="156">
        <f t="shared" si="3"/>
        <v>0</v>
      </c>
      <c r="U44" s="140" t="str">
        <f t="shared" si="4"/>
        <v/>
      </c>
      <c r="V44" s="140" t="str">
        <f t="shared" si="5"/>
        <v/>
      </c>
      <c r="W44" s="140" t="str">
        <f t="shared" si="6"/>
        <v/>
      </c>
      <c r="X44" s="140" t="str">
        <f t="shared" si="7"/>
        <v/>
      </c>
      <c r="Y44" s="140" t="str">
        <f t="shared" si="8"/>
        <v/>
      </c>
      <c r="Z44" s="140" t="str">
        <f t="shared" si="9"/>
        <v/>
      </c>
      <c r="AA44" s="140" t="str">
        <f t="shared" si="10"/>
        <v/>
      </c>
      <c r="AB44" s="140" t="str">
        <f t="shared" si="11"/>
        <v/>
      </c>
      <c r="AC44" s="140" t="str">
        <f t="shared" si="12"/>
        <v/>
      </c>
      <c r="AD44" s="140" t="str">
        <f t="shared" si="13"/>
        <v/>
      </c>
      <c r="AE44" s="140" t="str">
        <f t="shared" si="14"/>
        <v/>
      </c>
      <c r="AF44" s="140" t="str">
        <f t="shared" si="15"/>
        <v/>
      </c>
      <c r="AG44" s="140" t="str">
        <f t="shared" si="16"/>
        <v/>
      </c>
      <c r="AH44" s="140" t="str">
        <f t="shared" si="17"/>
        <v/>
      </c>
      <c r="AI44" s="140" t="str">
        <f t="shared" si="18"/>
        <v/>
      </c>
      <c r="AJ44" s="140" t="str">
        <f t="shared" si="19"/>
        <v/>
      </c>
      <c r="AK44" s="140" t="str">
        <f t="shared" si="20"/>
        <v/>
      </c>
      <c r="AL44" s="140" t="str">
        <f t="shared" si="21"/>
        <v/>
      </c>
      <c r="AM44" t="str">
        <f t="shared" si="22"/>
        <v>4670-000: Books &amp; periodicals Supplies</v>
      </c>
      <c r="AN44" s="140">
        <f t="shared" si="23"/>
        <v>0</v>
      </c>
      <c r="AO44" s="140">
        <f t="shared" si="24"/>
        <v>0</v>
      </c>
      <c r="AP44" s="1" t="str">
        <f>IF(AND(AO44&gt;0, _xlfn.XLOOKUP($AM44, Discretionaries!$A$2:'Discretionaries'!$A$150, Discretionaries!$B$2:'Discretionaries'!$B$150)), (1+AN44)*$N44, "")</f>
        <v/>
      </c>
      <c r="AQ44" s="1" t="str">
        <f>IF(AND(AO44&gt;0, _xlfn.XLOOKUP($AM44, Discretionaries!$A$2:'Discretionaries'!$A$150, Discretionaries!$B$2:'Discretionaries'!$B$150)),AP44-$Q44,"")</f>
        <v/>
      </c>
      <c r="AR44" s="140">
        <f>IF(AG44="", 0-CPI!$B$15, AG44-CPI!$B$15)</f>
        <v>-3.8999999999999993E-2</v>
      </c>
      <c r="AS44" s="1" t="str">
        <f>IF(AND(AR44&gt;0, _xlfn.XLOOKUP($AM44, Discretionaries!$A$2:'Discretionaries'!$A$150, Discretionaries!$B$2:'Discretionaries'!$B$150)), (1+CPI!$B$15)*$N44, "")</f>
        <v/>
      </c>
      <c r="AT44" s="1" t="str">
        <f>IF(AND(AR44&gt;0, _xlfn.XLOOKUP($AM44, Discretionaries!$A$2:'Discretionaries'!$A$150, Discretionaries!$B$2:'Discretionaries'!$B$150)),AS44-$Q44,"")</f>
        <v/>
      </c>
    </row>
    <row r="45" spans="1:46" x14ac:dyDescent="0.3">
      <c r="A45" t="s">
        <v>410</v>
      </c>
      <c r="B45" t="str">
        <f t="shared" si="0"/>
        <v>03</v>
      </c>
      <c r="C45" t="s">
        <v>408</v>
      </c>
      <c r="D45" t="str">
        <f t="shared" si="1"/>
        <v>00</v>
      </c>
      <c r="E45" t="s">
        <v>54</v>
      </c>
      <c r="F45" s="139" t="s">
        <v>55</v>
      </c>
      <c r="G45" t="s">
        <v>56</v>
      </c>
      <c r="H45" s="156">
        <v>0</v>
      </c>
      <c r="I45" s="156">
        <v>0</v>
      </c>
      <c r="J45" s="156">
        <v>0</v>
      </c>
      <c r="K45" s="156">
        <v>0</v>
      </c>
      <c r="L45" s="156">
        <v>0</v>
      </c>
      <c r="M45" s="156">
        <v>0</v>
      </c>
      <c r="N45" s="156">
        <v>0</v>
      </c>
      <c r="O45" s="156">
        <v>0</v>
      </c>
      <c r="P45" s="156">
        <v>0</v>
      </c>
      <c r="Q45" s="156">
        <v>0</v>
      </c>
      <c r="R45" s="156">
        <v>0</v>
      </c>
      <c r="S45" s="156">
        <f t="shared" si="2"/>
        <v>0</v>
      </c>
      <c r="T45" s="156">
        <f t="shared" si="3"/>
        <v>0</v>
      </c>
      <c r="U45" s="140" t="str">
        <f t="shared" si="4"/>
        <v/>
      </c>
      <c r="V45" s="140" t="str">
        <f t="shared" si="5"/>
        <v/>
      </c>
      <c r="W45" s="140" t="str">
        <f t="shared" si="6"/>
        <v/>
      </c>
      <c r="X45" s="140" t="str">
        <f t="shared" si="7"/>
        <v/>
      </c>
      <c r="Y45" s="140" t="str">
        <f t="shared" si="8"/>
        <v/>
      </c>
      <c r="Z45" s="140" t="str">
        <f t="shared" si="9"/>
        <v/>
      </c>
      <c r="AA45" s="140" t="str">
        <f t="shared" si="10"/>
        <v/>
      </c>
      <c r="AB45" s="140" t="str">
        <f t="shared" si="11"/>
        <v/>
      </c>
      <c r="AC45" s="140" t="str">
        <f t="shared" si="12"/>
        <v/>
      </c>
      <c r="AD45" s="140" t="str">
        <f t="shared" si="13"/>
        <v/>
      </c>
      <c r="AE45" s="140" t="str">
        <f t="shared" si="14"/>
        <v/>
      </c>
      <c r="AF45" s="140" t="str">
        <f t="shared" si="15"/>
        <v/>
      </c>
      <c r="AG45" s="140" t="str">
        <f t="shared" si="16"/>
        <v/>
      </c>
      <c r="AH45" s="140" t="str">
        <f t="shared" si="17"/>
        <v/>
      </c>
      <c r="AI45" s="140" t="str">
        <f t="shared" si="18"/>
        <v/>
      </c>
      <c r="AJ45" s="140" t="str">
        <f t="shared" si="19"/>
        <v/>
      </c>
      <c r="AK45" s="140" t="str">
        <f t="shared" si="20"/>
        <v/>
      </c>
      <c r="AL45" s="140" t="str">
        <f t="shared" si="21"/>
        <v/>
      </c>
      <c r="AM45" t="str">
        <f t="shared" si="22"/>
        <v>4750-000: Furniture &amp; fixures Property</v>
      </c>
      <c r="AN45" s="140">
        <f t="shared" si="23"/>
        <v>0</v>
      </c>
      <c r="AO45" s="140">
        <f t="shared" si="24"/>
        <v>0</v>
      </c>
      <c r="AP45" s="1" t="str">
        <f>IF(AND(AO45&gt;0, _xlfn.XLOOKUP($AM45, Discretionaries!$A$2:'Discretionaries'!$A$150, Discretionaries!$B$2:'Discretionaries'!$B$150)), (1+AN45)*$N45, "")</f>
        <v/>
      </c>
      <c r="AQ45" s="1" t="str">
        <f>IF(AND(AO45&gt;0, _xlfn.XLOOKUP($AM45, Discretionaries!$A$2:'Discretionaries'!$A$150, Discretionaries!$B$2:'Discretionaries'!$B$150)),AP45-$Q45,"")</f>
        <v/>
      </c>
      <c r="AR45" s="140">
        <f>IF(AG45="", 0-CPI!$B$15, AG45-CPI!$B$15)</f>
        <v>-3.8999999999999993E-2</v>
      </c>
      <c r="AS45" s="1" t="str">
        <f>IF(AND(AR45&gt;0, _xlfn.XLOOKUP($AM45, Discretionaries!$A$2:'Discretionaries'!$A$150, Discretionaries!$B$2:'Discretionaries'!$B$150)), (1+CPI!$B$15)*$N45, "")</f>
        <v/>
      </c>
      <c r="AT45" s="1" t="str">
        <f>IF(AND(AR45&gt;0, _xlfn.XLOOKUP($AM45, Discretionaries!$A$2:'Discretionaries'!$A$150, Discretionaries!$B$2:'Discretionaries'!$B$150)),AS45-$Q45,"")</f>
        <v/>
      </c>
    </row>
    <row r="46" spans="1:46" x14ac:dyDescent="0.3">
      <c r="A46" t="s">
        <v>410</v>
      </c>
      <c r="B46" t="str">
        <f t="shared" si="0"/>
        <v>03</v>
      </c>
      <c r="C46" t="s">
        <v>411</v>
      </c>
      <c r="D46" t="str">
        <f t="shared" si="1"/>
        <v>44</v>
      </c>
      <c r="E46" t="s">
        <v>14</v>
      </c>
      <c r="F46" s="139" t="s">
        <v>57</v>
      </c>
      <c r="G46" t="s">
        <v>58</v>
      </c>
      <c r="H46" s="156">
        <v>0</v>
      </c>
      <c r="I46" s="156">
        <v>0</v>
      </c>
      <c r="J46" s="156">
        <v>0</v>
      </c>
      <c r="K46" s="156">
        <v>0</v>
      </c>
      <c r="L46" s="156">
        <v>0</v>
      </c>
      <c r="M46" s="156">
        <v>0</v>
      </c>
      <c r="N46" s="156">
        <v>0</v>
      </c>
      <c r="O46" s="156">
        <v>0</v>
      </c>
      <c r="P46" s="156">
        <v>0</v>
      </c>
      <c r="Q46" s="156">
        <v>0</v>
      </c>
      <c r="R46" s="156">
        <v>0</v>
      </c>
      <c r="S46" s="156">
        <f t="shared" si="2"/>
        <v>0</v>
      </c>
      <c r="T46" s="156">
        <f t="shared" si="3"/>
        <v>0</v>
      </c>
      <c r="U46" s="140" t="str">
        <f t="shared" si="4"/>
        <v/>
      </c>
      <c r="V46" s="140" t="str">
        <f t="shared" si="5"/>
        <v/>
      </c>
      <c r="W46" s="140" t="str">
        <f t="shared" si="6"/>
        <v/>
      </c>
      <c r="X46" s="140" t="str">
        <f t="shared" si="7"/>
        <v/>
      </c>
      <c r="Y46" s="140" t="str">
        <f t="shared" si="8"/>
        <v/>
      </c>
      <c r="Z46" s="140" t="str">
        <f t="shared" si="9"/>
        <v/>
      </c>
      <c r="AA46" s="140" t="str">
        <f t="shared" si="10"/>
        <v/>
      </c>
      <c r="AB46" s="140" t="str">
        <f t="shared" si="11"/>
        <v/>
      </c>
      <c r="AC46" s="140" t="str">
        <f t="shared" si="12"/>
        <v/>
      </c>
      <c r="AD46" s="140" t="str">
        <f t="shared" si="13"/>
        <v/>
      </c>
      <c r="AE46" s="140" t="str">
        <f t="shared" si="14"/>
        <v/>
      </c>
      <c r="AF46" s="140" t="str">
        <f t="shared" si="15"/>
        <v/>
      </c>
      <c r="AG46" s="140" t="str">
        <f t="shared" si="16"/>
        <v/>
      </c>
      <c r="AH46" s="140" t="str">
        <f t="shared" si="17"/>
        <v/>
      </c>
      <c r="AI46" s="140" t="str">
        <f t="shared" si="18"/>
        <v/>
      </c>
      <c r="AJ46" s="140" t="str">
        <f t="shared" si="19"/>
        <v/>
      </c>
      <c r="AK46" s="140" t="str">
        <f t="shared" si="20"/>
        <v/>
      </c>
      <c r="AL46" s="140" t="str">
        <f t="shared" si="21"/>
        <v/>
      </c>
      <c r="AM46" t="str">
        <f t="shared" si="22"/>
        <v>4210-000: Health Ins Benefits</v>
      </c>
      <c r="AN46" s="140">
        <f t="shared" si="23"/>
        <v>0</v>
      </c>
      <c r="AO46" s="140">
        <f t="shared" si="24"/>
        <v>0</v>
      </c>
      <c r="AP46" s="1" t="str">
        <f>IF(AND(AO46&gt;0, _xlfn.XLOOKUP($AM46, Discretionaries!$A$2:'Discretionaries'!$A$150, Discretionaries!$B$2:'Discretionaries'!$B$150)), (1+AN46)*$N46, "")</f>
        <v/>
      </c>
      <c r="AQ46" s="1" t="str">
        <f>IF(AND(AO46&gt;0, _xlfn.XLOOKUP($AM46, Discretionaries!$A$2:'Discretionaries'!$A$150, Discretionaries!$B$2:'Discretionaries'!$B$150)),AP46-$Q46,"")</f>
        <v/>
      </c>
      <c r="AR46" s="140">
        <f>IF(AG46="", 0-CPI!$B$15, AG46-CPI!$B$15)</f>
        <v>-3.8999999999999993E-2</v>
      </c>
      <c r="AS46" s="1" t="str">
        <f>IF(AND(AR46&gt;0, _xlfn.XLOOKUP($AM46, Discretionaries!$A$2:'Discretionaries'!$A$150, Discretionaries!$B$2:'Discretionaries'!$B$150)), (1+CPI!$B$15)*$N46, "")</f>
        <v/>
      </c>
      <c r="AT46" s="1" t="str">
        <f>IF(AND(AR46&gt;0, _xlfn.XLOOKUP($AM46, Discretionaries!$A$2:'Discretionaries'!$A$150, Discretionaries!$B$2:'Discretionaries'!$B$150)),AS46-$Q46,"")</f>
        <v/>
      </c>
    </row>
    <row r="47" spans="1:46" x14ac:dyDescent="0.3">
      <c r="A47" t="s">
        <v>410</v>
      </c>
      <c r="B47" t="str">
        <f t="shared" si="0"/>
        <v>03</v>
      </c>
      <c r="C47" t="s">
        <v>411</v>
      </c>
      <c r="D47" t="str">
        <f t="shared" si="1"/>
        <v>44</v>
      </c>
      <c r="E47" t="s">
        <v>14</v>
      </c>
      <c r="F47" s="139" t="s">
        <v>59</v>
      </c>
      <c r="G47" t="s">
        <v>60</v>
      </c>
      <c r="H47" s="156">
        <v>0</v>
      </c>
      <c r="I47" s="156">
        <v>0</v>
      </c>
      <c r="J47" s="156">
        <v>0</v>
      </c>
      <c r="K47" s="156">
        <v>0</v>
      </c>
      <c r="L47" s="156">
        <v>0</v>
      </c>
      <c r="M47" s="156">
        <v>0</v>
      </c>
      <c r="N47" s="156">
        <v>0</v>
      </c>
      <c r="O47" s="156">
        <v>21500</v>
      </c>
      <c r="P47" s="156">
        <v>21500</v>
      </c>
      <c r="Q47" s="156">
        <v>21500</v>
      </c>
      <c r="R47" s="156">
        <v>21500</v>
      </c>
      <c r="S47" s="156">
        <f t="shared" si="2"/>
        <v>21500</v>
      </c>
      <c r="T47" s="156">
        <f t="shared" si="3"/>
        <v>0</v>
      </c>
      <c r="U47" s="140" t="str">
        <f t="shared" si="4"/>
        <v/>
      </c>
      <c r="V47" s="140" t="str">
        <f t="shared" si="5"/>
        <v/>
      </c>
      <c r="W47" s="140" t="str">
        <f t="shared" si="6"/>
        <v/>
      </c>
      <c r="X47" s="140" t="str">
        <f t="shared" si="7"/>
        <v/>
      </c>
      <c r="Y47" s="140" t="str">
        <f t="shared" si="8"/>
        <v/>
      </c>
      <c r="Z47" s="140" t="str">
        <f t="shared" si="9"/>
        <v/>
      </c>
      <c r="AA47" s="140" t="str">
        <f t="shared" si="10"/>
        <v/>
      </c>
      <c r="AB47" s="140" t="str">
        <f t="shared" si="11"/>
        <v/>
      </c>
      <c r="AC47" s="140" t="str">
        <f t="shared" si="12"/>
        <v/>
      </c>
      <c r="AD47" s="140" t="str">
        <f t="shared" si="13"/>
        <v/>
      </c>
      <c r="AE47" s="140" t="str">
        <f t="shared" si="14"/>
        <v/>
      </c>
      <c r="AF47" s="140" t="str">
        <f t="shared" si="15"/>
        <v/>
      </c>
      <c r="AG47" s="140" t="str">
        <f t="shared" si="16"/>
        <v/>
      </c>
      <c r="AH47" s="140" t="str">
        <f t="shared" si="17"/>
        <v/>
      </c>
      <c r="AI47" s="140" t="str">
        <f t="shared" si="18"/>
        <v/>
      </c>
      <c r="AJ47" s="140" t="str">
        <f t="shared" si="19"/>
        <v/>
      </c>
      <c r="AK47" s="140" t="str">
        <f t="shared" si="20"/>
        <v/>
      </c>
      <c r="AL47" s="140" t="str">
        <f t="shared" si="21"/>
        <v/>
      </c>
      <c r="AM47" t="str">
        <f t="shared" si="22"/>
        <v>4240-000: Tuition reimbursement Benefits</v>
      </c>
      <c r="AN47" s="140">
        <f t="shared" si="23"/>
        <v>0</v>
      </c>
      <c r="AO47" s="140">
        <f t="shared" si="24"/>
        <v>0</v>
      </c>
      <c r="AP47" s="1" t="str">
        <f>IF(AND(AO47&gt;0, _xlfn.XLOOKUP($AM47, Discretionaries!$A$2:'Discretionaries'!$A$150, Discretionaries!$B$2:'Discretionaries'!$B$150)), (1+AN47)*$N47, "")</f>
        <v/>
      </c>
      <c r="AQ47" s="1" t="str">
        <f>IF(AND(AO47&gt;0, _xlfn.XLOOKUP($AM47, Discretionaries!$A$2:'Discretionaries'!$A$150, Discretionaries!$B$2:'Discretionaries'!$B$150)),AP47-$Q47,"")</f>
        <v/>
      </c>
      <c r="AR47" s="140">
        <f>IF(AG47="", 0-CPI!$B$15, AG47-CPI!$B$15)</f>
        <v>-3.8999999999999993E-2</v>
      </c>
      <c r="AS47" s="1" t="str">
        <f>IF(AND(AR47&gt;0, _xlfn.XLOOKUP($AM47, Discretionaries!$A$2:'Discretionaries'!$A$150, Discretionaries!$B$2:'Discretionaries'!$B$150)), (1+CPI!$B$15)*$N47, "")</f>
        <v/>
      </c>
      <c r="AT47" s="1" t="str">
        <f>IF(AND(AR47&gt;0, _xlfn.XLOOKUP($AM47, Discretionaries!$A$2:'Discretionaries'!$A$150, Discretionaries!$B$2:'Discretionaries'!$B$150)),AS47-$Q47,"")</f>
        <v/>
      </c>
    </row>
    <row r="48" spans="1:46" x14ac:dyDescent="0.3">
      <c r="A48" t="s">
        <v>410</v>
      </c>
      <c r="B48" t="str">
        <f t="shared" si="0"/>
        <v>03</v>
      </c>
      <c r="C48" t="s">
        <v>411</v>
      </c>
      <c r="D48" t="str">
        <f t="shared" si="1"/>
        <v>44</v>
      </c>
      <c r="E48" t="s">
        <v>21</v>
      </c>
      <c r="F48" s="139" t="s">
        <v>61</v>
      </c>
      <c r="G48" t="s">
        <v>62</v>
      </c>
      <c r="H48" s="156">
        <v>0</v>
      </c>
      <c r="I48" s="156">
        <v>0</v>
      </c>
      <c r="J48" s="156">
        <v>0</v>
      </c>
      <c r="K48" s="156">
        <v>0</v>
      </c>
      <c r="L48" s="156">
        <v>0</v>
      </c>
      <c r="M48" s="156">
        <v>0</v>
      </c>
      <c r="N48" s="156">
        <v>0</v>
      </c>
      <c r="O48" s="156">
        <v>7500</v>
      </c>
      <c r="P48" s="156">
        <v>7500</v>
      </c>
      <c r="Q48" s="156">
        <v>7500</v>
      </c>
      <c r="R48" s="156">
        <v>0</v>
      </c>
      <c r="S48" s="156">
        <f t="shared" si="2"/>
        <v>7500</v>
      </c>
      <c r="T48" s="156">
        <f t="shared" si="3"/>
        <v>7500</v>
      </c>
      <c r="U48" s="140" t="str">
        <f t="shared" si="4"/>
        <v/>
      </c>
      <c r="V48" s="140" t="str">
        <f t="shared" si="5"/>
        <v/>
      </c>
      <c r="W48" s="140" t="str">
        <f t="shared" si="6"/>
        <v/>
      </c>
      <c r="X48" s="140" t="str">
        <f t="shared" si="7"/>
        <v/>
      </c>
      <c r="Y48" s="140" t="str">
        <f t="shared" si="8"/>
        <v/>
      </c>
      <c r="Z48" s="140" t="str">
        <f t="shared" si="9"/>
        <v/>
      </c>
      <c r="AA48" s="140" t="str">
        <f t="shared" si="10"/>
        <v/>
      </c>
      <c r="AB48" s="140" t="str">
        <f t="shared" si="11"/>
        <v/>
      </c>
      <c r="AC48" s="140" t="str">
        <f t="shared" si="12"/>
        <v/>
      </c>
      <c r="AD48" s="140" t="str">
        <f t="shared" si="13"/>
        <v/>
      </c>
      <c r="AE48" s="140" t="str">
        <f t="shared" si="14"/>
        <v/>
      </c>
      <c r="AF48" s="140" t="str">
        <f t="shared" si="15"/>
        <v/>
      </c>
      <c r="AG48" s="140" t="str">
        <f t="shared" si="16"/>
        <v/>
      </c>
      <c r="AH48" s="140" t="str">
        <f t="shared" si="17"/>
        <v/>
      </c>
      <c r="AI48" s="140" t="str">
        <f t="shared" si="18"/>
        <v/>
      </c>
      <c r="AJ48" s="140" t="str">
        <f t="shared" si="19"/>
        <v/>
      </c>
      <c r="AK48" s="140" t="str">
        <f t="shared" si="20"/>
        <v/>
      </c>
      <c r="AL48" s="140" t="str">
        <f t="shared" si="21"/>
        <v/>
      </c>
      <c r="AM48" t="str">
        <f t="shared" si="22"/>
        <v>4330-001: Employee Programs</v>
      </c>
      <c r="AN48" s="140">
        <f t="shared" si="23"/>
        <v>0</v>
      </c>
      <c r="AO48" s="140">
        <f t="shared" si="24"/>
        <v>0</v>
      </c>
      <c r="AP48" s="1" t="str">
        <f>IF(AND(AO48&gt;0, _xlfn.XLOOKUP($AM48, Discretionaries!$A$2:'Discretionaries'!$A$150, Discretionaries!$B$2:'Discretionaries'!$B$150)), (1+AN48)*$N48, "")</f>
        <v/>
      </c>
      <c r="AQ48" s="1" t="str">
        <f>IF(AND(AO48&gt;0, _xlfn.XLOOKUP($AM48, Discretionaries!$A$2:'Discretionaries'!$A$150, Discretionaries!$B$2:'Discretionaries'!$B$150)),AP48-$Q48,"")</f>
        <v/>
      </c>
      <c r="AR48" s="140">
        <f>IF(AG48="", 0-CPI!$B$15, AG48-CPI!$B$15)</f>
        <v>-3.8999999999999993E-2</v>
      </c>
      <c r="AS48" s="1" t="str">
        <f>IF(AND(AR48&gt;0, _xlfn.XLOOKUP($AM48, Discretionaries!$A$2:'Discretionaries'!$A$150, Discretionaries!$B$2:'Discretionaries'!$B$150)), (1+CPI!$B$15)*$N48, "")</f>
        <v/>
      </c>
      <c r="AT48" s="1" t="str">
        <f>IF(AND(AR48&gt;0, _xlfn.XLOOKUP($AM48, Discretionaries!$A$2:'Discretionaries'!$A$150, Discretionaries!$B$2:'Discretionaries'!$B$150)),AS48-$Q48,"")</f>
        <v/>
      </c>
    </row>
    <row r="49" spans="1:46" x14ac:dyDescent="0.3">
      <c r="A49" t="s">
        <v>412</v>
      </c>
      <c r="B49" t="str">
        <f t="shared" si="0"/>
        <v>04</v>
      </c>
      <c r="C49" t="s">
        <v>408</v>
      </c>
      <c r="D49" t="str">
        <f t="shared" si="1"/>
        <v>00</v>
      </c>
      <c r="E49" t="s">
        <v>30</v>
      </c>
      <c r="F49" s="139" t="s">
        <v>31</v>
      </c>
      <c r="G49" t="s">
        <v>32</v>
      </c>
      <c r="H49" s="156">
        <v>1</v>
      </c>
      <c r="I49" s="156">
        <v>0</v>
      </c>
      <c r="J49" s="156">
        <v>1</v>
      </c>
      <c r="K49" s="156">
        <v>0</v>
      </c>
      <c r="L49" s="156">
        <v>100</v>
      </c>
      <c r="M49" s="156">
        <v>0</v>
      </c>
      <c r="N49" s="156">
        <v>1</v>
      </c>
      <c r="O49" s="156">
        <v>1</v>
      </c>
      <c r="P49" s="156">
        <v>1</v>
      </c>
      <c r="Q49" s="156">
        <v>1</v>
      </c>
      <c r="R49" s="156">
        <v>1</v>
      </c>
      <c r="S49" s="156">
        <f t="shared" si="2"/>
        <v>0</v>
      </c>
      <c r="T49" s="156">
        <f t="shared" si="3"/>
        <v>0</v>
      </c>
      <c r="U49" s="140">
        <f t="shared" si="4"/>
        <v>0</v>
      </c>
      <c r="V49" s="140">
        <f t="shared" si="5"/>
        <v>-1</v>
      </c>
      <c r="W49" s="140">
        <f t="shared" si="6"/>
        <v>-1</v>
      </c>
      <c r="X49" s="140">
        <f t="shared" si="7"/>
        <v>-1</v>
      </c>
      <c r="Y49" s="140">
        <f t="shared" si="8"/>
        <v>0</v>
      </c>
      <c r="Z49" s="140" t="str">
        <f t="shared" si="9"/>
        <v/>
      </c>
      <c r="AA49" s="140">
        <f t="shared" si="10"/>
        <v>99</v>
      </c>
      <c r="AB49" s="140" t="str">
        <f t="shared" si="11"/>
        <v/>
      </c>
      <c r="AC49" s="140">
        <f t="shared" si="12"/>
        <v>-0.99</v>
      </c>
      <c r="AD49" s="140">
        <f t="shared" si="13"/>
        <v>0</v>
      </c>
      <c r="AE49" s="140">
        <f t="shared" si="14"/>
        <v>0</v>
      </c>
      <c r="AF49" s="140">
        <f t="shared" si="15"/>
        <v>0</v>
      </c>
      <c r="AG49" s="140">
        <f t="shared" si="16"/>
        <v>0</v>
      </c>
      <c r="AH49" s="140">
        <f t="shared" si="17"/>
        <v>0</v>
      </c>
      <c r="AI49" s="140">
        <f t="shared" si="18"/>
        <v>0</v>
      </c>
      <c r="AJ49" s="140">
        <f t="shared" si="19"/>
        <v>0</v>
      </c>
      <c r="AK49" s="140">
        <f t="shared" si="20"/>
        <v>0</v>
      </c>
      <c r="AL49" s="140">
        <f t="shared" si="21"/>
        <v>0</v>
      </c>
      <c r="AM49" t="str">
        <f t="shared" si="22"/>
        <v>4610-000: General expenses Supplies</v>
      </c>
      <c r="AN49" s="140">
        <f t="shared" si="23"/>
        <v>32.67</v>
      </c>
      <c r="AO49" s="140">
        <f t="shared" si="24"/>
        <v>-32.67</v>
      </c>
      <c r="AP49" s="1" t="str">
        <f>IF(AND(AO49&gt;0, _xlfn.XLOOKUP($AM49, Discretionaries!$A$2:'Discretionaries'!$A$150, Discretionaries!$B$2:'Discretionaries'!$B$150)), (1+AN49)*$N49, "")</f>
        <v/>
      </c>
      <c r="AQ49" s="1" t="str">
        <f>IF(AND(AO49&gt;0, _xlfn.XLOOKUP($AM49, Discretionaries!$A$2:'Discretionaries'!$A$150, Discretionaries!$B$2:'Discretionaries'!$B$150)),AP49-$Q49,"")</f>
        <v/>
      </c>
      <c r="AR49" s="140">
        <f>IF(AG49="", 0-CPI!$B$15, AG49-CPI!$B$15)</f>
        <v>-3.8999999999999993E-2</v>
      </c>
      <c r="AS49" s="1" t="str">
        <f>IF(AND(AR49&gt;0, _xlfn.XLOOKUP($AM49, Discretionaries!$A$2:'Discretionaries'!$A$150, Discretionaries!$B$2:'Discretionaries'!$B$150)), (1+CPI!$B$15)*$N49, "")</f>
        <v/>
      </c>
      <c r="AT49" s="1" t="str">
        <f>IF(AND(AR49&gt;0, _xlfn.XLOOKUP($AM49, Discretionaries!$A$2:'Discretionaries'!$A$150, Discretionaries!$B$2:'Discretionaries'!$B$150)),AS49-$Q49,"")</f>
        <v/>
      </c>
    </row>
    <row r="50" spans="1:46" x14ac:dyDescent="0.3">
      <c r="A50" t="s">
        <v>413</v>
      </c>
      <c r="B50" t="str">
        <f t="shared" si="0"/>
        <v>05</v>
      </c>
      <c r="C50" t="s">
        <v>408</v>
      </c>
      <c r="D50" t="str">
        <f t="shared" si="1"/>
        <v>00</v>
      </c>
      <c r="E50" t="s">
        <v>11</v>
      </c>
      <c r="F50" s="139" t="s">
        <v>35</v>
      </c>
      <c r="G50" t="s">
        <v>36</v>
      </c>
      <c r="H50" s="156">
        <v>213289</v>
      </c>
      <c r="I50" s="156">
        <v>213415.39</v>
      </c>
      <c r="J50" s="156">
        <v>228883</v>
      </c>
      <c r="K50" s="156">
        <v>268865.45</v>
      </c>
      <c r="L50" s="156">
        <v>287491</v>
      </c>
      <c r="M50" s="156">
        <v>286475.01</v>
      </c>
      <c r="N50" s="156">
        <v>303205</v>
      </c>
      <c r="O50" s="156">
        <v>324085</v>
      </c>
      <c r="P50" s="156">
        <v>324085</v>
      </c>
      <c r="Q50" s="156">
        <v>324085</v>
      </c>
      <c r="R50" s="156">
        <v>324085</v>
      </c>
      <c r="S50" s="156">
        <f t="shared" si="2"/>
        <v>20880</v>
      </c>
      <c r="T50" s="156">
        <f t="shared" si="3"/>
        <v>0</v>
      </c>
      <c r="U50" s="140">
        <f t="shared" si="4"/>
        <v>6.8864299731204962E-2</v>
      </c>
      <c r="V50" s="140">
        <f t="shared" si="5"/>
        <v>5.9257626975612416E-4</v>
      </c>
      <c r="W50" s="140">
        <f t="shared" si="6"/>
        <v>0.17468510112153376</v>
      </c>
      <c r="X50" s="140">
        <f t="shared" si="7"/>
        <v>-3.5339888900869617E-3</v>
      </c>
      <c r="Y50" s="140">
        <f t="shared" si="8"/>
        <v>7.31120686017563E-2</v>
      </c>
      <c r="Z50" s="140">
        <f t="shared" si="9"/>
        <v>0.25982221806965278</v>
      </c>
      <c r="AA50" s="140">
        <f t="shared" si="10"/>
        <v>0.25606095690811465</v>
      </c>
      <c r="AB50" s="140">
        <f t="shared" si="11"/>
        <v>6.5495808405282255E-2</v>
      </c>
      <c r="AC50" s="140">
        <f t="shared" si="12"/>
        <v>5.4659102371900338E-2</v>
      </c>
      <c r="AD50" s="140">
        <f t="shared" si="13"/>
        <v>0.42156885727815313</v>
      </c>
      <c r="AE50" s="140">
        <f t="shared" si="14"/>
        <v>6.8864299731204962E-2</v>
      </c>
      <c r="AF50" s="140">
        <f t="shared" si="15"/>
        <v>6.8864299731204962E-2</v>
      </c>
      <c r="AG50" s="140">
        <f t="shared" si="16"/>
        <v>6.8864299731204962E-2</v>
      </c>
      <c r="AH50" s="140">
        <f t="shared" si="17"/>
        <v>6.8864299731204962E-2</v>
      </c>
      <c r="AI50" s="140">
        <f t="shared" si="18"/>
        <v>0.51946420115430236</v>
      </c>
      <c r="AJ50" s="140">
        <f t="shared" si="19"/>
        <v>0.51946420115430236</v>
      </c>
      <c r="AK50" s="140">
        <f t="shared" si="20"/>
        <v>0.51946420115430236</v>
      </c>
      <c r="AL50" s="140">
        <f t="shared" si="21"/>
        <v>0.51946420115430236</v>
      </c>
      <c r="AM50" t="str">
        <f t="shared" si="22"/>
        <v>4110-000: Regular Salaries</v>
      </c>
      <c r="AN50" s="140">
        <f t="shared" si="23"/>
        <v>0.12794404262725709</v>
      </c>
      <c r="AO50" s="140">
        <f t="shared" si="24"/>
        <v>-5.9079742896052126E-2</v>
      </c>
      <c r="AP50" s="1" t="str">
        <f>IF(AND(AO50&gt;0, _xlfn.XLOOKUP($AM50, Discretionaries!$A$2:'Discretionaries'!$A$150, Discretionaries!$B$2:'Discretionaries'!$B$150)), (1+AN50)*$N50, "")</f>
        <v/>
      </c>
      <c r="AQ50" s="1" t="str">
        <f>IF(AND(AO50&gt;0, _xlfn.XLOOKUP($AM50, Discretionaries!$A$2:'Discretionaries'!$A$150, Discretionaries!$B$2:'Discretionaries'!$B$150)),AP50-$Q50,"")</f>
        <v/>
      </c>
      <c r="AR50" s="140">
        <f>IF(AG50="", 0-CPI!$B$15, AG50-CPI!$B$15)</f>
        <v>2.9864299731204969E-2</v>
      </c>
      <c r="AS50" s="1" t="str">
        <f>IF(AND(AR50&gt;0, _xlfn.XLOOKUP($AM50, Discretionaries!$A$2:'Discretionaries'!$A$150, Discretionaries!$B$2:'Discretionaries'!$B$150)), (1+CPI!$B$15)*$N50, "")</f>
        <v/>
      </c>
      <c r="AT50" s="1" t="str">
        <f>IF(AND(AR50&gt;0, _xlfn.XLOOKUP($AM50, Discretionaries!$A$2:'Discretionaries'!$A$150, Discretionaries!$B$2:'Discretionaries'!$B$150)),AS50-$Q50,"")</f>
        <v/>
      </c>
    </row>
    <row r="51" spans="1:46" x14ac:dyDescent="0.3">
      <c r="A51" t="s">
        <v>413</v>
      </c>
      <c r="B51" t="str">
        <f t="shared" si="0"/>
        <v>05</v>
      </c>
      <c r="C51" t="s">
        <v>408</v>
      </c>
      <c r="D51" t="str">
        <f t="shared" si="1"/>
        <v>00</v>
      </c>
      <c r="E51" t="s">
        <v>11</v>
      </c>
      <c r="F51" s="139" t="s">
        <v>37</v>
      </c>
      <c r="G51" t="s">
        <v>38</v>
      </c>
      <c r="H51" s="156">
        <v>65660</v>
      </c>
      <c r="I51" s="156">
        <v>65994.070000000007</v>
      </c>
      <c r="J51" s="156">
        <v>64976</v>
      </c>
      <c r="K51" s="156">
        <v>44881.8</v>
      </c>
      <c r="L51" s="156">
        <v>36579</v>
      </c>
      <c r="M51" s="156">
        <v>35740.15</v>
      </c>
      <c r="N51" s="156">
        <v>38109</v>
      </c>
      <c r="O51" s="156">
        <v>40365</v>
      </c>
      <c r="P51" s="156">
        <v>40365</v>
      </c>
      <c r="Q51" s="156">
        <v>40365</v>
      </c>
      <c r="R51" s="156">
        <v>40365</v>
      </c>
      <c r="S51" s="156">
        <f t="shared" si="2"/>
        <v>2256</v>
      </c>
      <c r="T51" s="156">
        <f t="shared" si="3"/>
        <v>0</v>
      </c>
      <c r="U51" s="140">
        <f t="shared" si="4"/>
        <v>5.9198614500511691E-2</v>
      </c>
      <c r="V51" s="140">
        <f t="shared" si="5"/>
        <v>5.087876941821611E-3</v>
      </c>
      <c r="W51" s="140">
        <f t="shared" si="6"/>
        <v>-0.30925572519083966</v>
      </c>
      <c r="X51" s="140">
        <f t="shared" si="7"/>
        <v>-2.2932556931572722E-2</v>
      </c>
      <c r="Y51" s="140">
        <f t="shared" si="8"/>
        <v>-1.0417301248857752E-2</v>
      </c>
      <c r="Z51" s="140">
        <f t="shared" si="9"/>
        <v>-0.31991162236243348</v>
      </c>
      <c r="AA51" s="140">
        <f t="shared" si="10"/>
        <v>-0.43703829106131492</v>
      </c>
      <c r="AB51" s="140">
        <f t="shared" si="11"/>
        <v>-0.2036827845585516</v>
      </c>
      <c r="AC51" s="140">
        <f t="shared" si="12"/>
        <v>4.1827277946362665E-2</v>
      </c>
      <c r="AD51" s="140">
        <f t="shared" si="13"/>
        <v>-0.41960097471824553</v>
      </c>
      <c r="AE51" s="140">
        <f t="shared" si="14"/>
        <v>5.9198614500511691E-2</v>
      </c>
      <c r="AF51" s="140">
        <f t="shared" si="15"/>
        <v>5.9198614500511691E-2</v>
      </c>
      <c r="AG51" s="140">
        <f t="shared" si="16"/>
        <v>5.9198614500511691E-2</v>
      </c>
      <c r="AH51" s="140">
        <f t="shared" si="17"/>
        <v>5.9198614500511691E-2</v>
      </c>
      <c r="AI51" s="140">
        <f t="shared" si="18"/>
        <v>-0.3852421565641182</v>
      </c>
      <c r="AJ51" s="140">
        <f t="shared" si="19"/>
        <v>-0.3852421565641182</v>
      </c>
      <c r="AK51" s="140">
        <f t="shared" si="20"/>
        <v>-0.3852421565641182</v>
      </c>
      <c r="AL51" s="140">
        <f t="shared" si="21"/>
        <v>-0.3852421565641182</v>
      </c>
      <c r="AM51" t="str">
        <f t="shared" si="22"/>
        <v>4120-000: Part-time Salaries</v>
      </c>
      <c r="AN51" s="140">
        <f t="shared" si="23"/>
        <v>-0.13520943812127001</v>
      </c>
      <c r="AO51" s="140">
        <f t="shared" si="24"/>
        <v>0.19440805262178171</v>
      </c>
      <c r="AP51" s="1" t="str">
        <f>IF(AND(AO51&gt;0, _xlfn.XLOOKUP($AM51, Discretionaries!$A$2:'Discretionaries'!$A$150, Discretionaries!$B$2:'Discretionaries'!$B$150)), (1+AN51)*$N51, "")</f>
        <v/>
      </c>
      <c r="AQ51" s="1" t="str">
        <f>IF(AND(AO51&gt;0, _xlfn.XLOOKUP($AM51, Discretionaries!$A$2:'Discretionaries'!$A$150, Discretionaries!$B$2:'Discretionaries'!$B$150)),AP51-$Q51,"")</f>
        <v/>
      </c>
      <c r="AR51" s="140">
        <f>IF(AG51="", 0-CPI!$B$15, AG51-CPI!$B$15)</f>
        <v>2.0198614500511698E-2</v>
      </c>
      <c r="AS51" s="1" t="str">
        <f>IF(AND(AR51&gt;0, _xlfn.XLOOKUP($AM51, Discretionaries!$A$2:'Discretionaries'!$A$150, Discretionaries!$B$2:'Discretionaries'!$B$150)), (1+CPI!$B$15)*$N51, "")</f>
        <v/>
      </c>
      <c r="AT51" s="1" t="str">
        <f>IF(AND(AR51&gt;0, _xlfn.XLOOKUP($AM51, Discretionaries!$A$2:'Discretionaries'!$A$150, Discretionaries!$B$2:'Discretionaries'!$B$150)),AS51-$Q51,"")</f>
        <v/>
      </c>
    </row>
    <row r="52" spans="1:46" x14ac:dyDescent="0.3">
      <c r="A52" t="s">
        <v>413</v>
      </c>
      <c r="B52" t="str">
        <f t="shared" si="0"/>
        <v>05</v>
      </c>
      <c r="C52" t="s">
        <v>408</v>
      </c>
      <c r="D52" t="str">
        <f t="shared" si="1"/>
        <v>00</v>
      </c>
      <c r="E52" t="s">
        <v>11</v>
      </c>
      <c r="F52" s="139" t="s">
        <v>12</v>
      </c>
      <c r="G52" t="s">
        <v>13</v>
      </c>
      <c r="H52" s="156">
        <v>71764</v>
      </c>
      <c r="I52" s="156">
        <v>71880.08</v>
      </c>
      <c r="J52" s="156">
        <v>73576</v>
      </c>
      <c r="K52" s="156">
        <v>71780.800000000003</v>
      </c>
      <c r="L52" s="156">
        <v>71781</v>
      </c>
      <c r="M52" s="156">
        <v>72056.88</v>
      </c>
      <c r="N52" s="156">
        <v>71781</v>
      </c>
      <c r="O52" s="156">
        <v>0</v>
      </c>
      <c r="P52" s="156">
        <v>0</v>
      </c>
      <c r="Q52" s="156">
        <v>0</v>
      </c>
      <c r="R52" s="156">
        <v>0</v>
      </c>
      <c r="S52" s="156">
        <f t="shared" si="2"/>
        <v>-71781</v>
      </c>
      <c r="T52" s="156">
        <f t="shared" si="3"/>
        <v>0</v>
      </c>
      <c r="U52" s="140">
        <f t="shared" si="4"/>
        <v>-1</v>
      </c>
      <c r="V52" s="140">
        <f t="shared" si="5"/>
        <v>1.6175241067945174E-3</v>
      </c>
      <c r="W52" s="140">
        <f t="shared" si="6"/>
        <v>-2.4399260628465765E-2</v>
      </c>
      <c r="X52" s="140">
        <f t="shared" si="7"/>
        <v>3.8433568771681177E-3</v>
      </c>
      <c r="Y52" s="140">
        <f t="shared" si="8"/>
        <v>2.5249428682905077E-2</v>
      </c>
      <c r="Z52" s="140">
        <f t="shared" si="9"/>
        <v>-1.3811893364614903E-3</v>
      </c>
      <c r="AA52" s="140">
        <f t="shared" si="10"/>
        <v>-2.4396542350766555E-2</v>
      </c>
      <c r="AB52" s="140">
        <f t="shared" si="11"/>
        <v>3.8461538461538702E-3</v>
      </c>
      <c r="AC52" s="140">
        <f t="shared" si="12"/>
        <v>0</v>
      </c>
      <c r="AD52" s="140">
        <f t="shared" si="13"/>
        <v>2.3688757594336992E-4</v>
      </c>
      <c r="AE52" s="140">
        <f t="shared" si="14"/>
        <v>-1</v>
      </c>
      <c r="AF52" s="140">
        <f t="shared" si="15"/>
        <v>-1</v>
      </c>
      <c r="AG52" s="140">
        <f t="shared" si="16"/>
        <v>-1</v>
      </c>
      <c r="AH52" s="140">
        <f t="shared" si="17"/>
        <v>-1</v>
      </c>
      <c r="AI52" s="140">
        <f t="shared" si="18"/>
        <v>-1</v>
      </c>
      <c r="AJ52" s="140">
        <f t="shared" si="19"/>
        <v>-1</v>
      </c>
      <c r="AK52" s="140">
        <f t="shared" si="20"/>
        <v>-1</v>
      </c>
      <c r="AL52" s="140">
        <f t="shared" si="21"/>
        <v>-1</v>
      </c>
      <c r="AM52" t="str">
        <f t="shared" si="22"/>
        <v>4130-000: Elected Salaries</v>
      </c>
      <c r="AN52" s="140">
        <f t="shared" si="23"/>
        <v>2.8429544404617407E-4</v>
      </c>
      <c r="AO52" s="140">
        <f t="shared" si="24"/>
        <v>-1.0002842954440461</v>
      </c>
      <c r="AP52" s="1" t="str">
        <f>IF(AND(AO52&gt;0, _xlfn.XLOOKUP($AM52, Discretionaries!$A$2:'Discretionaries'!$A$150, Discretionaries!$B$2:'Discretionaries'!$B$150)), (1+AN52)*$N52, "")</f>
        <v/>
      </c>
      <c r="AQ52" s="1" t="str">
        <f>IF(AND(AO52&gt;0, _xlfn.XLOOKUP($AM52, Discretionaries!$A$2:'Discretionaries'!$A$150, Discretionaries!$B$2:'Discretionaries'!$B$150)),AP52-$Q52,"")</f>
        <v/>
      </c>
      <c r="AR52" s="140">
        <f>IF(AG52="", 0-CPI!$B$15, AG52-CPI!$B$15)</f>
        <v>-1.0389999999999999</v>
      </c>
      <c r="AS52" s="1" t="str">
        <f>IF(AND(AR52&gt;0, _xlfn.XLOOKUP($AM52, Discretionaries!$A$2:'Discretionaries'!$A$150, Discretionaries!$B$2:'Discretionaries'!$B$150)), (1+CPI!$B$15)*$N52, "")</f>
        <v/>
      </c>
      <c r="AT52" s="1" t="str">
        <f>IF(AND(AR52&gt;0, _xlfn.XLOOKUP($AM52, Discretionaries!$A$2:'Discretionaries'!$A$150, Discretionaries!$B$2:'Discretionaries'!$B$150)),AS52-$Q52,"")</f>
        <v/>
      </c>
    </row>
    <row r="53" spans="1:46" x14ac:dyDescent="0.3">
      <c r="A53" t="s">
        <v>413</v>
      </c>
      <c r="B53" t="str">
        <f t="shared" si="0"/>
        <v>05</v>
      </c>
      <c r="C53" t="s">
        <v>408</v>
      </c>
      <c r="D53" t="str">
        <f t="shared" si="1"/>
        <v>00</v>
      </c>
      <c r="E53" t="s">
        <v>11</v>
      </c>
      <c r="F53" s="139" t="s">
        <v>39</v>
      </c>
      <c r="G53" t="s">
        <v>40</v>
      </c>
      <c r="H53" s="156">
        <v>1600</v>
      </c>
      <c r="I53" s="156">
        <v>4383.45</v>
      </c>
      <c r="J53" s="156">
        <v>1600</v>
      </c>
      <c r="K53" s="156">
        <v>6038.84</v>
      </c>
      <c r="L53" s="156">
        <v>4100</v>
      </c>
      <c r="M53" s="156">
        <v>6292.94</v>
      </c>
      <c r="N53" s="156">
        <v>6500</v>
      </c>
      <c r="O53" s="156">
        <v>6500</v>
      </c>
      <c r="P53" s="156">
        <v>6500</v>
      </c>
      <c r="Q53" s="156">
        <v>6500</v>
      </c>
      <c r="R53" s="156">
        <v>6500</v>
      </c>
      <c r="S53" s="156">
        <f t="shared" si="2"/>
        <v>0</v>
      </c>
      <c r="T53" s="156">
        <f t="shared" si="3"/>
        <v>0</v>
      </c>
      <c r="U53" s="140">
        <f t="shared" si="4"/>
        <v>0</v>
      </c>
      <c r="V53" s="140">
        <f t="shared" si="5"/>
        <v>1.7396562499999999</v>
      </c>
      <c r="W53" s="140">
        <f t="shared" si="6"/>
        <v>2.7742750000000003</v>
      </c>
      <c r="X53" s="140">
        <f t="shared" si="7"/>
        <v>0.53486341463414622</v>
      </c>
      <c r="Y53" s="140">
        <f t="shared" si="8"/>
        <v>0</v>
      </c>
      <c r="Z53" s="140">
        <f t="shared" si="9"/>
        <v>0.37764546190785808</v>
      </c>
      <c r="AA53" s="140">
        <f t="shared" si="10"/>
        <v>1.5625</v>
      </c>
      <c r="AB53" s="140">
        <f t="shared" si="11"/>
        <v>4.2077617555689409E-2</v>
      </c>
      <c r="AC53" s="140">
        <f t="shared" si="12"/>
        <v>0.58536585365853655</v>
      </c>
      <c r="AD53" s="140">
        <f t="shared" si="13"/>
        <v>3.0625</v>
      </c>
      <c r="AE53" s="140">
        <f t="shared" si="14"/>
        <v>0</v>
      </c>
      <c r="AF53" s="140">
        <f t="shared" si="15"/>
        <v>0</v>
      </c>
      <c r="AG53" s="140">
        <f t="shared" si="16"/>
        <v>0</v>
      </c>
      <c r="AH53" s="140">
        <f t="shared" si="17"/>
        <v>0</v>
      </c>
      <c r="AI53" s="140">
        <f t="shared" si="18"/>
        <v>3.0625</v>
      </c>
      <c r="AJ53" s="140">
        <f t="shared" si="19"/>
        <v>3.0625</v>
      </c>
      <c r="AK53" s="140">
        <f t="shared" si="20"/>
        <v>3.0625</v>
      </c>
      <c r="AL53" s="140">
        <f t="shared" si="21"/>
        <v>3.0625</v>
      </c>
      <c r="AM53" t="str">
        <f t="shared" si="22"/>
        <v>4140-000: Overtime Salaries</v>
      </c>
      <c r="AN53" s="140">
        <f t="shared" si="23"/>
        <v>0.71595528455284552</v>
      </c>
      <c r="AO53" s="140">
        <f t="shared" si="24"/>
        <v>-0.71595528455284552</v>
      </c>
      <c r="AP53" s="1" t="str">
        <f>IF(AND(AO53&gt;0, _xlfn.XLOOKUP($AM53, Discretionaries!$A$2:'Discretionaries'!$A$150, Discretionaries!$B$2:'Discretionaries'!$B$150)), (1+AN53)*$N53, "")</f>
        <v/>
      </c>
      <c r="AQ53" s="1" t="str">
        <f>IF(AND(AO53&gt;0, _xlfn.XLOOKUP($AM53, Discretionaries!$A$2:'Discretionaries'!$A$150, Discretionaries!$B$2:'Discretionaries'!$B$150)),AP53-$Q53,"")</f>
        <v/>
      </c>
      <c r="AR53" s="140">
        <f>IF(AG53="", 0-CPI!$B$15, AG53-CPI!$B$15)</f>
        <v>-3.8999999999999993E-2</v>
      </c>
      <c r="AS53" s="1" t="str">
        <f>IF(AND(AR53&gt;0, _xlfn.XLOOKUP($AM53, Discretionaries!$A$2:'Discretionaries'!$A$150, Discretionaries!$B$2:'Discretionaries'!$B$150)), (1+CPI!$B$15)*$N53, "")</f>
        <v/>
      </c>
      <c r="AT53" s="1" t="str">
        <f>IF(AND(AR53&gt;0, _xlfn.XLOOKUP($AM53, Discretionaries!$A$2:'Discretionaries'!$A$150, Discretionaries!$B$2:'Discretionaries'!$B$150)),AS53-$Q53,"")</f>
        <v/>
      </c>
    </row>
    <row r="54" spans="1:46" x14ac:dyDescent="0.3">
      <c r="A54" t="s">
        <v>413</v>
      </c>
      <c r="B54" t="str">
        <f t="shared" si="0"/>
        <v>05</v>
      </c>
      <c r="C54" t="s">
        <v>408</v>
      </c>
      <c r="D54" t="str">
        <f t="shared" si="1"/>
        <v>00</v>
      </c>
      <c r="E54" t="s">
        <v>14</v>
      </c>
      <c r="F54" s="139" t="s">
        <v>41</v>
      </c>
      <c r="G54" t="s">
        <v>42</v>
      </c>
      <c r="H54" s="156">
        <v>2855</v>
      </c>
      <c r="I54" s="156">
        <v>3314.68</v>
      </c>
      <c r="J54" s="156">
        <v>3162</v>
      </c>
      <c r="K54" s="156">
        <v>3640.16</v>
      </c>
      <c r="L54" s="156">
        <v>4892</v>
      </c>
      <c r="M54" s="156">
        <v>3155.52</v>
      </c>
      <c r="N54" s="156">
        <v>2900</v>
      </c>
      <c r="O54" s="156">
        <v>3093</v>
      </c>
      <c r="P54" s="156">
        <v>3093</v>
      </c>
      <c r="Q54" s="156">
        <v>3093</v>
      </c>
      <c r="R54" s="156">
        <v>3093</v>
      </c>
      <c r="S54" s="156">
        <f t="shared" si="2"/>
        <v>193</v>
      </c>
      <c r="T54" s="156">
        <f t="shared" si="3"/>
        <v>0</v>
      </c>
      <c r="U54" s="140">
        <f t="shared" si="4"/>
        <v>6.6551724137931034E-2</v>
      </c>
      <c r="V54" s="140">
        <f t="shared" si="5"/>
        <v>0.1610087565674255</v>
      </c>
      <c r="W54" s="140">
        <f t="shared" si="6"/>
        <v>0.15122074636306132</v>
      </c>
      <c r="X54" s="140">
        <f t="shared" si="7"/>
        <v>-0.35496320523303354</v>
      </c>
      <c r="Y54" s="140">
        <f t="shared" si="8"/>
        <v>0.10753064798598949</v>
      </c>
      <c r="Z54" s="140">
        <f t="shared" si="9"/>
        <v>9.8193490774373407E-2</v>
      </c>
      <c r="AA54" s="140">
        <f t="shared" si="10"/>
        <v>0.54712207463630613</v>
      </c>
      <c r="AB54" s="140">
        <f t="shared" si="11"/>
        <v>-0.1331370049668146</v>
      </c>
      <c r="AC54" s="140">
        <f t="shared" si="12"/>
        <v>-0.40719542109566642</v>
      </c>
      <c r="AD54" s="140">
        <f t="shared" si="13"/>
        <v>1.5761821366024518E-2</v>
      </c>
      <c r="AE54" s="140">
        <f t="shared" si="14"/>
        <v>6.6551724137931034E-2</v>
      </c>
      <c r="AF54" s="140">
        <f t="shared" si="15"/>
        <v>6.6551724137931034E-2</v>
      </c>
      <c r="AG54" s="140">
        <f t="shared" si="16"/>
        <v>6.6551724137931034E-2</v>
      </c>
      <c r="AH54" s="140">
        <f t="shared" si="17"/>
        <v>6.6551724137931034E-2</v>
      </c>
      <c r="AI54" s="140">
        <f t="shared" si="18"/>
        <v>8.3362521891418559E-2</v>
      </c>
      <c r="AJ54" s="140">
        <f t="shared" si="19"/>
        <v>8.3362521891418559E-2</v>
      </c>
      <c r="AK54" s="140">
        <f t="shared" si="20"/>
        <v>8.3362521891418559E-2</v>
      </c>
      <c r="AL54" s="140">
        <f t="shared" si="21"/>
        <v>8.3362521891418559E-2</v>
      </c>
      <c r="AM54" t="str">
        <f t="shared" si="22"/>
        <v>4215-000: STD, LTD, &amp; Life Benefits</v>
      </c>
      <c r="AN54" s="140">
        <f t="shared" si="23"/>
        <v>8.2485767175543054E-2</v>
      </c>
      <c r="AO54" s="140">
        <f t="shared" si="24"/>
        <v>-1.593404303761202E-2</v>
      </c>
      <c r="AP54" s="1" t="str">
        <f>IF(AND(AO54&gt;0, _xlfn.XLOOKUP($AM54, Discretionaries!$A$2:'Discretionaries'!$A$150, Discretionaries!$B$2:'Discretionaries'!$B$150)), (1+AN54)*$N54, "")</f>
        <v/>
      </c>
      <c r="AQ54" s="1" t="str">
        <f>IF(AND(AO54&gt;0, _xlfn.XLOOKUP($AM54, Discretionaries!$A$2:'Discretionaries'!$A$150, Discretionaries!$B$2:'Discretionaries'!$B$150)),AP54-$Q54,"")</f>
        <v/>
      </c>
      <c r="AR54" s="140">
        <f>IF(AG54="", 0-CPI!$B$15, AG54-CPI!$B$15)</f>
        <v>2.7551724137931041E-2</v>
      </c>
      <c r="AS54" s="1" t="str">
        <f>IF(AND(AR54&gt;0, _xlfn.XLOOKUP($AM54, Discretionaries!$A$2:'Discretionaries'!$A$150, Discretionaries!$B$2:'Discretionaries'!$B$150)), (1+CPI!$B$15)*$N54, "")</f>
        <v/>
      </c>
      <c r="AT54" s="1" t="str">
        <f>IF(AND(AR54&gt;0, _xlfn.XLOOKUP($AM54, Discretionaries!$A$2:'Discretionaries'!$A$150, Discretionaries!$B$2:'Discretionaries'!$B$150)),AS54-$Q54,"")</f>
        <v/>
      </c>
    </row>
    <row r="55" spans="1:46" x14ac:dyDescent="0.3">
      <c r="A55" t="s">
        <v>413</v>
      </c>
      <c r="B55" t="str">
        <f t="shared" si="0"/>
        <v>05</v>
      </c>
      <c r="C55" t="s">
        <v>408</v>
      </c>
      <c r="D55" t="str">
        <f t="shared" si="1"/>
        <v>00</v>
      </c>
      <c r="E55" t="s">
        <v>14</v>
      </c>
      <c r="F55" s="139" t="s">
        <v>15</v>
      </c>
      <c r="G55" t="s">
        <v>16</v>
      </c>
      <c r="H55" s="156">
        <v>21828</v>
      </c>
      <c r="I55" s="156">
        <v>21781.77</v>
      </c>
      <c r="J55" s="156">
        <v>22569</v>
      </c>
      <c r="K55" s="156">
        <v>23744.32</v>
      </c>
      <c r="L55" s="156">
        <v>24909</v>
      </c>
      <c r="M55" s="156">
        <v>24392.34</v>
      </c>
      <c r="N55" s="156">
        <v>26052</v>
      </c>
      <c r="O55" s="156">
        <v>22999</v>
      </c>
      <c r="P55" s="156">
        <v>22999</v>
      </c>
      <c r="Q55" s="156">
        <v>22999</v>
      </c>
      <c r="R55" s="156">
        <v>22999</v>
      </c>
      <c r="S55" s="156">
        <f t="shared" si="2"/>
        <v>-3053</v>
      </c>
      <c r="T55" s="156">
        <f t="shared" si="3"/>
        <v>0</v>
      </c>
      <c r="U55" s="140">
        <f t="shared" si="4"/>
        <v>-0.11718869952402887</v>
      </c>
      <c r="V55" s="140">
        <f t="shared" si="5"/>
        <v>-2.1179219351291721E-3</v>
      </c>
      <c r="W55" s="140">
        <f t="shared" si="6"/>
        <v>5.207674243431254E-2</v>
      </c>
      <c r="X55" s="140">
        <f t="shared" si="7"/>
        <v>-2.0741900517885097E-2</v>
      </c>
      <c r="Y55" s="140">
        <f t="shared" si="8"/>
        <v>3.3947223749312812E-2</v>
      </c>
      <c r="Z55" s="140">
        <f t="shared" si="9"/>
        <v>9.0100574930320143E-2</v>
      </c>
      <c r="AA55" s="140">
        <f t="shared" si="10"/>
        <v>0.10368204173866809</v>
      </c>
      <c r="AB55" s="140">
        <f t="shared" si="11"/>
        <v>2.7291579628306913E-2</v>
      </c>
      <c r="AC55" s="140">
        <f t="shared" si="12"/>
        <v>4.5887028784776587E-2</v>
      </c>
      <c r="AD55" s="140">
        <f t="shared" si="13"/>
        <v>0.19351291918636612</v>
      </c>
      <c r="AE55" s="140">
        <f t="shared" si="14"/>
        <v>-0.11718869952402887</v>
      </c>
      <c r="AF55" s="140">
        <f t="shared" si="15"/>
        <v>-0.11718869952402887</v>
      </c>
      <c r="AG55" s="140">
        <f t="shared" si="16"/>
        <v>-0.11718869952402887</v>
      </c>
      <c r="AH55" s="140">
        <f t="shared" si="17"/>
        <v>-0.11718869952402887</v>
      </c>
      <c r="AI55" s="140">
        <f t="shared" si="18"/>
        <v>5.3646692321788529E-2</v>
      </c>
      <c r="AJ55" s="140">
        <f t="shared" si="19"/>
        <v>5.3646692321788529E-2</v>
      </c>
      <c r="AK55" s="140">
        <f t="shared" si="20"/>
        <v>5.3646692321788529E-2</v>
      </c>
      <c r="AL55" s="140">
        <f t="shared" si="21"/>
        <v>5.3646692321788529E-2</v>
      </c>
      <c r="AM55" t="str">
        <f t="shared" si="22"/>
        <v>4220-000: FICA Benefits</v>
      </c>
      <c r="AN55" s="140">
        <f t="shared" si="23"/>
        <v>6.1172098090919169E-2</v>
      </c>
      <c r="AO55" s="140">
        <f t="shared" si="24"/>
        <v>-0.17836079761494805</v>
      </c>
      <c r="AP55" s="1" t="str">
        <f>IF(AND(AO55&gt;0, _xlfn.XLOOKUP($AM55, Discretionaries!$A$2:'Discretionaries'!$A$150, Discretionaries!$B$2:'Discretionaries'!$B$150)), (1+AN55)*$N55, "")</f>
        <v/>
      </c>
      <c r="AQ55" s="1" t="str">
        <f>IF(AND(AO55&gt;0, _xlfn.XLOOKUP($AM55, Discretionaries!$A$2:'Discretionaries'!$A$150, Discretionaries!$B$2:'Discretionaries'!$B$150)),AP55-$Q55,"")</f>
        <v/>
      </c>
      <c r="AR55" s="140">
        <f>IF(AG55="", 0-CPI!$B$15, AG55-CPI!$B$15)</f>
        <v>-0.15618869952402886</v>
      </c>
      <c r="AS55" s="1" t="str">
        <f>IF(AND(AR55&gt;0, _xlfn.XLOOKUP($AM55, Discretionaries!$A$2:'Discretionaries'!$A$150, Discretionaries!$B$2:'Discretionaries'!$B$150)), (1+CPI!$B$15)*$N55, "")</f>
        <v/>
      </c>
      <c r="AT55" s="1" t="str">
        <f>IF(AND(AR55&gt;0, _xlfn.XLOOKUP($AM55, Discretionaries!$A$2:'Discretionaries'!$A$150, Discretionaries!$B$2:'Discretionaries'!$B$150)),AS55-$Q55,"")</f>
        <v/>
      </c>
    </row>
    <row r="56" spans="1:46" x14ac:dyDescent="0.3">
      <c r="A56" t="s">
        <v>413</v>
      </c>
      <c r="B56" t="str">
        <f t="shared" si="0"/>
        <v>05</v>
      </c>
      <c r="C56" t="s">
        <v>408</v>
      </c>
      <c r="D56" t="str">
        <f t="shared" si="1"/>
        <v>00</v>
      </c>
      <c r="E56" t="s">
        <v>14</v>
      </c>
      <c r="F56" s="139" t="s">
        <v>17</v>
      </c>
      <c r="G56" t="s">
        <v>18</v>
      </c>
      <c r="H56" s="156">
        <v>5105</v>
      </c>
      <c r="I56" s="156">
        <v>5094.17</v>
      </c>
      <c r="J56" s="156">
        <v>5279</v>
      </c>
      <c r="K56" s="156">
        <v>5553.08</v>
      </c>
      <c r="L56" s="156">
        <v>5827</v>
      </c>
      <c r="M56" s="156">
        <v>5704.64</v>
      </c>
      <c r="N56" s="156">
        <v>6086</v>
      </c>
      <c r="O56" s="156">
        <v>5379</v>
      </c>
      <c r="P56" s="156">
        <v>5379</v>
      </c>
      <c r="Q56" s="156">
        <v>5379</v>
      </c>
      <c r="R56" s="156">
        <v>5379</v>
      </c>
      <c r="S56" s="156">
        <f t="shared" si="2"/>
        <v>-707</v>
      </c>
      <c r="T56" s="156">
        <f t="shared" si="3"/>
        <v>0</v>
      </c>
      <c r="U56" s="140">
        <f t="shared" si="4"/>
        <v>-0.11616825501150181</v>
      </c>
      <c r="V56" s="140">
        <f t="shared" si="5"/>
        <v>-2.1214495592556176E-3</v>
      </c>
      <c r="W56" s="140">
        <f t="shared" si="6"/>
        <v>5.191892403864367E-2</v>
      </c>
      <c r="X56" s="140">
        <f t="shared" si="7"/>
        <v>-2.0998798695726732E-2</v>
      </c>
      <c r="Y56" s="140">
        <f t="shared" si="8"/>
        <v>3.4084231145935361E-2</v>
      </c>
      <c r="Z56" s="140">
        <f t="shared" si="9"/>
        <v>9.0085332841267532E-2</v>
      </c>
      <c r="AA56" s="140">
        <f t="shared" si="10"/>
        <v>0.10380753930668687</v>
      </c>
      <c r="AB56" s="140">
        <f t="shared" si="11"/>
        <v>2.7292961743753088E-2</v>
      </c>
      <c r="AC56" s="140">
        <f t="shared" si="12"/>
        <v>4.4448258108803845E-2</v>
      </c>
      <c r="AD56" s="140">
        <f t="shared" si="13"/>
        <v>0.1921645445641528</v>
      </c>
      <c r="AE56" s="140">
        <f t="shared" si="14"/>
        <v>-0.11616825501150181</v>
      </c>
      <c r="AF56" s="140">
        <f t="shared" si="15"/>
        <v>-0.11616825501150181</v>
      </c>
      <c r="AG56" s="140">
        <f t="shared" si="16"/>
        <v>-0.11616825501150181</v>
      </c>
      <c r="AH56" s="140">
        <f t="shared" si="17"/>
        <v>-0.11616825501150181</v>
      </c>
      <c r="AI56" s="140">
        <f t="shared" si="18"/>
        <v>5.367286973555338E-2</v>
      </c>
      <c r="AJ56" s="140">
        <f t="shared" si="19"/>
        <v>5.367286973555338E-2</v>
      </c>
      <c r="AK56" s="140">
        <f t="shared" si="20"/>
        <v>5.367286973555338E-2</v>
      </c>
      <c r="AL56" s="140">
        <f t="shared" si="21"/>
        <v>5.367286973555338E-2</v>
      </c>
      <c r="AM56" t="str">
        <f t="shared" si="22"/>
        <v>4225-000: Medicare Benefits</v>
      </c>
      <c r="AN56" s="140">
        <f t="shared" si="23"/>
        <v>6.078000952047536E-2</v>
      </c>
      <c r="AO56" s="140">
        <f t="shared" si="24"/>
        <v>-0.17694826453197718</v>
      </c>
      <c r="AP56" s="1" t="str">
        <f>IF(AND(AO56&gt;0, _xlfn.XLOOKUP($AM56, Discretionaries!$A$2:'Discretionaries'!$A$150, Discretionaries!$B$2:'Discretionaries'!$B$150)), (1+AN56)*$N56, "")</f>
        <v/>
      </c>
      <c r="AQ56" s="1" t="str">
        <f>IF(AND(AO56&gt;0, _xlfn.XLOOKUP($AM56, Discretionaries!$A$2:'Discretionaries'!$A$150, Discretionaries!$B$2:'Discretionaries'!$B$150)),AP56-$Q56,"")</f>
        <v/>
      </c>
      <c r="AR56" s="140">
        <f>IF(AG56="", 0-CPI!$B$15, AG56-CPI!$B$15)</f>
        <v>-0.1551682550115018</v>
      </c>
      <c r="AS56" s="1" t="str">
        <f>IF(AND(AR56&gt;0, _xlfn.XLOOKUP($AM56, Discretionaries!$A$2:'Discretionaries'!$A$150, Discretionaries!$B$2:'Discretionaries'!$B$150)), (1+CPI!$B$15)*$N56, "")</f>
        <v/>
      </c>
      <c r="AT56" s="1" t="str">
        <f>IF(AND(AR56&gt;0, _xlfn.XLOOKUP($AM56, Discretionaries!$A$2:'Discretionaries'!$A$150, Discretionaries!$B$2:'Discretionaries'!$B$150)),AS56-$Q56,"")</f>
        <v/>
      </c>
    </row>
    <row r="57" spans="1:46" x14ac:dyDescent="0.3">
      <c r="A57" t="s">
        <v>413</v>
      </c>
      <c r="B57" t="str">
        <f t="shared" si="0"/>
        <v>05</v>
      </c>
      <c r="C57" t="s">
        <v>408</v>
      </c>
      <c r="D57" t="str">
        <f t="shared" si="1"/>
        <v>00</v>
      </c>
      <c r="E57" t="s">
        <v>14</v>
      </c>
      <c r="F57" s="139" t="s">
        <v>43</v>
      </c>
      <c r="G57" t="s">
        <v>44</v>
      </c>
      <c r="H57" s="156">
        <v>30213</v>
      </c>
      <c r="I57" s="156">
        <v>30552.12</v>
      </c>
      <c r="J57" s="156">
        <v>30504</v>
      </c>
      <c r="K57" s="156">
        <v>36374.129999999997</v>
      </c>
      <c r="L57" s="156">
        <v>39453</v>
      </c>
      <c r="M57" s="156">
        <v>39850.339999999997</v>
      </c>
      <c r="N57" s="156">
        <v>39539</v>
      </c>
      <c r="O57" s="156">
        <v>42201</v>
      </c>
      <c r="P57" s="156">
        <v>42201</v>
      </c>
      <c r="Q57" s="156">
        <v>42201</v>
      </c>
      <c r="R57" s="156">
        <v>42201</v>
      </c>
      <c r="S57" s="156">
        <f t="shared" si="2"/>
        <v>2662</v>
      </c>
      <c r="T57" s="156">
        <f t="shared" si="3"/>
        <v>0</v>
      </c>
      <c r="U57" s="140">
        <f t="shared" si="4"/>
        <v>6.7325931358911448E-2</v>
      </c>
      <c r="V57" s="140">
        <f t="shared" si="5"/>
        <v>1.1224307417336874E-2</v>
      </c>
      <c r="W57" s="140">
        <f t="shared" si="6"/>
        <v>0.19243804091266711</v>
      </c>
      <c r="X57" s="140">
        <f t="shared" si="7"/>
        <v>1.007122398803631E-2</v>
      </c>
      <c r="Y57" s="140">
        <f t="shared" si="8"/>
        <v>9.6316155297388548E-3</v>
      </c>
      <c r="Z57" s="140">
        <f t="shared" si="9"/>
        <v>0.1905599349570504</v>
      </c>
      <c r="AA57" s="140">
        <f t="shared" si="10"/>
        <v>0.29337136113296619</v>
      </c>
      <c r="AB57" s="140">
        <f t="shared" si="11"/>
        <v>9.5568196407721628E-2</v>
      </c>
      <c r="AC57" s="140">
        <f t="shared" si="12"/>
        <v>2.1798088865232048E-3</v>
      </c>
      <c r="AD57" s="140">
        <f t="shared" si="13"/>
        <v>0.30867507364379571</v>
      </c>
      <c r="AE57" s="140">
        <f t="shared" si="14"/>
        <v>6.7325931358911448E-2</v>
      </c>
      <c r="AF57" s="140">
        <f t="shared" si="15"/>
        <v>6.7325931358911448E-2</v>
      </c>
      <c r="AG57" s="140">
        <f t="shared" si="16"/>
        <v>6.7325931358911448E-2</v>
      </c>
      <c r="AH57" s="140">
        <f t="shared" si="17"/>
        <v>6.7325931358911448E-2</v>
      </c>
      <c r="AI57" s="140">
        <f t="shared" si="18"/>
        <v>0.39678284182305629</v>
      </c>
      <c r="AJ57" s="140">
        <f t="shared" si="19"/>
        <v>0.39678284182305629</v>
      </c>
      <c r="AK57" s="140">
        <f t="shared" si="20"/>
        <v>0.39678284182305629</v>
      </c>
      <c r="AL57" s="140">
        <f t="shared" si="21"/>
        <v>0.39678284182305629</v>
      </c>
      <c r="AM57" t="str">
        <f t="shared" si="22"/>
        <v>4230-000: Retirement Benefits</v>
      </c>
      <c r="AN57" s="140">
        <f t="shared" si="23"/>
        <v>0.10172759518307607</v>
      </c>
      <c r="AO57" s="140">
        <f t="shared" si="24"/>
        <v>-3.4401663824164624E-2</v>
      </c>
      <c r="AP57" s="1" t="str">
        <f>IF(AND(AO57&gt;0, _xlfn.XLOOKUP($AM57, Discretionaries!$A$2:'Discretionaries'!$A$150, Discretionaries!$B$2:'Discretionaries'!$B$150)), (1+AN57)*$N57, "")</f>
        <v/>
      </c>
      <c r="AQ57" s="1" t="str">
        <f>IF(AND(AO57&gt;0, _xlfn.XLOOKUP($AM57, Discretionaries!$A$2:'Discretionaries'!$A$150, Discretionaries!$B$2:'Discretionaries'!$B$150)),AP57-$Q57,"")</f>
        <v/>
      </c>
      <c r="AR57" s="140">
        <f>IF(AG57="", 0-CPI!$B$15, AG57-CPI!$B$15)</f>
        <v>2.8325931358911455E-2</v>
      </c>
      <c r="AS57" s="1" t="str">
        <f>IF(AND(AR57&gt;0, _xlfn.XLOOKUP($AM57, Discretionaries!$A$2:'Discretionaries'!$A$150, Discretionaries!$B$2:'Discretionaries'!$B$150)), (1+CPI!$B$15)*$N57, "")</f>
        <v/>
      </c>
      <c r="AT57" s="1" t="str">
        <f>IF(AND(AR57&gt;0, _xlfn.XLOOKUP($AM57, Discretionaries!$A$2:'Discretionaries'!$A$150, Discretionaries!$B$2:'Discretionaries'!$B$150)),AS57-$Q57,"")</f>
        <v/>
      </c>
    </row>
    <row r="58" spans="1:46" x14ac:dyDescent="0.3">
      <c r="A58" t="s">
        <v>413</v>
      </c>
      <c r="B58" t="str">
        <f t="shared" si="0"/>
        <v>05</v>
      </c>
      <c r="C58" t="s">
        <v>408</v>
      </c>
      <c r="D58" t="str">
        <f t="shared" si="1"/>
        <v>00</v>
      </c>
      <c r="E58" t="s">
        <v>14</v>
      </c>
      <c r="F58" s="139" t="s">
        <v>19</v>
      </c>
      <c r="G58" t="s">
        <v>20</v>
      </c>
      <c r="H58" s="156">
        <v>556</v>
      </c>
      <c r="I58" s="156">
        <v>528.61</v>
      </c>
      <c r="J58" s="156">
        <v>586</v>
      </c>
      <c r="K58" s="156">
        <v>625.78</v>
      </c>
      <c r="L58" s="156">
        <v>701</v>
      </c>
      <c r="M58" s="156">
        <v>701.27</v>
      </c>
      <c r="N58" s="156">
        <v>829</v>
      </c>
      <c r="O58" s="156">
        <v>699</v>
      </c>
      <c r="P58" s="156">
        <v>699</v>
      </c>
      <c r="Q58" s="156">
        <v>699</v>
      </c>
      <c r="R58" s="156">
        <v>699</v>
      </c>
      <c r="S58" s="156">
        <f t="shared" si="2"/>
        <v>-130</v>
      </c>
      <c r="T58" s="156">
        <f t="shared" si="3"/>
        <v>0</v>
      </c>
      <c r="U58" s="140">
        <f t="shared" si="4"/>
        <v>-0.15681544028950542</v>
      </c>
      <c r="V58" s="140">
        <f t="shared" si="5"/>
        <v>-4.9262589928057529E-2</v>
      </c>
      <c r="W58" s="140">
        <f t="shared" si="6"/>
        <v>6.7883959044368558E-2</v>
      </c>
      <c r="X58" s="140">
        <f t="shared" si="7"/>
        <v>3.8516405135518092E-4</v>
      </c>
      <c r="Y58" s="140">
        <f t="shared" si="8"/>
        <v>5.3956834532374098E-2</v>
      </c>
      <c r="Z58" s="140">
        <f t="shared" si="9"/>
        <v>0.18382172111764808</v>
      </c>
      <c r="AA58" s="140">
        <f t="shared" si="10"/>
        <v>0.19624573378839591</v>
      </c>
      <c r="AB58" s="140">
        <f t="shared" si="11"/>
        <v>0.12063344945508007</v>
      </c>
      <c r="AC58" s="140">
        <f t="shared" si="12"/>
        <v>0.18259629101283881</v>
      </c>
      <c r="AD58" s="140">
        <f t="shared" si="13"/>
        <v>0.49100719424460432</v>
      </c>
      <c r="AE58" s="140">
        <f t="shared" si="14"/>
        <v>-0.15681544028950542</v>
      </c>
      <c r="AF58" s="140">
        <f t="shared" si="15"/>
        <v>-0.15681544028950542</v>
      </c>
      <c r="AG58" s="140">
        <f t="shared" si="16"/>
        <v>-0.15681544028950542</v>
      </c>
      <c r="AH58" s="140">
        <f t="shared" si="17"/>
        <v>-0.15681544028950542</v>
      </c>
      <c r="AI58" s="140">
        <f t="shared" si="18"/>
        <v>0.25719424460431656</v>
      </c>
      <c r="AJ58" s="140">
        <f t="shared" si="19"/>
        <v>0.25719424460431656</v>
      </c>
      <c r="AK58" s="140">
        <f t="shared" si="20"/>
        <v>0.25719424460431656</v>
      </c>
      <c r="AL58" s="140">
        <f t="shared" si="21"/>
        <v>0.25719424460431656</v>
      </c>
      <c r="AM58" t="str">
        <f t="shared" si="22"/>
        <v>4260-000: Workers' comp Benefits</v>
      </c>
      <c r="AN58" s="140">
        <f t="shared" si="23"/>
        <v>0.14426628644453629</v>
      </c>
      <c r="AO58" s="140">
        <f t="shared" si="24"/>
        <v>-0.30108172673404171</v>
      </c>
      <c r="AP58" s="1" t="str">
        <f>IF(AND(AO58&gt;0, _xlfn.XLOOKUP($AM58, Discretionaries!$A$2:'Discretionaries'!$A$150, Discretionaries!$B$2:'Discretionaries'!$B$150)), (1+AN58)*$N58, "")</f>
        <v/>
      </c>
      <c r="AQ58" s="1" t="str">
        <f>IF(AND(AO58&gt;0, _xlfn.XLOOKUP($AM58, Discretionaries!$A$2:'Discretionaries'!$A$150, Discretionaries!$B$2:'Discretionaries'!$B$150)),AP58-$Q58,"")</f>
        <v/>
      </c>
      <c r="AR58" s="140">
        <f>IF(AG58="", 0-CPI!$B$15, AG58-CPI!$B$15)</f>
        <v>-0.19581544028950543</v>
      </c>
      <c r="AS58" s="1" t="str">
        <f>IF(AND(AR58&gt;0, _xlfn.XLOOKUP($AM58, Discretionaries!$A$2:'Discretionaries'!$A$150, Discretionaries!$B$2:'Discretionaries'!$B$150)), (1+CPI!$B$15)*$N58, "")</f>
        <v/>
      </c>
      <c r="AT58" s="1" t="str">
        <f>IF(AND(AR58&gt;0, _xlfn.XLOOKUP($AM58, Discretionaries!$A$2:'Discretionaries'!$A$150, Discretionaries!$B$2:'Discretionaries'!$B$150)),AS58-$Q58,"")</f>
        <v/>
      </c>
    </row>
    <row r="59" spans="1:46" x14ac:dyDescent="0.3">
      <c r="A59" t="s">
        <v>413</v>
      </c>
      <c r="B59" t="str">
        <f t="shared" si="0"/>
        <v>05</v>
      </c>
      <c r="C59" t="s">
        <v>408</v>
      </c>
      <c r="D59" t="str">
        <f t="shared" si="1"/>
        <v>00</v>
      </c>
      <c r="E59" t="s">
        <v>21</v>
      </c>
      <c r="F59" s="139" t="s">
        <v>102</v>
      </c>
      <c r="G59" t="s">
        <v>103</v>
      </c>
      <c r="H59" s="156">
        <v>748</v>
      </c>
      <c r="I59" s="156">
        <v>2.6</v>
      </c>
      <c r="J59" s="156">
        <v>748</v>
      </c>
      <c r="K59" s="156">
        <v>0</v>
      </c>
      <c r="L59" s="156">
        <v>748</v>
      </c>
      <c r="M59" s="156">
        <v>1570.51</v>
      </c>
      <c r="N59" s="156">
        <v>748</v>
      </c>
      <c r="O59" s="156">
        <v>1500</v>
      </c>
      <c r="P59" s="156">
        <v>1500</v>
      </c>
      <c r="Q59" s="156">
        <v>1500</v>
      </c>
      <c r="R59" s="156">
        <v>748</v>
      </c>
      <c r="S59" s="156">
        <f t="shared" si="2"/>
        <v>752</v>
      </c>
      <c r="T59" s="156">
        <f t="shared" si="3"/>
        <v>752</v>
      </c>
      <c r="U59" s="140">
        <f t="shared" si="4"/>
        <v>1.0053475935828877</v>
      </c>
      <c r="V59" s="140">
        <f t="shared" si="5"/>
        <v>-0.99652406417112294</v>
      </c>
      <c r="W59" s="140">
        <f t="shared" si="6"/>
        <v>-1</v>
      </c>
      <c r="X59" s="140">
        <f t="shared" si="7"/>
        <v>1.0996122994652406</v>
      </c>
      <c r="Y59" s="140">
        <f t="shared" si="8"/>
        <v>0</v>
      </c>
      <c r="Z59" s="140">
        <f t="shared" si="9"/>
        <v>-1</v>
      </c>
      <c r="AA59" s="140">
        <f t="shared" si="10"/>
        <v>0</v>
      </c>
      <c r="AB59" s="140" t="str">
        <f t="shared" si="11"/>
        <v/>
      </c>
      <c r="AC59" s="140">
        <f t="shared" si="12"/>
        <v>0</v>
      </c>
      <c r="AD59" s="140">
        <f t="shared" si="13"/>
        <v>0</v>
      </c>
      <c r="AE59" s="140">
        <f t="shared" si="14"/>
        <v>1.0053475935828877</v>
      </c>
      <c r="AF59" s="140">
        <f t="shared" si="15"/>
        <v>1.0053475935828877</v>
      </c>
      <c r="AG59" s="140">
        <f t="shared" si="16"/>
        <v>1.0053475935828877</v>
      </c>
      <c r="AH59" s="140">
        <f t="shared" si="17"/>
        <v>0</v>
      </c>
      <c r="AI59" s="140">
        <f t="shared" si="18"/>
        <v>1.0053475935828877</v>
      </c>
      <c r="AJ59" s="140">
        <f t="shared" si="19"/>
        <v>1.0053475935828877</v>
      </c>
      <c r="AK59" s="140">
        <f t="shared" si="20"/>
        <v>1.0053475935828877</v>
      </c>
      <c r="AL59" s="140">
        <f t="shared" si="21"/>
        <v>0</v>
      </c>
      <c r="AM59" t="str">
        <f t="shared" si="22"/>
        <v>4321-000: Redemptions Services</v>
      </c>
      <c r="AN59" s="140">
        <f t="shared" si="23"/>
        <v>0</v>
      </c>
      <c r="AO59" s="140">
        <f t="shared" si="24"/>
        <v>1.0053475935828877</v>
      </c>
      <c r="AP59" s="1">
        <f>IF(AND(AO59&gt;0, _xlfn.XLOOKUP($AM59, Discretionaries!$A$2:'Discretionaries'!$A$150, Discretionaries!$B$2:'Discretionaries'!$B$150)), (1+AN59)*$N59, "")</f>
        <v>748</v>
      </c>
      <c r="AQ59" s="1">
        <f>IF(AND(AO59&gt;0, _xlfn.XLOOKUP($AM59, Discretionaries!$A$2:'Discretionaries'!$A$150, Discretionaries!$B$2:'Discretionaries'!$B$150)),AP59-$Q59,"")</f>
        <v>-752</v>
      </c>
      <c r="AR59" s="140">
        <f>IF(AG59="", 0-CPI!$B$15, AG59-CPI!$B$15)</f>
        <v>0.96634759358288769</v>
      </c>
      <c r="AS59" s="1">
        <f>IF(AND(AR59&gt;0, _xlfn.XLOOKUP($AM59, Discretionaries!$A$2:'Discretionaries'!$A$150, Discretionaries!$B$2:'Discretionaries'!$B$150)), (1+CPI!$B$15)*$N59, "")</f>
        <v>777.17199999999991</v>
      </c>
      <c r="AT59" s="1">
        <f>IF(AND(AR59&gt;0, _xlfn.XLOOKUP($AM59, Discretionaries!$A$2:'Discretionaries'!$A$150, Discretionaries!$B$2:'Discretionaries'!$B$150)),AS59-$Q59,"")</f>
        <v>-722.82800000000009</v>
      </c>
    </row>
    <row r="60" spans="1:46" x14ac:dyDescent="0.3">
      <c r="A60" t="s">
        <v>413</v>
      </c>
      <c r="B60" t="str">
        <f t="shared" si="0"/>
        <v>05</v>
      </c>
      <c r="C60" t="s">
        <v>408</v>
      </c>
      <c r="D60" t="str">
        <f t="shared" si="1"/>
        <v>00</v>
      </c>
      <c r="E60" t="s">
        <v>21</v>
      </c>
      <c r="F60" s="139" t="s">
        <v>28</v>
      </c>
      <c r="G60" t="s">
        <v>29</v>
      </c>
      <c r="H60" s="156">
        <v>19671</v>
      </c>
      <c r="I60" s="156">
        <v>24394.79</v>
      </c>
      <c r="J60" s="156">
        <v>19671</v>
      </c>
      <c r="K60" s="156">
        <v>23609.3</v>
      </c>
      <c r="L60" s="156">
        <v>19671</v>
      </c>
      <c r="M60" s="156">
        <v>23567.79</v>
      </c>
      <c r="N60" s="156">
        <v>6695</v>
      </c>
      <c r="O60" s="156">
        <v>4000</v>
      </c>
      <c r="P60" s="156">
        <v>4000</v>
      </c>
      <c r="Q60" s="156">
        <v>4000</v>
      </c>
      <c r="R60" s="156">
        <v>6695</v>
      </c>
      <c r="S60" s="156">
        <f t="shared" si="2"/>
        <v>-2695</v>
      </c>
      <c r="T60" s="156">
        <f t="shared" si="3"/>
        <v>-2695</v>
      </c>
      <c r="U60" s="140">
        <f t="shared" si="4"/>
        <v>-0.40253920836445106</v>
      </c>
      <c r="V60" s="140">
        <f t="shared" si="5"/>
        <v>0.24013979970514976</v>
      </c>
      <c r="W60" s="140">
        <f t="shared" si="6"/>
        <v>0.20020842865131408</v>
      </c>
      <c r="X60" s="140">
        <f t="shared" si="7"/>
        <v>0.19809821564739977</v>
      </c>
      <c r="Y60" s="140">
        <f t="shared" si="8"/>
        <v>0</v>
      </c>
      <c r="Z60" s="140">
        <f t="shared" si="9"/>
        <v>-3.2199088411910971E-2</v>
      </c>
      <c r="AA60" s="140">
        <f t="shared" si="10"/>
        <v>0</v>
      </c>
      <c r="AB60" s="140">
        <f t="shared" si="11"/>
        <v>-1.7582054529358515E-3</v>
      </c>
      <c r="AC60" s="140">
        <f t="shared" si="12"/>
        <v>-0.65965126328097201</v>
      </c>
      <c r="AD60" s="140">
        <f t="shared" si="13"/>
        <v>-0.65965126328097201</v>
      </c>
      <c r="AE60" s="140">
        <f t="shared" si="14"/>
        <v>-0.40253920836445106</v>
      </c>
      <c r="AF60" s="140">
        <f t="shared" si="15"/>
        <v>-0.40253920836445106</v>
      </c>
      <c r="AG60" s="140">
        <f t="shared" si="16"/>
        <v>-0.40253920836445106</v>
      </c>
      <c r="AH60" s="140">
        <f t="shared" si="17"/>
        <v>0</v>
      </c>
      <c r="AI60" s="140">
        <f t="shared" si="18"/>
        <v>-0.7966549743276905</v>
      </c>
      <c r="AJ60" s="140">
        <f t="shared" si="19"/>
        <v>-0.7966549743276905</v>
      </c>
      <c r="AK60" s="140">
        <f t="shared" si="20"/>
        <v>-0.7966549743276905</v>
      </c>
      <c r="AL60" s="140">
        <f t="shared" si="21"/>
        <v>-0.65965126328097201</v>
      </c>
      <c r="AM60" t="str">
        <f t="shared" si="22"/>
        <v>4330-000: MGMT services Services</v>
      </c>
      <c r="AN60" s="140">
        <f t="shared" si="23"/>
        <v>-0.21988375442699068</v>
      </c>
      <c r="AO60" s="140">
        <f t="shared" si="24"/>
        <v>-0.18265545393746038</v>
      </c>
      <c r="AP60" s="1" t="str">
        <f>IF(AND(AO60&gt;0, _xlfn.XLOOKUP($AM60, Discretionaries!$A$2:'Discretionaries'!$A$150, Discretionaries!$B$2:'Discretionaries'!$B$150)), (1+AN60)*$N60, "")</f>
        <v/>
      </c>
      <c r="AQ60" s="1" t="str">
        <f>IF(AND(AO60&gt;0, _xlfn.XLOOKUP($AM60, Discretionaries!$A$2:'Discretionaries'!$A$150, Discretionaries!$B$2:'Discretionaries'!$B$150)),AP60-$Q60,"")</f>
        <v/>
      </c>
      <c r="AR60" s="140">
        <f>IF(AG60="", 0-CPI!$B$15, AG60-CPI!$B$15)</f>
        <v>-0.44153920836445104</v>
      </c>
      <c r="AS60" s="1" t="str">
        <f>IF(AND(AR60&gt;0, _xlfn.XLOOKUP($AM60, Discretionaries!$A$2:'Discretionaries'!$A$150, Discretionaries!$B$2:'Discretionaries'!$B$150)), (1+CPI!$B$15)*$N60, "")</f>
        <v/>
      </c>
      <c r="AT60" s="1" t="str">
        <f>IF(AND(AR60&gt;0, _xlfn.XLOOKUP($AM60, Discretionaries!$A$2:'Discretionaries'!$A$150, Discretionaries!$B$2:'Discretionaries'!$B$150)),AS60-$Q60,"")</f>
        <v/>
      </c>
    </row>
    <row r="61" spans="1:46" x14ac:dyDescent="0.3">
      <c r="A61" t="s">
        <v>413</v>
      </c>
      <c r="B61" t="str">
        <f t="shared" si="0"/>
        <v>05</v>
      </c>
      <c r="C61" t="s">
        <v>408</v>
      </c>
      <c r="D61" t="str">
        <f t="shared" si="1"/>
        <v>00</v>
      </c>
      <c r="E61" t="s">
        <v>45</v>
      </c>
      <c r="F61" s="139" t="s">
        <v>22</v>
      </c>
      <c r="G61" t="s">
        <v>23</v>
      </c>
      <c r="H61" s="156">
        <v>0</v>
      </c>
      <c r="I61" s="156">
        <v>0</v>
      </c>
      <c r="J61" s="156">
        <v>0</v>
      </c>
      <c r="K61" s="156">
        <v>0</v>
      </c>
      <c r="L61" s="156">
        <v>0</v>
      </c>
      <c r="M61" s="156">
        <v>0</v>
      </c>
      <c r="N61" s="156">
        <v>0</v>
      </c>
      <c r="O61" s="156">
        <v>18416</v>
      </c>
      <c r="P61" s="156">
        <v>18416</v>
      </c>
      <c r="Q61" s="156">
        <v>18416</v>
      </c>
      <c r="R61" s="156">
        <v>0</v>
      </c>
      <c r="S61" s="156">
        <f t="shared" si="2"/>
        <v>18416</v>
      </c>
      <c r="T61" s="156">
        <f t="shared" si="3"/>
        <v>18416</v>
      </c>
      <c r="U61" s="140" t="str">
        <f t="shared" si="4"/>
        <v/>
      </c>
      <c r="V61" s="140" t="str">
        <f t="shared" si="5"/>
        <v/>
      </c>
      <c r="W61" s="140" t="str">
        <f t="shared" si="6"/>
        <v/>
      </c>
      <c r="X61" s="140" t="str">
        <f t="shared" si="7"/>
        <v/>
      </c>
      <c r="Y61" s="140" t="str">
        <f t="shared" si="8"/>
        <v/>
      </c>
      <c r="Z61" s="140" t="str">
        <f t="shared" si="9"/>
        <v/>
      </c>
      <c r="AA61" s="140" t="str">
        <f t="shared" si="10"/>
        <v/>
      </c>
      <c r="AB61" s="140" t="str">
        <f t="shared" si="11"/>
        <v/>
      </c>
      <c r="AC61" s="140" t="str">
        <f t="shared" si="12"/>
        <v/>
      </c>
      <c r="AD61" s="140" t="str">
        <f t="shared" si="13"/>
        <v/>
      </c>
      <c r="AE61" s="140" t="str">
        <f t="shared" si="14"/>
        <v/>
      </c>
      <c r="AF61" s="140" t="str">
        <f t="shared" si="15"/>
        <v/>
      </c>
      <c r="AG61" s="140" t="str">
        <f t="shared" si="16"/>
        <v/>
      </c>
      <c r="AH61" s="140" t="str">
        <f t="shared" si="17"/>
        <v/>
      </c>
      <c r="AI61" s="140" t="str">
        <f t="shared" si="18"/>
        <v/>
      </c>
      <c r="AJ61" s="140" t="str">
        <f t="shared" si="19"/>
        <v/>
      </c>
      <c r="AK61" s="140" t="str">
        <f t="shared" si="20"/>
        <v/>
      </c>
      <c r="AL61" s="140" t="str">
        <f t="shared" si="21"/>
        <v/>
      </c>
      <c r="AM61" t="str">
        <f t="shared" si="22"/>
        <v>4550-000: Printing Services</v>
      </c>
      <c r="AN61" s="140">
        <f t="shared" si="23"/>
        <v>0</v>
      </c>
      <c r="AO61" s="140">
        <f t="shared" si="24"/>
        <v>0</v>
      </c>
      <c r="AP61" s="1" t="str">
        <f>IF(AND(AO61&gt;0, _xlfn.XLOOKUP($AM61, Discretionaries!$A$2:'Discretionaries'!$A$150, Discretionaries!$B$2:'Discretionaries'!$B$150)), (1+AN61)*$N61, "")</f>
        <v/>
      </c>
      <c r="AQ61" s="1" t="str">
        <f>IF(AND(AO61&gt;0, _xlfn.XLOOKUP($AM61, Discretionaries!$A$2:'Discretionaries'!$A$150, Discretionaries!$B$2:'Discretionaries'!$B$150)),AP61-$Q61,"")</f>
        <v/>
      </c>
      <c r="AR61" s="140">
        <f>IF(AG61="", 0-CPI!$B$15, AG61-CPI!$B$15)</f>
        <v>-3.8999999999999993E-2</v>
      </c>
      <c r="AS61" s="1" t="str">
        <f>IF(AND(AR61&gt;0, _xlfn.XLOOKUP($AM61, Discretionaries!$A$2:'Discretionaries'!$A$150, Discretionaries!$B$2:'Discretionaries'!$B$150)), (1+CPI!$B$15)*$N61, "")</f>
        <v/>
      </c>
      <c r="AT61" s="1" t="str">
        <f>IF(AND(AR61&gt;0, _xlfn.XLOOKUP($AM61, Discretionaries!$A$2:'Discretionaries'!$A$150, Discretionaries!$B$2:'Discretionaries'!$B$150)),AS61-$Q61,"")</f>
        <v/>
      </c>
    </row>
    <row r="62" spans="1:46" x14ac:dyDescent="0.3">
      <c r="A62" t="s">
        <v>413</v>
      </c>
      <c r="B62" t="str">
        <f t="shared" si="0"/>
        <v>05</v>
      </c>
      <c r="C62" t="s">
        <v>408</v>
      </c>
      <c r="D62" t="str">
        <f t="shared" si="1"/>
        <v>00</v>
      </c>
      <c r="E62" t="s">
        <v>45</v>
      </c>
      <c r="F62" s="139" t="s">
        <v>46</v>
      </c>
      <c r="G62" t="s">
        <v>47</v>
      </c>
      <c r="H62" s="156">
        <v>595</v>
      </c>
      <c r="I62" s="156">
        <v>20</v>
      </c>
      <c r="J62" s="156">
        <v>595</v>
      </c>
      <c r="K62" s="156">
        <v>0</v>
      </c>
      <c r="L62" s="156">
        <v>595</v>
      </c>
      <c r="M62" s="156">
        <v>140</v>
      </c>
      <c r="N62" s="156">
        <v>350</v>
      </c>
      <c r="O62" s="156">
        <v>250</v>
      </c>
      <c r="P62" s="156">
        <v>250</v>
      </c>
      <c r="Q62" s="156">
        <v>250</v>
      </c>
      <c r="R62" s="156">
        <v>350</v>
      </c>
      <c r="S62" s="156">
        <f t="shared" si="2"/>
        <v>-100</v>
      </c>
      <c r="T62" s="156">
        <f t="shared" si="3"/>
        <v>-100</v>
      </c>
      <c r="U62" s="140">
        <f t="shared" si="4"/>
        <v>-0.2857142857142857</v>
      </c>
      <c r="V62" s="140">
        <f t="shared" si="5"/>
        <v>-0.96638655462184875</v>
      </c>
      <c r="W62" s="140">
        <f t="shared" si="6"/>
        <v>-1</v>
      </c>
      <c r="X62" s="140">
        <f t="shared" si="7"/>
        <v>-0.76470588235294112</v>
      </c>
      <c r="Y62" s="140">
        <f t="shared" si="8"/>
        <v>0</v>
      </c>
      <c r="Z62" s="140">
        <f t="shared" si="9"/>
        <v>-1</v>
      </c>
      <c r="AA62" s="140">
        <f t="shared" si="10"/>
        <v>0</v>
      </c>
      <c r="AB62" s="140" t="str">
        <f t="shared" si="11"/>
        <v/>
      </c>
      <c r="AC62" s="140">
        <f t="shared" si="12"/>
        <v>-0.41176470588235292</v>
      </c>
      <c r="AD62" s="140">
        <f t="shared" si="13"/>
        <v>-0.41176470588235292</v>
      </c>
      <c r="AE62" s="140">
        <f t="shared" si="14"/>
        <v>-0.2857142857142857</v>
      </c>
      <c r="AF62" s="140">
        <f t="shared" si="15"/>
        <v>-0.2857142857142857</v>
      </c>
      <c r="AG62" s="140">
        <f t="shared" si="16"/>
        <v>-0.2857142857142857</v>
      </c>
      <c r="AH62" s="140">
        <f t="shared" si="17"/>
        <v>0</v>
      </c>
      <c r="AI62" s="140">
        <f t="shared" si="18"/>
        <v>-0.57983193277310929</v>
      </c>
      <c r="AJ62" s="140">
        <f t="shared" si="19"/>
        <v>-0.57983193277310929</v>
      </c>
      <c r="AK62" s="140">
        <f t="shared" si="20"/>
        <v>-0.57983193277310929</v>
      </c>
      <c r="AL62" s="140">
        <f t="shared" si="21"/>
        <v>-0.41176470588235292</v>
      </c>
      <c r="AM62" t="str">
        <f t="shared" si="22"/>
        <v>4560-000: Dues &amp; subs Services</v>
      </c>
      <c r="AN62" s="140">
        <f t="shared" si="23"/>
        <v>-0.1372549019607843</v>
      </c>
      <c r="AO62" s="140">
        <f t="shared" si="24"/>
        <v>-0.1484593837535014</v>
      </c>
      <c r="AP62" s="1" t="str">
        <f>IF(AND(AO62&gt;0, _xlfn.XLOOKUP($AM62, Discretionaries!$A$2:'Discretionaries'!$A$150, Discretionaries!$B$2:'Discretionaries'!$B$150)), (1+AN62)*$N62, "")</f>
        <v/>
      </c>
      <c r="AQ62" s="1" t="str">
        <f>IF(AND(AO62&gt;0, _xlfn.XLOOKUP($AM62, Discretionaries!$A$2:'Discretionaries'!$A$150, Discretionaries!$B$2:'Discretionaries'!$B$150)),AP62-$Q62,"")</f>
        <v/>
      </c>
      <c r="AR62" s="140">
        <f>IF(AG62="", 0-CPI!$B$15, AG62-CPI!$B$15)</f>
        <v>-0.32471428571428568</v>
      </c>
      <c r="AS62" s="1" t="str">
        <f>IF(AND(AR62&gt;0, _xlfn.XLOOKUP($AM62, Discretionaries!$A$2:'Discretionaries'!$A$150, Discretionaries!$B$2:'Discretionaries'!$B$150)), (1+CPI!$B$15)*$N62, "")</f>
        <v/>
      </c>
      <c r="AT62" s="1" t="str">
        <f>IF(AND(AR62&gt;0, _xlfn.XLOOKUP($AM62, Discretionaries!$A$2:'Discretionaries'!$A$150, Discretionaries!$B$2:'Discretionaries'!$B$150)),AS62-$Q62,"")</f>
        <v/>
      </c>
    </row>
    <row r="63" spans="1:46" x14ac:dyDescent="0.3">
      <c r="A63" t="s">
        <v>413</v>
      </c>
      <c r="B63" t="str">
        <f t="shared" si="0"/>
        <v>05</v>
      </c>
      <c r="C63" t="s">
        <v>408</v>
      </c>
      <c r="D63" t="str">
        <f t="shared" si="1"/>
        <v>00</v>
      </c>
      <c r="E63" t="s">
        <v>45</v>
      </c>
      <c r="F63" s="139" t="s">
        <v>24</v>
      </c>
      <c r="G63" t="s">
        <v>25</v>
      </c>
      <c r="H63" s="156">
        <v>1285</v>
      </c>
      <c r="I63" s="156">
        <v>1147.1099999999999</v>
      </c>
      <c r="J63" s="156">
        <v>1285</v>
      </c>
      <c r="K63" s="156">
        <v>1896</v>
      </c>
      <c r="L63" s="156">
        <v>1285</v>
      </c>
      <c r="M63" s="156">
        <v>1533</v>
      </c>
      <c r="N63" s="156">
        <v>1585</v>
      </c>
      <c r="O63" s="156">
        <v>4165</v>
      </c>
      <c r="P63" s="156">
        <v>4165</v>
      </c>
      <c r="Q63" s="156">
        <v>4165</v>
      </c>
      <c r="R63" s="156">
        <v>1585</v>
      </c>
      <c r="S63" s="156">
        <f t="shared" si="2"/>
        <v>2580</v>
      </c>
      <c r="T63" s="156">
        <f t="shared" si="3"/>
        <v>2580</v>
      </c>
      <c r="U63" s="140">
        <f t="shared" si="4"/>
        <v>1.6277602523659307</v>
      </c>
      <c r="V63" s="140">
        <f t="shared" si="5"/>
        <v>-0.10730739299610903</v>
      </c>
      <c r="W63" s="140">
        <f t="shared" si="6"/>
        <v>0.47548638132295717</v>
      </c>
      <c r="X63" s="140">
        <f t="shared" si="7"/>
        <v>0.19299610894941635</v>
      </c>
      <c r="Y63" s="140">
        <f t="shared" si="8"/>
        <v>0</v>
      </c>
      <c r="Z63" s="140">
        <f t="shared" si="9"/>
        <v>0.65284933441431092</v>
      </c>
      <c r="AA63" s="140">
        <f t="shared" si="10"/>
        <v>0</v>
      </c>
      <c r="AB63" s="140">
        <f t="shared" si="11"/>
        <v>-0.19145569620253164</v>
      </c>
      <c r="AC63" s="140">
        <f t="shared" si="12"/>
        <v>0.23346303501945526</v>
      </c>
      <c r="AD63" s="140">
        <f t="shared" si="13"/>
        <v>0.23346303501945526</v>
      </c>
      <c r="AE63" s="140">
        <f t="shared" si="14"/>
        <v>1.6277602523659307</v>
      </c>
      <c r="AF63" s="140">
        <f t="shared" si="15"/>
        <v>1.6277602523659307</v>
      </c>
      <c r="AG63" s="140">
        <f t="shared" si="16"/>
        <v>1.6277602523659307</v>
      </c>
      <c r="AH63" s="140">
        <f t="shared" si="17"/>
        <v>0</v>
      </c>
      <c r="AI63" s="140">
        <f t="shared" si="18"/>
        <v>2.2412451361867705</v>
      </c>
      <c r="AJ63" s="140">
        <f t="shared" si="19"/>
        <v>2.2412451361867705</v>
      </c>
      <c r="AK63" s="140">
        <f t="shared" si="20"/>
        <v>2.2412451361867705</v>
      </c>
      <c r="AL63" s="140">
        <f t="shared" si="21"/>
        <v>0.23346303501945526</v>
      </c>
      <c r="AM63" t="str">
        <f t="shared" si="22"/>
        <v>4570-000: Sem &amp; workshops Services</v>
      </c>
      <c r="AN63" s="140">
        <f t="shared" si="23"/>
        <v>7.7821011673151752E-2</v>
      </c>
      <c r="AO63" s="140">
        <f t="shared" si="24"/>
        <v>1.549939240692779</v>
      </c>
      <c r="AP63" s="1">
        <f>IF(AND(AO63&gt;0, _xlfn.XLOOKUP($AM63, Discretionaries!$A$2:'Discretionaries'!$A$150, Discretionaries!$B$2:'Discretionaries'!$B$150)), (1+AN63)*$N63, "")</f>
        <v>1708.3463035019454</v>
      </c>
      <c r="AQ63" s="1">
        <f>IF(AND(AO63&gt;0, _xlfn.XLOOKUP($AM63, Discretionaries!$A$2:'Discretionaries'!$A$150, Discretionaries!$B$2:'Discretionaries'!$B$150)),AP63-$Q63,"")</f>
        <v>-2456.6536964980546</v>
      </c>
      <c r="AR63" s="140">
        <f>IF(AG63="", 0-CPI!$B$15, AG63-CPI!$B$15)</f>
        <v>1.5887602523659308</v>
      </c>
      <c r="AS63" s="1">
        <f>IF(AND(AR63&gt;0, _xlfn.XLOOKUP($AM63, Discretionaries!$A$2:'Discretionaries'!$A$150, Discretionaries!$B$2:'Discretionaries'!$B$150)), (1+CPI!$B$15)*$N63, "")</f>
        <v>1646.8149999999998</v>
      </c>
      <c r="AT63" s="1">
        <f>IF(AND(AR63&gt;0, _xlfn.XLOOKUP($AM63, Discretionaries!$A$2:'Discretionaries'!$A$150, Discretionaries!$B$2:'Discretionaries'!$B$150)),AS63-$Q63,"")</f>
        <v>-2518.1850000000004</v>
      </c>
    </row>
    <row r="64" spans="1:46" x14ac:dyDescent="0.3">
      <c r="A64" t="s">
        <v>413</v>
      </c>
      <c r="B64" t="str">
        <f t="shared" si="0"/>
        <v>05</v>
      </c>
      <c r="C64" t="s">
        <v>408</v>
      </c>
      <c r="D64" t="str">
        <f t="shared" si="1"/>
        <v>00</v>
      </c>
      <c r="E64" t="s">
        <v>45</v>
      </c>
      <c r="F64" s="139" t="s">
        <v>26</v>
      </c>
      <c r="G64" t="s">
        <v>27</v>
      </c>
      <c r="H64" s="156">
        <v>3066</v>
      </c>
      <c r="I64" s="156">
        <v>884.74</v>
      </c>
      <c r="J64" s="156">
        <v>3066</v>
      </c>
      <c r="K64" s="156">
        <v>1759.52</v>
      </c>
      <c r="L64" s="156">
        <v>3066</v>
      </c>
      <c r="M64" s="156">
        <v>1033.0999999999999</v>
      </c>
      <c r="N64" s="156">
        <v>2316</v>
      </c>
      <c r="O64" s="156">
        <v>1725</v>
      </c>
      <c r="P64" s="156">
        <v>1725</v>
      </c>
      <c r="Q64" s="156">
        <v>1725</v>
      </c>
      <c r="R64" s="156">
        <v>2316</v>
      </c>
      <c r="S64" s="156">
        <f t="shared" si="2"/>
        <v>-591</v>
      </c>
      <c r="T64" s="156">
        <f t="shared" si="3"/>
        <v>-591</v>
      </c>
      <c r="U64" s="140">
        <f t="shared" si="4"/>
        <v>-0.25518134715025909</v>
      </c>
      <c r="V64" s="140">
        <f t="shared" si="5"/>
        <v>-0.71143509458577958</v>
      </c>
      <c r="W64" s="140">
        <f t="shared" si="6"/>
        <v>-0.42611872146118723</v>
      </c>
      <c r="X64" s="140">
        <f t="shared" si="7"/>
        <v>-0.66304631441617745</v>
      </c>
      <c r="Y64" s="140">
        <f t="shared" si="8"/>
        <v>0</v>
      </c>
      <c r="Z64" s="140">
        <f t="shared" si="9"/>
        <v>0.98874245541062911</v>
      </c>
      <c r="AA64" s="140">
        <f t="shared" si="10"/>
        <v>0</v>
      </c>
      <c r="AB64" s="140">
        <f t="shared" si="11"/>
        <v>-0.41285123215422392</v>
      </c>
      <c r="AC64" s="140">
        <f t="shared" si="12"/>
        <v>-0.2446183953033268</v>
      </c>
      <c r="AD64" s="140">
        <f t="shared" si="13"/>
        <v>-0.2446183953033268</v>
      </c>
      <c r="AE64" s="140">
        <f t="shared" si="14"/>
        <v>-0.25518134715025909</v>
      </c>
      <c r="AF64" s="140">
        <f t="shared" si="15"/>
        <v>-0.25518134715025909</v>
      </c>
      <c r="AG64" s="140">
        <f t="shared" si="16"/>
        <v>-0.25518134715025909</v>
      </c>
      <c r="AH64" s="140">
        <f t="shared" si="17"/>
        <v>0</v>
      </c>
      <c r="AI64" s="140">
        <f t="shared" si="18"/>
        <v>-0.43737769080234834</v>
      </c>
      <c r="AJ64" s="140">
        <f t="shared" si="19"/>
        <v>-0.43737769080234834</v>
      </c>
      <c r="AK64" s="140">
        <f t="shared" si="20"/>
        <v>-0.43737769080234834</v>
      </c>
      <c r="AL64" s="140">
        <f t="shared" si="21"/>
        <v>-0.2446183953033268</v>
      </c>
      <c r="AM64" t="str">
        <f t="shared" si="22"/>
        <v>4575-000: Travel &amp; mileage Services</v>
      </c>
      <c r="AN64" s="140">
        <f t="shared" si="23"/>
        <v>-8.1539465101108932E-2</v>
      </c>
      <c r="AO64" s="140">
        <f t="shared" si="24"/>
        <v>-0.17364188204915015</v>
      </c>
      <c r="AP64" s="1" t="str">
        <f>IF(AND(AO64&gt;0, _xlfn.XLOOKUP($AM64, Discretionaries!$A$2:'Discretionaries'!$A$150, Discretionaries!$B$2:'Discretionaries'!$B$150)), (1+AN64)*$N64, "")</f>
        <v/>
      </c>
      <c r="AQ64" s="1" t="str">
        <f>IF(AND(AO64&gt;0, _xlfn.XLOOKUP($AM64, Discretionaries!$A$2:'Discretionaries'!$A$150, Discretionaries!$B$2:'Discretionaries'!$B$150)),AP64-$Q64,"")</f>
        <v/>
      </c>
      <c r="AR64" s="140">
        <f>IF(AG64="", 0-CPI!$B$15, AG64-CPI!$B$15)</f>
        <v>-0.29418134715025906</v>
      </c>
      <c r="AS64" s="1" t="str">
        <f>IF(AND(AR64&gt;0, _xlfn.XLOOKUP($AM64, Discretionaries!$A$2:'Discretionaries'!$A$150, Discretionaries!$B$2:'Discretionaries'!$B$150)), (1+CPI!$B$15)*$N64, "")</f>
        <v/>
      </c>
      <c r="AT64" s="1" t="str">
        <f>IF(AND(AR64&gt;0, _xlfn.XLOOKUP($AM64, Discretionaries!$A$2:'Discretionaries'!$A$150, Discretionaries!$B$2:'Discretionaries'!$B$150)),AS64-$Q64,"")</f>
        <v/>
      </c>
    </row>
    <row r="65" spans="1:46" x14ac:dyDescent="0.3">
      <c r="A65" t="s">
        <v>413</v>
      </c>
      <c r="B65" t="str">
        <f t="shared" si="0"/>
        <v>05</v>
      </c>
      <c r="C65" t="s">
        <v>408</v>
      </c>
      <c r="D65" t="str">
        <f t="shared" si="1"/>
        <v>00</v>
      </c>
      <c r="E65" t="s">
        <v>30</v>
      </c>
      <c r="F65" s="139" t="s">
        <v>51</v>
      </c>
      <c r="G65" t="s">
        <v>48</v>
      </c>
      <c r="H65" s="156">
        <v>7727</v>
      </c>
      <c r="I65" s="156">
        <v>5766.14</v>
      </c>
      <c r="J65" s="156">
        <v>7000</v>
      </c>
      <c r="K65" s="156">
        <v>5850.16</v>
      </c>
      <c r="L65" s="156">
        <v>7000</v>
      </c>
      <c r="M65" s="156">
        <v>5313.11</v>
      </c>
      <c r="N65" s="156">
        <v>7000</v>
      </c>
      <c r="O65" s="156">
        <v>9864</v>
      </c>
      <c r="P65" s="156">
        <v>9864</v>
      </c>
      <c r="Q65" s="156">
        <v>9864</v>
      </c>
      <c r="R65" s="156">
        <v>7000</v>
      </c>
      <c r="S65" s="156">
        <f t="shared" si="2"/>
        <v>2864</v>
      </c>
      <c r="T65" s="156">
        <f t="shared" si="3"/>
        <v>2864</v>
      </c>
      <c r="U65" s="140">
        <f t="shared" si="4"/>
        <v>0.40914285714285714</v>
      </c>
      <c r="V65" s="140">
        <f t="shared" si="5"/>
        <v>-0.25376730943445058</v>
      </c>
      <c r="W65" s="140">
        <f t="shared" si="6"/>
        <v>-0.16426285714285715</v>
      </c>
      <c r="X65" s="140">
        <f t="shared" si="7"/>
        <v>-0.24098428571428576</v>
      </c>
      <c r="Y65" s="140">
        <f t="shared" si="8"/>
        <v>-9.408567361200984E-2</v>
      </c>
      <c r="Z65" s="140">
        <f t="shared" si="9"/>
        <v>1.4571272983312844E-2</v>
      </c>
      <c r="AA65" s="140">
        <f t="shared" si="10"/>
        <v>0</v>
      </c>
      <c r="AB65" s="140">
        <f t="shared" si="11"/>
        <v>-9.1800908009353629E-2</v>
      </c>
      <c r="AC65" s="140">
        <f t="shared" si="12"/>
        <v>0</v>
      </c>
      <c r="AD65" s="140">
        <f t="shared" si="13"/>
        <v>-9.408567361200984E-2</v>
      </c>
      <c r="AE65" s="140">
        <f t="shared" si="14"/>
        <v>0.40914285714285714</v>
      </c>
      <c r="AF65" s="140">
        <f t="shared" si="15"/>
        <v>0.40914285714285714</v>
      </c>
      <c r="AG65" s="140">
        <f t="shared" si="16"/>
        <v>0.40914285714285714</v>
      </c>
      <c r="AH65" s="140">
        <f t="shared" si="17"/>
        <v>0</v>
      </c>
      <c r="AI65" s="140">
        <f t="shared" si="18"/>
        <v>0.27656270221301926</v>
      </c>
      <c r="AJ65" s="140">
        <f t="shared" si="19"/>
        <v>0.27656270221301926</v>
      </c>
      <c r="AK65" s="140">
        <f t="shared" si="20"/>
        <v>0.27656270221301926</v>
      </c>
      <c r="AL65" s="140">
        <f t="shared" si="21"/>
        <v>-9.408567361200984E-2</v>
      </c>
      <c r="AM65" t="str">
        <f t="shared" si="22"/>
        <v>4620-000: Office supplies Supplies</v>
      </c>
      <c r="AN65" s="140">
        <f t="shared" si="23"/>
        <v>-3.1361891204003282E-2</v>
      </c>
      <c r="AO65" s="140">
        <f t="shared" si="24"/>
        <v>0.44050474834686043</v>
      </c>
      <c r="AP65" s="1">
        <f>IF(AND(AO65&gt;0, _xlfn.XLOOKUP($AM65, Discretionaries!$A$2:'Discretionaries'!$A$150, Discretionaries!$B$2:'Discretionaries'!$B$150)), (1+AN65)*$N65, "")</f>
        <v>6780.4667615719773</v>
      </c>
      <c r="AQ65" s="1">
        <f>IF(AND(AO65&gt;0, _xlfn.XLOOKUP($AM65, Discretionaries!$A$2:'Discretionaries'!$A$150, Discretionaries!$B$2:'Discretionaries'!$B$150)),AP65-$Q65,"")</f>
        <v>-3083.5332384280227</v>
      </c>
      <c r="AR65" s="140">
        <f>IF(AG65="", 0-CPI!$B$15, AG65-CPI!$B$15)</f>
        <v>0.37014285714285716</v>
      </c>
      <c r="AS65" s="1">
        <f>IF(AND(AR65&gt;0, _xlfn.XLOOKUP($AM65, Discretionaries!$A$2:'Discretionaries'!$A$150, Discretionaries!$B$2:'Discretionaries'!$B$150)), (1+CPI!$B$15)*$N65, "")</f>
        <v>7272.9999999999991</v>
      </c>
      <c r="AT65" s="1">
        <f>IF(AND(AR65&gt;0, _xlfn.XLOOKUP($AM65, Discretionaries!$A$2:'Discretionaries'!$A$150, Discretionaries!$B$2:'Discretionaries'!$B$150)),AS65-$Q65,"")</f>
        <v>-2591.0000000000009</v>
      </c>
    </row>
    <row r="66" spans="1:46" x14ac:dyDescent="0.3">
      <c r="A66" t="s">
        <v>413</v>
      </c>
      <c r="B66" t="str">
        <f t="shared" ref="B66:B129" si="25">LEFT(A66, 2)</f>
        <v>05</v>
      </c>
      <c r="C66" t="s">
        <v>408</v>
      </c>
      <c r="D66" t="str">
        <f t="shared" ref="D66:D129" si="26">LEFT(C66, 2)</f>
        <v>00</v>
      </c>
      <c r="E66" t="s">
        <v>30</v>
      </c>
      <c r="F66" s="139" t="s">
        <v>52</v>
      </c>
      <c r="G66" t="s">
        <v>49</v>
      </c>
      <c r="H66" s="156">
        <v>31460</v>
      </c>
      <c r="I66" s="156">
        <v>29811.65</v>
      </c>
      <c r="J66" s="156">
        <v>31460</v>
      </c>
      <c r="K66" s="156">
        <v>30731.94</v>
      </c>
      <c r="L66" s="156">
        <v>31460</v>
      </c>
      <c r="M66" s="156">
        <v>32340.36</v>
      </c>
      <c r="N66" s="156">
        <v>50028</v>
      </c>
      <c r="O66" s="156">
        <v>40144</v>
      </c>
      <c r="P66" s="156">
        <v>40144</v>
      </c>
      <c r="Q66" s="156">
        <v>40144</v>
      </c>
      <c r="R66" s="156">
        <v>50028</v>
      </c>
      <c r="S66" s="156">
        <f t="shared" ref="S66:S129" si="27">Q66 - N66</f>
        <v>-9884</v>
      </c>
      <c r="T66" s="156">
        <f t="shared" ref="T66:T129" si="28">Q66 - R66</f>
        <v>-9884</v>
      </c>
      <c r="U66" s="140">
        <f t="shared" ref="U66:U129" si="29">IFERROR((Q66 - N66) / N66, "")</f>
        <v>-0.19756936115775167</v>
      </c>
      <c r="V66" s="140">
        <f t="shared" ref="V66:V129" si="30">IFERROR((I66 - H66) / H66, "")</f>
        <v>-5.2395104895104849E-2</v>
      </c>
      <c r="W66" s="140">
        <f t="shared" ref="W66:W129" si="31">IFERROR((K66 - J66) / J66, "")</f>
        <v>-2.3142403051494002E-2</v>
      </c>
      <c r="X66" s="140">
        <f t="shared" ref="X66:X129" si="32">IFERROR((M66 - L66) / L66, "")</f>
        <v>2.7983471074380185E-2</v>
      </c>
      <c r="Y66" s="140">
        <f t="shared" ref="Y66:Y129" si="33">IFERROR((J66 - H66) / H66, "")</f>
        <v>0</v>
      </c>
      <c r="Z66" s="140">
        <f t="shared" ref="Z66:Z129" si="34">IFERROR((K66 - I66) / I66, "")</f>
        <v>3.0870146402496915E-2</v>
      </c>
      <c r="AA66" s="140">
        <f t="shared" ref="AA66:AA129" si="35">IFERROR((L66 - J66) / J66, "")</f>
        <v>0</v>
      </c>
      <c r="AB66" s="140">
        <f t="shared" ref="AB66:AB129" si="36">IFERROR((M66 - K66) / K66, "")</f>
        <v>5.2337079924013971E-2</v>
      </c>
      <c r="AC66" s="140">
        <f t="shared" ref="AC66:AC129" si="37">IFERROR((N66 - L66) / L66, "")</f>
        <v>0.59020979020979025</v>
      </c>
      <c r="AD66" s="140">
        <f t="shared" ref="AD66:AD129" si="38">IFERROR((N66 - H66) / H66, "")</f>
        <v>0.59020979020979025</v>
      </c>
      <c r="AE66" s="140">
        <f t="shared" ref="AE66:AE129" si="39">IFERROR((O66 - N66) / N66, "")</f>
        <v>-0.19756936115775167</v>
      </c>
      <c r="AF66" s="140">
        <f t="shared" ref="AF66:AF129" si="40">IFERROR((P66 - N66) / N66, "")</f>
        <v>-0.19756936115775167</v>
      </c>
      <c r="AG66" s="140">
        <f t="shared" ref="AG66:AG129" si="41">IFERROR((Q66 - N66) / N66, "")</f>
        <v>-0.19756936115775167</v>
      </c>
      <c r="AH66" s="140">
        <f t="shared" ref="AH66:AH129" si="42">IFERROR((R66 - N66) / N66, "")</f>
        <v>0</v>
      </c>
      <c r="AI66" s="140">
        <f t="shared" ref="AI66:AI129" si="43">IFERROR((O66 - H66) / H66, "")</f>
        <v>0.27603305785123966</v>
      </c>
      <c r="AJ66" s="140">
        <f t="shared" ref="AJ66:AJ129" si="44">IFERROR((P66 - H66) / H66, "")</f>
        <v>0.27603305785123966</v>
      </c>
      <c r="AK66" s="140">
        <f t="shared" ref="AK66:AK129" si="45">IFERROR((Q66 - H66) / H66, "")</f>
        <v>0.27603305785123966</v>
      </c>
      <c r="AL66" s="140">
        <f t="shared" ref="AL66:AL129" si="46">IFERROR((R66 - H66) / H66, "")</f>
        <v>0.59020979020979025</v>
      </c>
      <c r="AM66" t="str">
        <f t="shared" ref="AM66:AM129" si="47">_xlfn.CONCAT(TRIM(F66), ": ", TRIM(G66))</f>
        <v>4625-000: Postage Supplies</v>
      </c>
      <c r="AN66" s="140">
        <f t="shared" si="23"/>
        <v>0.19673659673659674</v>
      </c>
      <c r="AO66" s="140">
        <f t="shared" si="24"/>
        <v>-0.39430595789434841</v>
      </c>
      <c r="AP66" s="1" t="str">
        <f>IF(AND(AO66&gt;0, _xlfn.XLOOKUP($AM66, Discretionaries!$A$2:'Discretionaries'!$A$150, Discretionaries!$B$2:'Discretionaries'!$B$150)), (1+AN66)*$N66, "")</f>
        <v/>
      </c>
      <c r="AQ66" s="1" t="str">
        <f>IF(AND(AO66&gt;0, _xlfn.XLOOKUP($AM66, Discretionaries!$A$2:'Discretionaries'!$A$150, Discretionaries!$B$2:'Discretionaries'!$B$150)),AP66-$Q66,"")</f>
        <v/>
      </c>
      <c r="AR66" s="140">
        <f>IF(AG66="", 0-CPI!$B$15, AG66-CPI!$B$15)</f>
        <v>-0.23656936115775168</v>
      </c>
      <c r="AS66" s="1" t="str">
        <f>IF(AND(AR66&gt;0, _xlfn.XLOOKUP($AM66, Discretionaries!$A$2:'Discretionaries'!$A$150, Discretionaries!$B$2:'Discretionaries'!$B$150)), (1+CPI!$B$15)*$N66, "")</f>
        <v/>
      </c>
      <c r="AT66" s="1" t="str">
        <f>IF(AND(AR66&gt;0, _xlfn.XLOOKUP($AM66, Discretionaries!$A$2:'Discretionaries'!$A$150, Discretionaries!$B$2:'Discretionaries'!$B$150)),AS66-$Q66,"")</f>
        <v/>
      </c>
    </row>
    <row r="67" spans="1:46" x14ac:dyDescent="0.3">
      <c r="A67" t="s">
        <v>413</v>
      </c>
      <c r="B67" t="str">
        <f t="shared" si="25"/>
        <v>05</v>
      </c>
      <c r="C67" t="s">
        <v>408</v>
      </c>
      <c r="D67" t="str">
        <f t="shared" si="26"/>
        <v>00</v>
      </c>
      <c r="E67" t="s">
        <v>30</v>
      </c>
      <c r="F67" s="139" t="s">
        <v>53</v>
      </c>
      <c r="G67" t="s">
        <v>50</v>
      </c>
      <c r="H67" s="156">
        <v>100</v>
      </c>
      <c r="I67" s="156">
        <v>0</v>
      </c>
      <c r="J67" s="156">
        <v>100</v>
      </c>
      <c r="K67" s="156">
        <v>0</v>
      </c>
      <c r="L67" s="156">
        <v>100</v>
      </c>
      <c r="M67" s="156">
        <v>0</v>
      </c>
      <c r="N67" s="156">
        <v>50</v>
      </c>
      <c r="O67" s="156">
        <v>50</v>
      </c>
      <c r="P67" s="156">
        <v>50</v>
      </c>
      <c r="Q67" s="156">
        <v>50</v>
      </c>
      <c r="R67" s="156">
        <v>50</v>
      </c>
      <c r="S67" s="156">
        <f t="shared" si="27"/>
        <v>0</v>
      </c>
      <c r="T67" s="156">
        <f t="shared" si="28"/>
        <v>0</v>
      </c>
      <c r="U67" s="140">
        <f t="shared" si="29"/>
        <v>0</v>
      </c>
      <c r="V67" s="140">
        <f t="shared" si="30"/>
        <v>-1</v>
      </c>
      <c r="W67" s="140">
        <f t="shared" si="31"/>
        <v>-1</v>
      </c>
      <c r="X67" s="140">
        <f t="shared" si="32"/>
        <v>-1</v>
      </c>
      <c r="Y67" s="140">
        <f t="shared" si="33"/>
        <v>0</v>
      </c>
      <c r="Z67" s="140" t="str">
        <f t="shared" si="34"/>
        <v/>
      </c>
      <c r="AA67" s="140">
        <f t="shared" si="35"/>
        <v>0</v>
      </c>
      <c r="AB67" s="140" t="str">
        <f t="shared" si="36"/>
        <v/>
      </c>
      <c r="AC67" s="140">
        <f t="shared" si="37"/>
        <v>-0.5</v>
      </c>
      <c r="AD67" s="140">
        <f t="shared" si="38"/>
        <v>-0.5</v>
      </c>
      <c r="AE67" s="140">
        <f t="shared" si="39"/>
        <v>0</v>
      </c>
      <c r="AF67" s="140">
        <f t="shared" si="40"/>
        <v>0</v>
      </c>
      <c r="AG67" s="140">
        <f t="shared" si="41"/>
        <v>0</v>
      </c>
      <c r="AH67" s="140">
        <f t="shared" si="42"/>
        <v>0</v>
      </c>
      <c r="AI67" s="140">
        <f t="shared" si="43"/>
        <v>-0.5</v>
      </c>
      <c r="AJ67" s="140">
        <f t="shared" si="44"/>
        <v>-0.5</v>
      </c>
      <c r="AK67" s="140">
        <f t="shared" si="45"/>
        <v>-0.5</v>
      </c>
      <c r="AL67" s="140">
        <f t="shared" si="46"/>
        <v>-0.5</v>
      </c>
      <c r="AM67" t="str">
        <f t="shared" si="47"/>
        <v>4670-000: Books &amp; periodicals Supplies</v>
      </c>
      <c r="AN67" s="140">
        <f t="shared" ref="AN67:AN130" si="48">IFERROR(AVERAGE(Y67, AA67, AC67), 0)</f>
        <v>-0.16666666666666666</v>
      </c>
      <c r="AO67" s="140">
        <f t="shared" ref="AO67:AO130" si="49">IF($AG67="", 0-AN67, $AG67-AN67)</f>
        <v>0.16666666666666666</v>
      </c>
      <c r="AP67" s="1">
        <f>IF(AND(AO67&gt;0, _xlfn.XLOOKUP($AM67, Discretionaries!$A$2:'Discretionaries'!$A$150, Discretionaries!$B$2:'Discretionaries'!$B$150)), (1+AN67)*$N67, "")</f>
        <v>41.666666666666671</v>
      </c>
      <c r="AQ67" s="1">
        <f>IF(AND(AO67&gt;0, _xlfn.XLOOKUP($AM67, Discretionaries!$A$2:'Discretionaries'!$A$150, Discretionaries!$B$2:'Discretionaries'!$B$150)),AP67-$Q67,"")</f>
        <v>-8.3333333333333286</v>
      </c>
      <c r="AR67" s="140">
        <f>IF(AG67="", 0-CPI!$B$15, AG67-CPI!$B$15)</f>
        <v>-3.8999999999999993E-2</v>
      </c>
      <c r="AS67" s="1" t="str">
        <f>IF(AND(AR67&gt;0, _xlfn.XLOOKUP($AM67, Discretionaries!$A$2:'Discretionaries'!$A$150, Discretionaries!$B$2:'Discretionaries'!$B$150)), (1+CPI!$B$15)*$N67, "")</f>
        <v/>
      </c>
      <c r="AT67" s="1" t="str">
        <f>IF(AND(AR67&gt;0, _xlfn.XLOOKUP($AM67, Discretionaries!$A$2:'Discretionaries'!$A$150, Discretionaries!$B$2:'Discretionaries'!$B$150)),AS67-$Q67,"")</f>
        <v/>
      </c>
    </row>
    <row r="68" spans="1:46" x14ac:dyDescent="0.3">
      <c r="A68" t="s">
        <v>413</v>
      </c>
      <c r="B68" t="str">
        <f t="shared" si="25"/>
        <v>05</v>
      </c>
      <c r="C68" t="s">
        <v>408</v>
      </c>
      <c r="D68" t="str">
        <f t="shared" si="26"/>
        <v>00</v>
      </c>
      <c r="E68" t="s">
        <v>54</v>
      </c>
      <c r="F68" s="139" t="s">
        <v>55</v>
      </c>
      <c r="G68" t="s">
        <v>56</v>
      </c>
      <c r="H68" s="156">
        <v>1600</v>
      </c>
      <c r="I68" s="156">
        <v>0</v>
      </c>
      <c r="J68" s="156">
        <v>0</v>
      </c>
      <c r="K68" s="156">
        <v>0</v>
      </c>
      <c r="L68" s="156">
        <v>0</v>
      </c>
      <c r="M68" s="156">
        <v>0</v>
      </c>
      <c r="N68" s="156">
        <v>0</v>
      </c>
      <c r="O68" s="156">
        <v>9200</v>
      </c>
      <c r="P68" s="156">
        <v>0</v>
      </c>
      <c r="Q68" s="156">
        <v>0</v>
      </c>
      <c r="R68" s="156">
        <v>0</v>
      </c>
      <c r="S68" s="156">
        <f t="shared" si="27"/>
        <v>0</v>
      </c>
      <c r="T68" s="156">
        <f t="shared" si="28"/>
        <v>0</v>
      </c>
      <c r="U68" s="140" t="str">
        <f t="shared" si="29"/>
        <v/>
      </c>
      <c r="V68" s="140">
        <f t="shared" si="30"/>
        <v>-1</v>
      </c>
      <c r="W68" s="140" t="str">
        <f t="shared" si="31"/>
        <v/>
      </c>
      <c r="X68" s="140" t="str">
        <f t="shared" si="32"/>
        <v/>
      </c>
      <c r="Y68" s="140">
        <f t="shared" si="33"/>
        <v>-1</v>
      </c>
      <c r="Z68" s="140" t="str">
        <f t="shared" si="34"/>
        <v/>
      </c>
      <c r="AA68" s="140" t="str">
        <f t="shared" si="35"/>
        <v/>
      </c>
      <c r="AB68" s="140" t="str">
        <f t="shared" si="36"/>
        <v/>
      </c>
      <c r="AC68" s="140" t="str">
        <f t="shared" si="37"/>
        <v/>
      </c>
      <c r="AD68" s="140">
        <f t="shared" si="38"/>
        <v>-1</v>
      </c>
      <c r="AE68" s="140" t="str">
        <f t="shared" si="39"/>
        <v/>
      </c>
      <c r="AF68" s="140" t="str">
        <f t="shared" si="40"/>
        <v/>
      </c>
      <c r="AG68" s="140" t="str">
        <f t="shared" si="41"/>
        <v/>
      </c>
      <c r="AH68" s="140" t="str">
        <f t="shared" si="42"/>
        <v/>
      </c>
      <c r="AI68" s="140">
        <f t="shared" si="43"/>
        <v>4.75</v>
      </c>
      <c r="AJ68" s="140">
        <f t="shared" si="44"/>
        <v>-1</v>
      </c>
      <c r="AK68" s="140">
        <f t="shared" si="45"/>
        <v>-1</v>
      </c>
      <c r="AL68" s="140">
        <f t="shared" si="46"/>
        <v>-1</v>
      </c>
      <c r="AM68" t="str">
        <f t="shared" si="47"/>
        <v>4750-000: Furniture &amp; fixures Property</v>
      </c>
      <c r="AN68" s="140">
        <f t="shared" si="48"/>
        <v>-1</v>
      </c>
      <c r="AO68" s="140">
        <f t="shared" si="49"/>
        <v>1</v>
      </c>
      <c r="AP68" s="1">
        <f>IF(AND(AO68&gt;0, _xlfn.XLOOKUP($AM68, Discretionaries!$A$2:'Discretionaries'!$A$150, Discretionaries!$B$2:'Discretionaries'!$B$150)), (1+AN68)*$N68, "")</f>
        <v>0</v>
      </c>
      <c r="AQ68" s="1">
        <f>IF(AND(AO68&gt;0, _xlfn.XLOOKUP($AM68, Discretionaries!$A$2:'Discretionaries'!$A$150, Discretionaries!$B$2:'Discretionaries'!$B$150)),AP68-$Q68,"")</f>
        <v>0</v>
      </c>
      <c r="AR68" s="140">
        <f>IF(AG68="", 0-CPI!$B$15, AG68-CPI!$B$15)</f>
        <v>-3.8999999999999993E-2</v>
      </c>
      <c r="AS68" s="1" t="str">
        <f>IF(AND(AR68&gt;0, _xlfn.XLOOKUP($AM68, Discretionaries!$A$2:'Discretionaries'!$A$150, Discretionaries!$B$2:'Discretionaries'!$B$150)), (1+CPI!$B$15)*$N68, "")</f>
        <v/>
      </c>
      <c r="AT68" s="1" t="str">
        <f>IF(AND(AR68&gt;0, _xlfn.XLOOKUP($AM68, Discretionaries!$A$2:'Discretionaries'!$A$150, Discretionaries!$B$2:'Discretionaries'!$B$150)),AS68-$Q68,"")</f>
        <v/>
      </c>
    </row>
    <row r="69" spans="1:46" x14ac:dyDescent="0.3">
      <c r="A69" t="s">
        <v>413</v>
      </c>
      <c r="B69" t="str">
        <f t="shared" si="25"/>
        <v>05</v>
      </c>
      <c r="C69" t="s">
        <v>414</v>
      </c>
      <c r="D69" t="str">
        <f t="shared" si="26"/>
        <v>42</v>
      </c>
      <c r="E69" t="s">
        <v>11</v>
      </c>
      <c r="F69" s="139" t="s">
        <v>12</v>
      </c>
      <c r="G69" t="s">
        <v>13</v>
      </c>
      <c r="O69" s="156">
        <v>82807</v>
      </c>
      <c r="P69" s="156">
        <v>82807</v>
      </c>
      <c r="Q69" s="156">
        <v>82807</v>
      </c>
      <c r="R69" s="156">
        <v>71781</v>
      </c>
      <c r="S69" s="156">
        <f t="shared" si="27"/>
        <v>82807</v>
      </c>
      <c r="T69" s="156">
        <f t="shared" si="28"/>
        <v>11026</v>
      </c>
      <c r="U69" s="140" t="str">
        <f t="shared" si="29"/>
        <v/>
      </c>
      <c r="V69" s="140" t="str">
        <f t="shared" si="30"/>
        <v/>
      </c>
      <c r="W69" s="140" t="str">
        <f t="shared" si="31"/>
        <v/>
      </c>
      <c r="X69" s="140" t="str">
        <f t="shared" si="32"/>
        <v/>
      </c>
      <c r="Y69" s="140" t="str">
        <f t="shared" si="33"/>
        <v/>
      </c>
      <c r="Z69" s="140" t="str">
        <f t="shared" si="34"/>
        <v/>
      </c>
      <c r="AA69" s="140" t="str">
        <f t="shared" si="35"/>
        <v/>
      </c>
      <c r="AB69" s="140" t="str">
        <f t="shared" si="36"/>
        <v/>
      </c>
      <c r="AC69" s="140" t="str">
        <f t="shared" si="37"/>
        <v/>
      </c>
      <c r="AD69" s="140" t="str">
        <f t="shared" si="38"/>
        <v/>
      </c>
      <c r="AE69" s="140" t="str">
        <f t="shared" si="39"/>
        <v/>
      </c>
      <c r="AF69" s="140" t="str">
        <f t="shared" si="40"/>
        <v/>
      </c>
      <c r="AG69" s="140" t="str">
        <f t="shared" si="41"/>
        <v/>
      </c>
      <c r="AH69" s="140" t="str">
        <f t="shared" si="42"/>
        <v/>
      </c>
      <c r="AI69" s="140" t="str">
        <f t="shared" si="43"/>
        <v/>
      </c>
      <c r="AJ69" s="140" t="str">
        <f t="shared" si="44"/>
        <v/>
      </c>
      <c r="AK69" s="140" t="str">
        <f t="shared" si="45"/>
        <v/>
      </c>
      <c r="AL69" s="140" t="str">
        <f t="shared" si="46"/>
        <v/>
      </c>
      <c r="AM69" t="str">
        <f t="shared" si="47"/>
        <v>4130-000: Elected Salaries</v>
      </c>
      <c r="AN69" s="140">
        <f t="shared" si="48"/>
        <v>0</v>
      </c>
      <c r="AO69" s="140">
        <f t="shared" si="49"/>
        <v>0</v>
      </c>
      <c r="AP69" s="1" t="str">
        <f>IF(AND(AO69&gt;0, _xlfn.XLOOKUP($AM69, Discretionaries!$A$2:'Discretionaries'!$A$150, Discretionaries!$B$2:'Discretionaries'!$B$150)), (1+AN69)*$N69, "")</f>
        <v/>
      </c>
      <c r="AQ69" s="1" t="str">
        <f>IF(AND(AO69&gt;0, _xlfn.XLOOKUP($AM69, Discretionaries!$A$2:'Discretionaries'!$A$150, Discretionaries!$B$2:'Discretionaries'!$B$150)),AP69-$Q69,"")</f>
        <v/>
      </c>
      <c r="AR69" s="140">
        <f>IF(AG69="", 0-CPI!$B$15, AG69-CPI!$B$15)</f>
        <v>-3.8999999999999993E-2</v>
      </c>
      <c r="AS69" s="1" t="str">
        <f>IF(AND(AR69&gt;0, _xlfn.XLOOKUP($AM69, Discretionaries!$A$2:'Discretionaries'!$A$150, Discretionaries!$B$2:'Discretionaries'!$B$150)), (1+CPI!$B$15)*$N69, "")</f>
        <v/>
      </c>
      <c r="AT69" s="1" t="str">
        <f>IF(AND(AR69&gt;0, _xlfn.XLOOKUP($AM69, Discretionaries!$A$2:'Discretionaries'!$A$150, Discretionaries!$B$2:'Discretionaries'!$B$150)),AS69-$Q69,"")</f>
        <v/>
      </c>
    </row>
    <row r="70" spans="1:46" x14ac:dyDescent="0.3">
      <c r="A70" t="s">
        <v>413</v>
      </c>
      <c r="B70" t="str">
        <f t="shared" si="25"/>
        <v>05</v>
      </c>
      <c r="C70" t="s">
        <v>414</v>
      </c>
      <c r="D70" t="str">
        <f t="shared" si="26"/>
        <v>42</v>
      </c>
      <c r="E70" t="s">
        <v>14</v>
      </c>
      <c r="F70" s="139" t="s">
        <v>57</v>
      </c>
      <c r="G70" t="s">
        <v>58</v>
      </c>
      <c r="H70" s="156">
        <v>0</v>
      </c>
      <c r="I70" s="156">
        <v>0</v>
      </c>
      <c r="J70" s="156">
        <v>0</v>
      </c>
      <c r="K70" s="156">
        <v>0</v>
      </c>
      <c r="L70" s="156">
        <v>0</v>
      </c>
      <c r="M70" s="156">
        <v>0</v>
      </c>
      <c r="N70" s="156">
        <v>0</v>
      </c>
      <c r="O70" s="156">
        <v>36707</v>
      </c>
      <c r="P70" s="156">
        <v>36707</v>
      </c>
      <c r="Q70" s="156">
        <v>36707</v>
      </c>
      <c r="R70" s="156">
        <v>0</v>
      </c>
      <c r="S70" s="156">
        <f t="shared" si="27"/>
        <v>36707</v>
      </c>
      <c r="T70" s="156">
        <f t="shared" si="28"/>
        <v>36707</v>
      </c>
      <c r="U70" s="140" t="str">
        <f t="shared" si="29"/>
        <v/>
      </c>
      <c r="V70" s="140" t="str">
        <f t="shared" si="30"/>
        <v/>
      </c>
      <c r="W70" s="140" t="str">
        <f t="shared" si="31"/>
        <v/>
      </c>
      <c r="X70" s="140" t="str">
        <f t="shared" si="32"/>
        <v/>
      </c>
      <c r="Y70" s="140" t="str">
        <f t="shared" si="33"/>
        <v/>
      </c>
      <c r="Z70" s="140" t="str">
        <f t="shared" si="34"/>
        <v/>
      </c>
      <c r="AA70" s="140" t="str">
        <f t="shared" si="35"/>
        <v/>
      </c>
      <c r="AB70" s="140" t="str">
        <f t="shared" si="36"/>
        <v/>
      </c>
      <c r="AC70" s="140" t="str">
        <f t="shared" si="37"/>
        <v/>
      </c>
      <c r="AD70" s="140" t="str">
        <f t="shared" si="38"/>
        <v/>
      </c>
      <c r="AE70" s="140" t="str">
        <f t="shared" si="39"/>
        <v/>
      </c>
      <c r="AF70" s="140" t="str">
        <f t="shared" si="40"/>
        <v/>
      </c>
      <c r="AG70" s="140" t="str">
        <f t="shared" si="41"/>
        <v/>
      </c>
      <c r="AH70" s="140" t="str">
        <f t="shared" si="42"/>
        <v/>
      </c>
      <c r="AI70" s="140" t="str">
        <f t="shared" si="43"/>
        <v/>
      </c>
      <c r="AJ70" s="140" t="str">
        <f t="shared" si="44"/>
        <v/>
      </c>
      <c r="AK70" s="140" t="str">
        <f t="shared" si="45"/>
        <v/>
      </c>
      <c r="AL70" s="140" t="str">
        <f t="shared" si="46"/>
        <v/>
      </c>
      <c r="AM70" t="str">
        <f t="shared" si="47"/>
        <v>4210-000: Health Ins Benefits</v>
      </c>
      <c r="AN70" s="140">
        <f t="shared" si="48"/>
        <v>0</v>
      </c>
      <c r="AO70" s="140">
        <f t="shared" si="49"/>
        <v>0</v>
      </c>
      <c r="AP70" s="1" t="str">
        <f>IF(AND(AO70&gt;0, _xlfn.XLOOKUP($AM70, Discretionaries!$A$2:'Discretionaries'!$A$150, Discretionaries!$B$2:'Discretionaries'!$B$150)), (1+AN70)*$N70, "")</f>
        <v/>
      </c>
      <c r="AQ70" s="1" t="str">
        <f>IF(AND(AO70&gt;0, _xlfn.XLOOKUP($AM70, Discretionaries!$A$2:'Discretionaries'!$A$150, Discretionaries!$B$2:'Discretionaries'!$B$150)),AP70-$Q70,"")</f>
        <v/>
      </c>
      <c r="AR70" s="140">
        <f>IF(AG70="", 0-CPI!$B$15, AG70-CPI!$B$15)</f>
        <v>-3.8999999999999993E-2</v>
      </c>
      <c r="AS70" s="1" t="str">
        <f>IF(AND(AR70&gt;0, _xlfn.XLOOKUP($AM70, Discretionaries!$A$2:'Discretionaries'!$A$150, Discretionaries!$B$2:'Discretionaries'!$B$150)), (1+CPI!$B$15)*$N70, "")</f>
        <v/>
      </c>
      <c r="AT70" s="1" t="str">
        <f>IF(AND(AR70&gt;0, _xlfn.XLOOKUP($AM70, Discretionaries!$A$2:'Discretionaries'!$A$150, Discretionaries!$B$2:'Discretionaries'!$B$150)),AS70-$Q70,"")</f>
        <v/>
      </c>
    </row>
    <row r="71" spans="1:46" x14ac:dyDescent="0.3">
      <c r="A71" t="s">
        <v>413</v>
      </c>
      <c r="B71" t="str">
        <f t="shared" si="25"/>
        <v>05</v>
      </c>
      <c r="C71" t="s">
        <v>414</v>
      </c>
      <c r="D71" t="str">
        <f t="shared" si="26"/>
        <v>42</v>
      </c>
      <c r="E71" t="s">
        <v>14</v>
      </c>
      <c r="F71" s="139" t="s">
        <v>41</v>
      </c>
      <c r="G71" t="s">
        <v>42</v>
      </c>
      <c r="H71" s="156">
        <v>0</v>
      </c>
      <c r="I71" s="156">
        <v>0</v>
      </c>
      <c r="J71" s="156">
        <v>0</v>
      </c>
      <c r="K71" s="156">
        <v>0</v>
      </c>
      <c r="L71" s="156">
        <v>0</v>
      </c>
      <c r="M71" s="156">
        <v>0</v>
      </c>
      <c r="N71" s="156">
        <v>0</v>
      </c>
      <c r="O71" s="156">
        <v>812</v>
      </c>
      <c r="P71" s="156">
        <v>812</v>
      </c>
      <c r="Q71" s="156">
        <v>812</v>
      </c>
      <c r="R71" s="156">
        <v>0</v>
      </c>
      <c r="S71" s="156">
        <f t="shared" si="27"/>
        <v>812</v>
      </c>
      <c r="T71" s="156">
        <f t="shared" si="28"/>
        <v>812</v>
      </c>
      <c r="U71" s="140" t="str">
        <f t="shared" si="29"/>
        <v/>
      </c>
      <c r="V71" s="140" t="str">
        <f t="shared" si="30"/>
        <v/>
      </c>
      <c r="W71" s="140" t="str">
        <f t="shared" si="31"/>
        <v/>
      </c>
      <c r="X71" s="140" t="str">
        <f t="shared" si="32"/>
        <v/>
      </c>
      <c r="Y71" s="140" t="str">
        <f t="shared" si="33"/>
        <v/>
      </c>
      <c r="Z71" s="140" t="str">
        <f t="shared" si="34"/>
        <v/>
      </c>
      <c r="AA71" s="140" t="str">
        <f t="shared" si="35"/>
        <v/>
      </c>
      <c r="AB71" s="140" t="str">
        <f t="shared" si="36"/>
        <v/>
      </c>
      <c r="AC71" s="140" t="str">
        <f t="shared" si="37"/>
        <v/>
      </c>
      <c r="AD71" s="140" t="str">
        <f t="shared" si="38"/>
        <v/>
      </c>
      <c r="AE71" s="140" t="str">
        <f t="shared" si="39"/>
        <v/>
      </c>
      <c r="AF71" s="140" t="str">
        <f t="shared" si="40"/>
        <v/>
      </c>
      <c r="AG71" s="140" t="str">
        <f t="shared" si="41"/>
        <v/>
      </c>
      <c r="AH71" s="140" t="str">
        <f t="shared" si="42"/>
        <v/>
      </c>
      <c r="AI71" s="140" t="str">
        <f t="shared" si="43"/>
        <v/>
      </c>
      <c r="AJ71" s="140" t="str">
        <f t="shared" si="44"/>
        <v/>
      </c>
      <c r="AK71" s="140" t="str">
        <f t="shared" si="45"/>
        <v/>
      </c>
      <c r="AL71" s="140" t="str">
        <f t="shared" si="46"/>
        <v/>
      </c>
      <c r="AM71" t="str">
        <f t="shared" si="47"/>
        <v>4215-000: STD, LTD, &amp; Life Benefits</v>
      </c>
      <c r="AN71" s="140">
        <f t="shared" si="48"/>
        <v>0</v>
      </c>
      <c r="AO71" s="140">
        <f t="shared" si="49"/>
        <v>0</v>
      </c>
      <c r="AP71" s="1" t="str">
        <f>IF(AND(AO71&gt;0, _xlfn.XLOOKUP($AM71, Discretionaries!$A$2:'Discretionaries'!$A$150, Discretionaries!$B$2:'Discretionaries'!$B$150)), (1+AN71)*$N71, "")</f>
        <v/>
      </c>
      <c r="AQ71" s="1" t="str">
        <f>IF(AND(AO71&gt;0, _xlfn.XLOOKUP($AM71, Discretionaries!$A$2:'Discretionaries'!$A$150, Discretionaries!$B$2:'Discretionaries'!$B$150)),AP71-$Q71,"")</f>
        <v/>
      </c>
      <c r="AR71" s="140">
        <f>IF(AG71="", 0-CPI!$B$15, AG71-CPI!$B$15)</f>
        <v>-3.8999999999999993E-2</v>
      </c>
      <c r="AS71" s="1" t="str">
        <f>IF(AND(AR71&gt;0, _xlfn.XLOOKUP($AM71, Discretionaries!$A$2:'Discretionaries'!$A$150, Discretionaries!$B$2:'Discretionaries'!$B$150)), (1+CPI!$B$15)*$N71, "")</f>
        <v/>
      </c>
      <c r="AT71" s="1" t="str">
        <f>IF(AND(AR71&gt;0, _xlfn.XLOOKUP($AM71, Discretionaries!$A$2:'Discretionaries'!$A$150, Discretionaries!$B$2:'Discretionaries'!$B$150)),AS71-$Q71,"")</f>
        <v/>
      </c>
    </row>
    <row r="72" spans="1:46" x14ac:dyDescent="0.3">
      <c r="A72" t="s">
        <v>413</v>
      </c>
      <c r="B72" t="str">
        <f t="shared" si="25"/>
        <v>05</v>
      </c>
      <c r="C72" t="s">
        <v>414</v>
      </c>
      <c r="D72" t="str">
        <f t="shared" si="26"/>
        <v>42</v>
      </c>
      <c r="E72" t="s">
        <v>14</v>
      </c>
      <c r="F72" s="139" t="s">
        <v>106</v>
      </c>
      <c r="G72" t="s">
        <v>107</v>
      </c>
      <c r="H72" s="156">
        <v>0</v>
      </c>
      <c r="I72" s="156">
        <v>0</v>
      </c>
      <c r="J72" s="156">
        <v>0</v>
      </c>
      <c r="K72" s="156">
        <v>0</v>
      </c>
      <c r="L72" s="156">
        <v>0</v>
      </c>
      <c r="M72" s="156">
        <v>0</v>
      </c>
      <c r="N72" s="156">
        <v>0</v>
      </c>
      <c r="O72" s="156">
        <v>1308</v>
      </c>
      <c r="P72" s="156">
        <v>1308</v>
      </c>
      <c r="Q72" s="156">
        <v>1308</v>
      </c>
      <c r="R72" s="156">
        <v>0</v>
      </c>
      <c r="S72" s="156">
        <f t="shared" si="27"/>
        <v>1308</v>
      </c>
      <c r="T72" s="156">
        <f t="shared" si="28"/>
        <v>1308</v>
      </c>
      <c r="U72" s="140" t="str">
        <f t="shared" si="29"/>
        <v/>
      </c>
      <c r="V72" s="140" t="str">
        <f t="shared" si="30"/>
        <v/>
      </c>
      <c r="W72" s="140" t="str">
        <f t="shared" si="31"/>
        <v/>
      </c>
      <c r="X72" s="140" t="str">
        <f t="shared" si="32"/>
        <v/>
      </c>
      <c r="Y72" s="140" t="str">
        <f t="shared" si="33"/>
        <v/>
      </c>
      <c r="Z72" s="140" t="str">
        <f t="shared" si="34"/>
        <v/>
      </c>
      <c r="AA72" s="140" t="str">
        <f t="shared" si="35"/>
        <v/>
      </c>
      <c r="AB72" s="140" t="str">
        <f t="shared" si="36"/>
        <v/>
      </c>
      <c r="AC72" s="140" t="str">
        <f t="shared" si="37"/>
        <v/>
      </c>
      <c r="AD72" s="140" t="str">
        <f t="shared" si="38"/>
        <v/>
      </c>
      <c r="AE72" s="140" t="str">
        <f t="shared" si="39"/>
        <v/>
      </c>
      <c r="AF72" s="140" t="str">
        <f t="shared" si="40"/>
        <v/>
      </c>
      <c r="AG72" s="140" t="str">
        <f t="shared" si="41"/>
        <v/>
      </c>
      <c r="AH72" s="140" t="str">
        <f t="shared" si="42"/>
        <v/>
      </c>
      <c r="AI72" s="140" t="str">
        <f t="shared" si="43"/>
        <v/>
      </c>
      <c r="AJ72" s="140" t="str">
        <f t="shared" si="44"/>
        <v/>
      </c>
      <c r="AK72" s="140" t="str">
        <f t="shared" si="45"/>
        <v/>
      </c>
      <c r="AL72" s="140" t="str">
        <f t="shared" si="46"/>
        <v/>
      </c>
      <c r="AM72" t="str">
        <f t="shared" si="47"/>
        <v>4219-000: Dental Insurance Benefits</v>
      </c>
      <c r="AN72" s="140">
        <f t="shared" si="48"/>
        <v>0</v>
      </c>
      <c r="AO72" s="140">
        <f t="shared" si="49"/>
        <v>0</v>
      </c>
      <c r="AP72" s="1" t="str">
        <f>IF(AND(AO72&gt;0, _xlfn.XLOOKUP($AM72, Discretionaries!$A$2:'Discretionaries'!$A$150, Discretionaries!$B$2:'Discretionaries'!$B$150)), (1+AN72)*$N72, "")</f>
        <v/>
      </c>
      <c r="AQ72" s="1" t="str">
        <f>IF(AND(AO72&gt;0, _xlfn.XLOOKUP($AM72, Discretionaries!$A$2:'Discretionaries'!$A$150, Discretionaries!$B$2:'Discretionaries'!$B$150)),AP72-$Q72,"")</f>
        <v/>
      </c>
      <c r="AR72" s="140">
        <f>IF(AG72="", 0-CPI!$B$15, AG72-CPI!$B$15)</f>
        <v>-3.8999999999999993E-2</v>
      </c>
      <c r="AS72" s="1" t="str">
        <f>IF(AND(AR72&gt;0, _xlfn.XLOOKUP($AM72, Discretionaries!$A$2:'Discretionaries'!$A$150, Discretionaries!$B$2:'Discretionaries'!$B$150)), (1+CPI!$B$15)*$N72, "")</f>
        <v/>
      </c>
      <c r="AT72" s="1" t="str">
        <f>IF(AND(AR72&gt;0, _xlfn.XLOOKUP($AM72, Discretionaries!$A$2:'Discretionaries'!$A$150, Discretionaries!$B$2:'Discretionaries'!$B$150)),AS72-$Q72,"")</f>
        <v/>
      </c>
    </row>
    <row r="73" spans="1:46" x14ac:dyDescent="0.3">
      <c r="A73" t="s">
        <v>413</v>
      </c>
      <c r="B73" t="str">
        <f t="shared" si="25"/>
        <v>05</v>
      </c>
      <c r="C73" t="s">
        <v>414</v>
      </c>
      <c r="D73" t="str">
        <f t="shared" si="26"/>
        <v>42</v>
      </c>
      <c r="E73" t="s">
        <v>14</v>
      </c>
      <c r="F73" s="139" t="s">
        <v>15</v>
      </c>
      <c r="G73" t="s">
        <v>16</v>
      </c>
      <c r="H73" s="156">
        <v>0</v>
      </c>
      <c r="I73" s="156">
        <v>0</v>
      </c>
      <c r="J73" s="156">
        <v>0</v>
      </c>
      <c r="K73" s="156">
        <v>0</v>
      </c>
      <c r="L73" s="156">
        <v>0</v>
      </c>
      <c r="M73" s="156">
        <v>0</v>
      </c>
      <c r="N73" s="156">
        <v>0</v>
      </c>
      <c r="O73" s="156">
        <v>5134</v>
      </c>
      <c r="P73" s="156">
        <v>5134</v>
      </c>
      <c r="Q73" s="156">
        <v>5134</v>
      </c>
      <c r="R73" s="156">
        <v>4451</v>
      </c>
      <c r="S73" s="156">
        <f t="shared" si="27"/>
        <v>5134</v>
      </c>
      <c r="T73" s="156">
        <f t="shared" si="28"/>
        <v>683</v>
      </c>
      <c r="U73" s="140" t="str">
        <f t="shared" si="29"/>
        <v/>
      </c>
      <c r="V73" s="140" t="str">
        <f t="shared" si="30"/>
        <v/>
      </c>
      <c r="W73" s="140" t="str">
        <f t="shared" si="31"/>
        <v/>
      </c>
      <c r="X73" s="140" t="str">
        <f t="shared" si="32"/>
        <v/>
      </c>
      <c r="Y73" s="140" t="str">
        <f t="shared" si="33"/>
        <v/>
      </c>
      <c r="Z73" s="140" t="str">
        <f t="shared" si="34"/>
        <v/>
      </c>
      <c r="AA73" s="140" t="str">
        <f t="shared" si="35"/>
        <v/>
      </c>
      <c r="AB73" s="140" t="str">
        <f t="shared" si="36"/>
        <v/>
      </c>
      <c r="AC73" s="140" t="str">
        <f t="shared" si="37"/>
        <v/>
      </c>
      <c r="AD73" s="140" t="str">
        <f t="shared" si="38"/>
        <v/>
      </c>
      <c r="AE73" s="140" t="str">
        <f t="shared" si="39"/>
        <v/>
      </c>
      <c r="AF73" s="140" t="str">
        <f t="shared" si="40"/>
        <v/>
      </c>
      <c r="AG73" s="140" t="str">
        <f t="shared" si="41"/>
        <v/>
      </c>
      <c r="AH73" s="140" t="str">
        <f t="shared" si="42"/>
        <v/>
      </c>
      <c r="AI73" s="140" t="str">
        <f t="shared" si="43"/>
        <v/>
      </c>
      <c r="AJ73" s="140" t="str">
        <f t="shared" si="44"/>
        <v/>
      </c>
      <c r="AK73" s="140" t="str">
        <f t="shared" si="45"/>
        <v/>
      </c>
      <c r="AL73" s="140" t="str">
        <f t="shared" si="46"/>
        <v/>
      </c>
      <c r="AM73" t="str">
        <f t="shared" si="47"/>
        <v>4220-000: FICA Benefits</v>
      </c>
      <c r="AN73" s="140">
        <f t="shared" si="48"/>
        <v>0</v>
      </c>
      <c r="AO73" s="140">
        <f t="shared" si="49"/>
        <v>0</v>
      </c>
      <c r="AP73" s="1" t="str">
        <f>IF(AND(AO73&gt;0, _xlfn.XLOOKUP($AM73, Discretionaries!$A$2:'Discretionaries'!$A$150, Discretionaries!$B$2:'Discretionaries'!$B$150)), (1+AN73)*$N73, "")</f>
        <v/>
      </c>
      <c r="AQ73" s="1" t="str">
        <f>IF(AND(AO73&gt;0, _xlfn.XLOOKUP($AM73, Discretionaries!$A$2:'Discretionaries'!$A$150, Discretionaries!$B$2:'Discretionaries'!$B$150)),AP73-$Q73,"")</f>
        <v/>
      </c>
      <c r="AR73" s="140">
        <f>IF(AG73="", 0-CPI!$B$15, AG73-CPI!$B$15)</f>
        <v>-3.8999999999999993E-2</v>
      </c>
      <c r="AS73" s="1" t="str">
        <f>IF(AND(AR73&gt;0, _xlfn.XLOOKUP($AM73, Discretionaries!$A$2:'Discretionaries'!$A$150, Discretionaries!$B$2:'Discretionaries'!$B$150)), (1+CPI!$B$15)*$N73, "")</f>
        <v/>
      </c>
      <c r="AT73" s="1" t="str">
        <f>IF(AND(AR73&gt;0, _xlfn.XLOOKUP($AM73, Discretionaries!$A$2:'Discretionaries'!$A$150, Discretionaries!$B$2:'Discretionaries'!$B$150)),AS73-$Q73,"")</f>
        <v/>
      </c>
    </row>
    <row r="74" spans="1:46" x14ac:dyDescent="0.3">
      <c r="A74" t="s">
        <v>413</v>
      </c>
      <c r="B74" t="str">
        <f t="shared" si="25"/>
        <v>05</v>
      </c>
      <c r="C74" t="s">
        <v>414</v>
      </c>
      <c r="D74" t="str">
        <f t="shared" si="26"/>
        <v>42</v>
      </c>
      <c r="E74" t="s">
        <v>14</v>
      </c>
      <c r="F74" s="139" t="s">
        <v>17</v>
      </c>
      <c r="G74" t="s">
        <v>18</v>
      </c>
      <c r="H74" s="156">
        <v>0</v>
      </c>
      <c r="I74" s="156">
        <v>0</v>
      </c>
      <c r="J74" s="156">
        <v>0</v>
      </c>
      <c r="K74" s="156">
        <v>0</v>
      </c>
      <c r="L74" s="156">
        <v>0</v>
      </c>
      <c r="M74" s="156">
        <v>0</v>
      </c>
      <c r="N74" s="156">
        <v>0</v>
      </c>
      <c r="O74" s="156">
        <v>1201</v>
      </c>
      <c r="P74" s="156">
        <v>1201</v>
      </c>
      <c r="Q74" s="156">
        <v>1201</v>
      </c>
      <c r="R74" s="156">
        <v>1041</v>
      </c>
      <c r="S74" s="156">
        <f t="shared" si="27"/>
        <v>1201</v>
      </c>
      <c r="T74" s="156">
        <f t="shared" si="28"/>
        <v>160</v>
      </c>
      <c r="U74" s="140" t="str">
        <f t="shared" si="29"/>
        <v/>
      </c>
      <c r="V74" s="140" t="str">
        <f t="shared" si="30"/>
        <v/>
      </c>
      <c r="W74" s="140" t="str">
        <f t="shared" si="31"/>
        <v/>
      </c>
      <c r="X74" s="140" t="str">
        <f t="shared" si="32"/>
        <v/>
      </c>
      <c r="Y74" s="140" t="str">
        <f t="shared" si="33"/>
        <v/>
      </c>
      <c r="Z74" s="140" t="str">
        <f t="shared" si="34"/>
        <v/>
      </c>
      <c r="AA74" s="140" t="str">
        <f t="shared" si="35"/>
        <v/>
      </c>
      <c r="AB74" s="140" t="str">
        <f t="shared" si="36"/>
        <v/>
      </c>
      <c r="AC74" s="140" t="str">
        <f t="shared" si="37"/>
        <v/>
      </c>
      <c r="AD74" s="140" t="str">
        <f t="shared" si="38"/>
        <v/>
      </c>
      <c r="AE74" s="140" t="str">
        <f t="shared" si="39"/>
        <v/>
      </c>
      <c r="AF74" s="140" t="str">
        <f t="shared" si="40"/>
        <v/>
      </c>
      <c r="AG74" s="140" t="str">
        <f t="shared" si="41"/>
        <v/>
      </c>
      <c r="AH74" s="140" t="str">
        <f t="shared" si="42"/>
        <v/>
      </c>
      <c r="AI74" s="140" t="str">
        <f t="shared" si="43"/>
        <v/>
      </c>
      <c r="AJ74" s="140" t="str">
        <f t="shared" si="44"/>
        <v/>
      </c>
      <c r="AK74" s="140" t="str">
        <f t="shared" si="45"/>
        <v/>
      </c>
      <c r="AL74" s="140" t="str">
        <f t="shared" si="46"/>
        <v/>
      </c>
      <c r="AM74" t="str">
        <f t="shared" si="47"/>
        <v>4225-000: Medicare Benefits</v>
      </c>
      <c r="AN74" s="140">
        <f t="shared" si="48"/>
        <v>0</v>
      </c>
      <c r="AO74" s="140">
        <f t="shared" si="49"/>
        <v>0</v>
      </c>
      <c r="AP74" s="1" t="str">
        <f>IF(AND(AO74&gt;0, _xlfn.XLOOKUP($AM74, Discretionaries!$A$2:'Discretionaries'!$A$150, Discretionaries!$B$2:'Discretionaries'!$B$150)), (1+AN74)*$N74, "")</f>
        <v/>
      </c>
      <c r="AQ74" s="1" t="str">
        <f>IF(AND(AO74&gt;0, _xlfn.XLOOKUP($AM74, Discretionaries!$A$2:'Discretionaries'!$A$150, Discretionaries!$B$2:'Discretionaries'!$B$150)),AP74-$Q74,"")</f>
        <v/>
      </c>
      <c r="AR74" s="140">
        <f>IF(AG74="", 0-CPI!$B$15, AG74-CPI!$B$15)</f>
        <v>-3.8999999999999993E-2</v>
      </c>
      <c r="AS74" s="1" t="str">
        <f>IF(AND(AR74&gt;0, _xlfn.XLOOKUP($AM74, Discretionaries!$A$2:'Discretionaries'!$A$150, Discretionaries!$B$2:'Discretionaries'!$B$150)), (1+CPI!$B$15)*$N74, "")</f>
        <v/>
      </c>
      <c r="AT74" s="1" t="str">
        <f>IF(AND(AR74&gt;0, _xlfn.XLOOKUP($AM74, Discretionaries!$A$2:'Discretionaries'!$A$150, Discretionaries!$B$2:'Discretionaries'!$B$150)),AS74-$Q74,"")</f>
        <v/>
      </c>
    </row>
    <row r="75" spans="1:46" x14ac:dyDescent="0.3">
      <c r="A75" t="s">
        <v>413</v>
      </c>
      <c r="B75" t="str">
        <f t="shared" si="25"/>
        <v>05</v>
      </c>
      <c r="C75" t="s">
        <v>414</v>
      </c>
      <c r="D75" t="str">
        <f t="shared" si="26"/>
        <v>42</v>
      </c>
      <c r="E75" t="s">
        <v>14</v>
      </c>
      <c r="F75" s="139" t="s">
        <v>43</v>
      </c>
      <c r="G75" t="s">
        <v>44</v>
      </c>
      <c r="H75" s="156">
        <v>0</v>
      </c>
      <c r="I75" s="156">
        <v>0</v>
      </c>
      <c r="J75" s="156">
        <v>0</v>
      </c>
      <c r="K75" s="156">
        <v>0</v>
      </c>
      <c r="L75" s="156">
        <v>0</v>
      </c>
      <c r="M75" s="156">
        <v>0</v>
      </c>
      <c r="N75" s="156">
        <v>0</v>
      </c>
      <c r="O75" s="156">
        <v>10558</v>
      </c>
      <c r="P75" s="156">
        <v>10558</v>
      </c>
      <c r="Q75" s="156">
        <v>10558</v>
      </c>
      <c r="R75" s="156">
        <v>0</v>
      </c>
      <c r="S75" s="156">
        <f t="shared" si="27"/>
        <v>10558</v>
      </c>
      <c r="T75" s="156">
        <f t="shared" si="28"/>
        <v>10558</v>
      </c>
      <c r="U75" s="140" t="str">
        <f t="shared" si="29"/>
        <v/>
      </c>
      <c r="V75" s="140" t="str">
        <f t="shared" si="30"/>
        <v/>
      </c>
      <c r="W75" s="140" t="str">
        <f t="shared" si="31"/>
        <v/>
      </c>
      <c r="X75" s="140" t="str">
        <f t="shared" si="32"/>
        <v/>
      </c>
      <c r="Y75" s="140" t="str">
        <f t="shared" si="33"/>
        <v/>
      </c>
      <c r="Z75" s="140" t="str">
        <f t="shared" si="34"/>
        <v/>
      </c>
      <c r="AA75" s="140" t="str">
        <f t="shared" si="35"/>
        <v/>
      </c>
      <c r="AB75" s="140" t="str">
        <f t="shared" si="36"/>
        <v/>
      </c>
      <c r="AC75" s="140" t="str">
        <f t="shared" si="37"/>
        <v/>
      </c>
      <c r="AD75" s="140" t="str">
        <f t="shared" si="38"/>
        <v/>
      </c>
      <c r="AE75" s="140" t="str">
        <f t="shared" si="39"/>
        <v/>
      </c>
      <c r="AF75" s="140" t="str">
        <f t="shared" si="40"/>
        <v/>
      </c>
      <c r="AG75" s="140" t="str">
        <f t="shared" si="41"/>
        <v/>
      </c>
      <c r="AH75" s="140" t="str">
        <f t="shared" si="42"/>
        <v/>
      </c>
      <c r="AI75" s="140" t="str">
        <f t="shared" si="43"/>
        <v/>
      </c>
      <c r="AJ75" s="140" t="str">
        <f t="shared" si="44"/>
        <v/>
      </c>
      <c r="AK75" s="140" t="str">
        <f t="shared" si="45"/>
        <v/>
      </c>
      <c r="AL75" s="140" t="str">
        <f t="shared" si="46"/>
        <v/>
      </c>
      <c r="AM75" t="str">
        <f t="shared" si="47"/>
        <v>4230-000: Retirement Benefits</v>
      </c>
      <c r="AN75" s="140">
        <f t="shared" si="48"/>
        <v>0</v>
      </c>
      <c r="AO75" s="140">
        <f t="shared" si="49"/>
        <v>0</v>
      </c>
      <c r="AP75" s="1" t="str">
        <f>IF(AND(AO75&gt;0, _xlfn.XLOOKUP($AM75, Discretionaries!$A$2:'Discretionaries'!$A$150, Discretionaries!$B$2:'Discretionaries'!$B$150)), (1+AN75)*$N75, "")</f>
        <v/>
      </c>
      <c r="AQ75" s="1" t="str">
        <f>IF(AND(AO75&gt;0, _xlfn.XLOOKUP($AM75, Discretionaries!$A$2:'Discretionaries'!$A$150, Discretionaries!$B$2:'Discretionaries'!$B$150)),AP75-$Q75,"")</f>
        <v/>
      </c>
      <c r="AR75" s="140">
        <f>IF(AG75="", 0-CPI!$B$15, AG75-CPI!$B$15)</f>
        <v>-3.8999999999999993E-2</v>
      </c>
      <c r="AS75" s="1" t="str">
        <f>IF(AND(AR75&gt;0, _xlfn.XLOOKUP($AM75, Discretionaries!$A$2:'Discretionaries'!$A$150, Discretionaries!$B$2:'Discretionaries'!$B$150)), (1+CPI!$B$15)*$N75, "")</f>
        <v/>
      </c>
      <c r="AT75" s="1" t="str">
        <f>IF(AND(AR75&gt;0, _xlfn.XLOOKUP($AM75, Discretionaries!$A$2:'Discretionaries'!$A$150, Discretionaries!$B$2:'Discretionaries'!$B$150)),AS75-$Q75,"")</f>
        <v/>
      </c>
    </row>
    <row r="76" spans="1:46" x14ac:dyDescent="0.3">
      <c r="A76" t="s">
        <v>413</v>
      </c>
      <c r="B76" t="str">
        <f t="shared" si="25"/>
        <v>05</v>
      </c>
      <c r="C76" t="s">
        <v>414</v>
      </c>
      <c r="D76" t="str">
        <f t="shared" si="26"/>
        <v>42</v>
      </c>
      <c r="E76" t="s">
        <v>14</v>
      </c>
      <c r="F76" s="139" t="s">
        <v>19</v>
      </c>
      <c r="G76" t="s">
        <v>20</v>
      </c>
      <c r="H76" s="156">
        <v>0</v>
      </c>
      <c r="I76" s="156">
        <v>0</v>
      </c>
      <c r="J76" s="156">
        <v>0</v>
      </c>
      <c r="K76" s="156">
        <v>0</v>
      </c>
      <c r="L76" s="156">
        <v>0</v>
      </c>
      <c r="M76" s="156">
        <v>0</v>
      </c>
      <c r="N76" s="156">
        <v>0</v>
      </c>
      <c r="O76" s="156">
        <v>117</v>
      </c>
      <c r="P76" s="156">
        <v>117</v>
      </c>
      <c r="Q76" s="156">
        <v>117</v>
      </c>
      <c r="R76" s="156">
        <v>0</v>
      </c>
      <c r="S76" s="156">
        <f t="shared" si="27"/>
        <v>117</v>
      </c>
      <c r="T76" s="156">
        <f t="shared" si="28"/>
        <v>117</v>
      </c>
      <c r="U76" s="140" t="str">
        <f t="shared" si="29"/>
        <v/>
      </c>
      <c r="V76" s="140" t="str">
        <f t="shared" si="30"/>
        <v/>
      </c>
      <c r="W76" s="140" t="str">
        <f t="shared" si="31"/>
        <v/>
      </c>
      <c r="X76" s="140" t="str">
        <f t="shared" si="32"/>
        <v/>
      </c>
      <c r="Y76" s="140" t="str">
        <f t="shared" si="33"/>
        <v/>
      </c>
      <c r="Z76" s="140" t="str">
        <f t="shared" si="34"/>
        <v/>
      </c>
      <c r="AA76" s="140" t="str">
        <f t="shared" si="35"/>
        <v/>
      </c>
      <c r="AB76" s="140" t="str">
        <f t="shared" si="36"/>
        <v/>
      </c>
      <c r="AC76" s="140" t="str">
        <f t="shared" si="37"/>
        <v/>
      </c>
      <c r="AD76" s="140" t="str">
        <f t="shared" si="38"/>
        <v/>
      </c>
      <c r="AE76" s="140" t="str">
        <f t="shared" si="39"/>
        <v/>
      </c>
      <c r="AF76" s="140" t="str">
        <f t="shared" si="40"/>
        <v/>
      </c>
      <c r="AG76" s="140" t="str">
        <f t="shared" si="41"/>
        <v/>
      </c>
      <c r="AH76" s="140" t="str">
        <f t="shared" si="42"/>
        <v/>
      </c>
      <c r="AI76" s="140" t="str">
        <f t="shared" si="43"/>
        <v/>
      </c>
      <c r="AJ76" s="140" t="str">
        <f t="shared" si="44"/>
        <v/>
      </c>
      <c r="AK76" s="140" t="str">
        <f t="shared" si="45"/>
        <v/>
      </c>
      <c r="AL76" s="140" t="str">
        <f t="shared" si="46"/>
        <v/>
      </c>
      <c r="AM76" t="str">
        <f t="shared" si="47"/>
        <v>4260-000: Workers' comp Benefits</v>
      </c>
      <c r="AN76" s="140">
        <f t="shared" si="48"/>
        <v>0</v>
      </c>
      <c r="AO76" s="140">
        <f t="shared" si="49"/>
        <v>0</v>
      </c>
      <c r="AP76" s="1" t="str">
        <f>IF(AND(AO76&gt;0, _xlfn.XLOOKUP($AM76, Discretionaries!$A$2:'Discretionaries'!$A$150, Discretionaries!$B$2:'Discretionaries'!$B$150)), (1+AN76)*$N76, "")</f>
        <v/>
      </c>
      <c r="AQ76" s="1" t="str">
        <f>IF(AND(AO76&gt;0, _xlfn.XLOOKUP($AM76, Discretionaries!$A$2:'Discretionaries'!$A$150, Discretionaries!$B$2:'Discretionaries'!$B$150)),AP76-$Q76,"")</f>
        <v/>
      </c>
      <c r="AR76" s="140">
        <f>IF(AG76="", 0-CPI!$B$15, AG76-CPI!$B$15)</f>
        <v>-3.8999999999999993E-2</v>
      </c>
      <c r="AS76" s="1" t="str">
        <f>IF(AND(AR76&gt;0, _xlfn.XLOOKUP($AM76, Discretionaries!$A$2:'Discretionaries'!$A$150, Discretionaries!$B$2:'Discretionaries'!$B$150)), (1+CPI!$B$15)*$N76, "")</f>
        <v/>
      </c>
      <c r="AT76" s="1" t="str">
        <f>IF(AND(AR76&gt;0, _xlfn.XLOOKUP($AM76, Discretionaries!$A$2:'Discretionaries'!$A$150, Discretionaries!$B$2:'Discretionaries'!$B$150)),AS76-$Q76,"")</f>
        <v/>
      </c>
    </row>
    <row r="77" spans="1:46" x14ac:dyDescent="0.3">
      <c r="A77" t="s">
        <v>413</v>
      </c>
      <c r="B77" t="str">
        <f t="shared" si="25"/>
        <v>05</v>
      </c>
      <c r="C77" t="s">
        <v>415</v>
      </c>
      <c r="D77" t="str">
        <f t="shared" si="26"/>
        <v>43</v>
      </c>
      <c r="E77" t="s">
        <v>11</v>
      </c>
      <c r="F77" s="139" t="s">
        <v>37</v>
      </c>
      <c r="G77" t="s">
        <v>38</v>
      </c>
      <c r="H77" s="156">
        <v>6748</v>
      </c>
      <c r="I77" s="156">
        <v>13629.19</v>
      </c>
      <c r="J77" s="156">
        <v>11765</v>
      </c>
      <c r="K77" s="156">
        <v>10077.280000000001</v>
      </c>
      <c r="L77" s="156">
        <v>16780</v>
      </c>
      <c r="M77" s="156">
        <v>22191.360000000001</v>
      </c>
      <c r="N77" s="156">
        <v>7515</v>
      </c>
      <c r="O77" s="156">
        <v>20200</v>
      </c>
      <c r="P77" s="156">
        <v>20200</v>
      </c>
      <c r="Q77" s="156">
        <v>20200</v>
      </c>
      <c r="R77" s="156">
        <v>20200</v>
      </c>
      <c r="S77" s="156">
        <f t="shared" si="27"/>
        <v>12685</v>
      </c>
      <c r="T77" s="156">
        <f t="shared" si="28"/>
        <v>0</v>
      </c>
      <c r="U77" s="140">
        <f t="shared" si="29"/>
        <v>1.6879574184963406</v>
      </c>
      <c r="V77" s="140">
        <f t="shared" si="30"/>
        <v>1.0197377000592769</v>
      </c>
      <c r="W77" s="140">
        <f t="shared" si="31"/>
        <v>-0.14345261368465784</v>
      </c>
      <c r="X77" s="140">
        <f t="shared" si="32"/>
        <v>0.32248867699642436</v>
      </c>
      <c r="Y77" s="140">
        <f t="shared" si="33"/>
        <v>0.74347954949614703</v>
      </c>
      <c r="Z77" s="140">
        <f t="shared" si="34"/>
        <v>-0.26061049849624224</v>
      </c>
      <c r="AA77" s="140">
        <f t="shared" si="35"/>
        <v>0.42626434339141522</v>
      </c>
      <c r="AB77" s="140">
        <f t="shared" si="36"/>
        <v>1.2021180318498641</v>
      </c>
      <c r="AC77" s="140">
        <f t="shared" si="37"/>
        <v>-0.55214541120381411</v>
      </c>
      <c r="AD77" s="140">
        <f t="shared" si="38"/>
        <v>0.11366330764671013</v>
      </c>
      <c r="AE77" s="140">
        <f t="shared" si="39"/>
        <v>1.6879574184963406</v>
      </c>
      <c r="AF77" s="140">
        <f t="shared" si="40"/>
        <v>1.6879574184963406</v>
      </c>
      <c r="AG77" s="140">
        <f t="shared" si="41"/>
        <v>1.6879574184963406</v>
      </c>
      <c r="AH77" s="140">
        <f t="shared" si="42"/>
        <v>1.6879574184963406</v>
      </c>
      <c r="AI77" s="140">
        <f t="shared" si="43"/>
        <v>1.993479549496147</v>
      </c>
      <c r="AJ77" s="140">
        <f t="shared" si="44"/>
        <v>1.993479549496147</v>
      </c>
      <c r="AK77" s="140">
        <f t="shared" si="45"/>
        <v>1.993479549496147</v>
      </c>
      <c r="AL77" s="140">
        <f t="shared" si="46"/>
        <v>1.993479549496147</v>
      </c>
      <c r="AM77" t="str">
        <f t="shared" si="47"/>
        <v>4120-000: Part-time Salaries</v>
      </c>
      <c r="AN77" s="140">
        <f t="shared" si="48"/>
        <v>0.2058661605612494</v>
      </c>
      <c r="AO77" s="140">
        <f t="shared" si="49"/>
        <v>1.4820912579350911</v>
      </c>
      <c r="AP77" s="1" t="str">
        <f>IF(AND(AO77&gt;0, _xlfn.XLOOKUP($AM77, Discretionaries!$A$2:'Discretionaries'!$A$150, Discretionaries!$B$2:'Discretionaries'!$B$150)), (1+AN77)*$N77, "")</f>
        <v/>
      </c>
      <c r="AQ77" s="1" t="str">
        <f>IF(AND(AO77&gt;0, _xlfn.XLOOKUP($AM77, Discretionaries!$A$2:'Discretionaries'!$A$150, Discretionaries!$B$2:'Discretionaries'!$B$150)),AP77-$Q77,"")</f>
        <v/>
      </c>
      <c r="AR77" s="140">
        <f>IF(AG77="", 0-CPI!$B$15, AG77-CPI!$B$15)</f>
        <v>1.6489574184963407</v>
      </c>
      <c r="AS77" s="1" t="str">
        <f>IF(AND(AR77&gt;0, _xlfn.XLOOKUP($AM77, Discretionaries!$A$2:'Discretionaries'!$A$150, Discretionaries!$B$2:'Discretionaries'!$B$150)), (1+CPI!$B$15)*$N77, "")</f>
        <v/>
      </c>
      <c r="AT77" s="1" t="str">
        <f>IF(AND(AR77&gt;0, _xlfn.XLOOKUP($AM77, Discretionaries!$A$2:'Discretionaries'!$A$150, Discretionaries!$B$2:'Discretionaries'!$B$150)),AS77-$Q77,"")</f>
        <v/>
      </c>
    </row>
    <row r="78" spans="1:46" x14ac:dyDescent="0.3">
      <c r="A78" t="s">
        <v>413</v>
      </c>
      <c r="B78" t="str">
        <f t="shared" si="25"/>
        <v>05</v>
      </c>
      <c r="C78" t="s">
        <v>415</v>
      </c>
      <c r="D78" t="str">
        <f t="shared" si="26"/>
        <v>43</v>
      </c>
      <c r="E78" t="s">
        <v>11</v>
      </c>
      <c r="F78" s="139" t="s">
        <v>12</v>
      </c>
      <c r="G78" t="s">
        <v>13</v>
      </c>
      <c r="H78" s="156">
        <v>16252</v>
      </c>
      <c r="I78" s="156">
        <v>14193.47</v>
      </c>
      <c r="J78" s="156">
        <v>16752</v>
      </c>
      <c r="K78" s="156">
        <v>8127.66</v>
      </c>
      <c r="L78" s="156">
        <v>17252</v>
      </c>
      <c r="M78" s="156">
        <v>12234.44</v>
      </c>
      <c r="N78" s="156">
        <v>16252</v>
      </c>
      <c r="O78" s="156">
        <v>19204</v>
      </c>
      <c r="P78" s="156">
        <v>19204</v>
      </c>
      <c r="Q78" s="156">
        <v>19204</v>
      </c>
      <c r="R78" s="156">
        <v>19204</v>
      </c>
      <c r="S78" s="156">
        <f t="shared" si="27"/>
        <v>2952</v>
      </c>
      <c r="T78" s="156">
        <f t="shared" si="28"/>
        <v>0</v>
      </c>
      <c r="U78" s="140">
        <f t="shared" si="29"/>
        <v>0.18163918286980063</v>
      </c>
      <c r="V78" s="140">
        <f t="shared" si="30"/>
        <v>-0.12666317991631804</v>
      </c>
      <c r="W78" s="140">
        <f t="shared" si="31"/>
        <v>-0.51482449856733525</v>
      </c>
      <c r="X78" s="140">
        <f t="shared" si="32"/>
        <v>-0.29083932297704612</v>
      </c>
      <c r="Y78" s="140">
        <f t="shared" si="33"/>
        <v>3.0765444253015015E-2</v>
      </c>
      <c r="Z78" s="140">
        <f t="shared" si="34"/>
        <v>-0.42736624659086186</v>
      </c>
      <c r="AA78" s="140">
        <f t="shared" si="35"/>
        <v>2.9847182425978988E-2</v>
      </c>
      <c r="AB78" s="140">
        <f t="shared" si="36"/>
        <v>0.50528442380709837</v>
      </c>
      <c r="AC78" s="140">
        <f t="shared" si="37"/>
        <v>-5.7964293994899142E-2</v>
      </c>
      <c r="AD78" s="140">
        <f t="shared" si="38"/>
        <v>0</v>
      </c>
      <c r="AE78" s="140">
        <f t="shared" si="39"/>
        <v>0.18163918286980063</v>
      </c>
      <c r="AF78" s="140">
        <f t="shared" si="40"/>
        <v>0.18163918286980063</v>
      </c>
      <c r="AG78" s="140">
        <f t="shared" si="41"/>
        <v>0.18163918286980063</v>
      </c>
      <c r="AH78" s="140">
        <f t="shared" si="42"/>
        <v>0.18163918286980063</v>
      </c>
      <c r="AI78" s="140">
        <f t="shared" si="43"/>
        <v>0.18163918286980063</v>
      </c>
      <c r="AJ78" s="140">
        <f t="shared" si="44"/>
        <v>0.18163918286980063</v>
      </c>
      <c r="AK78" s="140">
        <f t="shared" si="45"/>
        <v>0.18163918286980063</v>
      </c>
      <c r="AL78" s="140">
        <f t="shared" si="46"/>
        <v>0.18163918286980063</v>
      </c>
      <c r="AM78" t="str">
        <f t="shared" si="47"/>
        <v>4130-000: Elected Salaries</v>
      </c>
      <c r="AN78" s="140">
        <f t="shared" si="48"/>
        <v>8.827775613649535E-4</v>
      </c>
      <c r="AO78" s="140">
        <f t="shared" si="49"/>
        <v>0.18075640530843567</v>
      </c>
      <c r="AP78" s="1" t="str">
        <f>IF(AND(AO78&gt;0, _xlfn.XLOOKUP($AM78, Discretionaries!$A$2:'Discretionaries'!$A$150, Discretionaries!$B$2:'Discretionaries'!$B$150)), (1+AN78)*$N78, "")</f>
        <v/>
      </c>
      <c r="AQ78" s="1" t="str">
        <f>IF(AND(AO78&gt;0, _xlfn.XLOOKUP($AM78, Discretionaries!$A$2:'Discretionaries'!$A$150, Discretionaries!$B$2:'Discretionaries'!$B$150)),AP78-$Q78,"")</f>
        <v/>
      </c>
      <c r="AR78" s="140">
        <f>IF(AG78="", 0-CPI!$B$15, AG78-CPI!$B$15)</f>
        <v>0.14263918286980065</v>
      </c>
      <c r="AS78" s="1" t="str">
        <f>IF(AND(AR78&gt;0, _xlfn.XLOOKUP($AM78, Discretionaries!$A$2:'Discretionaries'!$A$150, Discretionaries!$B$2:'Discretionaries'!$B$150)), (1+CPI!$B$15)*$N78, "")</f>
        <v/>
      </c>
      <c r="AT78" s="1" t="str">
        <f>IF(AND(AR78&gt;0, _xlfn.XLOOKUP($AM78, Discretionaries!$A$2:'Discretionaries'!$A$150, Discretionaries!$B$2:'Discretionaries'!$B$150)),AS78-$Q78,"")</f>
        <v/>
      </c>
    </row>
    <row r="79" spans="1:46" x14ac:dyDescent="0.3">
      <c r="A79" t="s">
        <v>413</v>
      </c>
      <c r="B79" t="str">
        <f t="shared" si="25"/>
        <v>05</v>
      </c>
      <c r="C79" t="s">
        <v>415</v>
      </c>
      <c r="D79" t="str">
        <f t="shared" si="26"/>
        <v>43</v>
      </c>
      <c r="E79" t="s">
        <v>11</v>
      </c>
      <c r="F79" s="139" t="s">
        <v>39</v>
      </c>
      <c r="G79" t="s">
        <v>40</v>
      </c>
      <c r="H79" s="156">
        <v>600</v>
      </c>
      <c r="I79" s="156">
        <v>0</v>
      </c>
      <c r="J79" s="156">
        <v>0</v>
      </c>
      <c r="K79" s="156">
        <v>0</v>
      </c>
      <c r="L79" s="156">
        <v>0</v>
      </c>
      <c r="M79" s="156">
        <v>0</v>
      </c>
      <c r="N79" s="156">
        <v>0</v>
      </c>
      <c r="O79" s="156">
        <v>0</v>
      </c>
      <c r="P79" s="156">
        <v>0</v>
      </c>
      <c r="Q79" s="156">
        <v>0</v>
      </c>
      <c r="R79" s="156">
        <v>0</v>
      </c>
      <c r="S79" s="156">
        <f t="shared" si="27"/>
        <v>0</v>
      </c>
      <c r="T79" s="156">
        <f t="shared" si="28"/>
        <v>0</v>
      </c>
      <c r="U79" s="140" t="str">
        <f t="shared" si="29"/>
        <v/>
      </c>
      <c r="V79" s="140">
        <f t="shared" si="30"/>
        <v>-1</v>
      </c>
      <c r="W79" s="140" t="str">
        <f t="shared" si="31"/>
        <v/>
      </c>
      <c r="X79" s="140" t="str">
        <f t="shared" si="32"/>
        <v/>
      </c>
      <c r="Y79" s="140">
        <f t="shared" si="33"/>
        <v>-1</v>
      </c>
      <c r="Z79" s="140" t="str">
        <f t="shared" si="34"/>
        <v/>
      </c>
      <c r="AA79" s="140" t="str">
        <f t="shared" si="35"/>
        <v/>
      </c>
      <c r="AB79" s="140" t="str">
        <f t="shared" si="36"/>
        <v/>
      </c>
      <c r="AC79" s="140" t="str">
        <f t="shared" si="37"/>
        <v/>
      </c>
      <c r="AD79" s="140">
        <f t="shared" si="38"/>
        <v>-1</v>
      </c>
      <c r="AE79" s="140" t="str">
        <f t="shared" si="39"/>
        <v/>
      </c>
      <c r="AF79" s="140" t="str">
        <f t="shared" si="40"/>
        <v/>
      </c>
      <c r="AG79" s="140" t="str">
        <f t="shared" si="41"/>
        <v/>
      </c>
      <c r="AH79" s="140" t="str">
        <f t="shared" si="42"/>
        <v/>
      </c>
      <c r="AI79" s="140">
        <f t="shared" si="43"/>
        <v>-1</v>
      </c>
      <c r="AJ79" s="140">
        <f t="shared" si="44"/>
        <v>-1</v>
      </c>
      <c r="AK79" s="140">
        <f t="shared" si="45"/>
        <v>-1</v>
      </c>
      <c r="AL79" s="140">
        <f t="shared" si="46"/>
        <v>-1</v>
      </c>
      <c r="AM79" t="str">
        <f t="shared" si="47"/>
        <v>4140-000: Overtime Salaries</v>
      </c>
      <c r="AN79" s="140">
        <f t="shared" si="48"/>
        <v>-1</v>
      </c>
      <c r="AO79" s="140">
        <f t="shared" si="49"/>
        <v>1</v>
      </c>
      <c r="AP79" s="1" t="str">
        <f>IF(AND(AO79&gt;0, _xlfn.XLOOKUP($AM79, Discretionaries!$A$2:'Discretionaries'!$A$150, Discretionaries!$B$2:'Discretionaries'!$B$150)), (1+AN79)*$N79, "")</f>
        <v/>
      </c>
      <c r="AQ79" s="1" t="str">
        <f>IF(AND(AO79&gt;0, _xlfn.XLOOKUP($AM79, Discretionaries!$A$2:'Discretionaries'!$A$150, Discretionaries!$B$2:'Discretionaries'!$B$150)),AP79-$Q79,"")</f>
        <v/>
      </c>
      <c r="AR79" s="140">
        <f>IF(AG79="", 0-CPI!$B$15, AG79-CPI!$B$15)</f>
        <v>-3.8999999999999993E-2</v>
      </c>
      <c r="AS79" s="1" t="str">
        <f>IF(AND(AR79&gt;0, _xlfn.XLOOKUP($AM79, Discretionaries!$A$2:'Discretionaries'!$A$150, Discretionaries!$B$2:'Discretionaries'!$B$150)), (1+CPI!$B$15)*$N79, "")</f>
        <v/>
      </c>
      <c r="AT79" s="1" t="str">
        <f>IF(AND(AR79&gt;0, _xlfn.XLOOKUP($AM79, Discretionaries!$A$2:'Discretionaries'!$A$150, Discretionaries!$B$2:'Discretionaries'!$B$150)),AS79-$Q79,"")</f>
        <v/>
      </c>
    </row>
    <row r="80" spans="1:46" x14ac:dyDescent="0.3">
      <c r="A80" t="s">
        <v>413</v>
      </c>
      <c r="B80" t="str">
        <f t="shared" si="25"/>
        <v>05</v>
      </c>
      <c r="C80" t="s">
        <v>415</v>
      </c>
      <c r="D80" t="str">
        <f t="shared" si="26"/>
        <v>43</v>
      </c>
      <c r="E80" t="s">
        <v>14</v>
      </c>
      <c r="F80" s="139" t="s">
        <v>15</v>
      </c>
      <c r="G80" t="s">
        <v>16</v>
      </c>
      <c r="H80" s="156">
        <v>1045</v>
      </c>
      <c r="I80" s="156">
        <v>979.98</v>
      </c>
      <c r="J80" s="156">
        <v>1056</v>
      </c>
      <c r="K80" s="156">
        <v>556.25</v>
      </c>
      <c r="L80" s="156">
        <v>2110</v>
      </c>
      <c r="M80" s="156">
        <v>1041.97</v>
      </c>
      <c r="N80" s="156">
        <v>1474</v>
      </c>
      <c r="O80" s="156">
        <v>2444</v>
      </c>
      <c r="P80" s="156">
        <v>2444</v>
      </c>
      <c r="Q80" s="156">
        <v>2444</v>
      </c>
      <c r="R80" s="156">
        <v>2444</v>
      </c>
      <c r="S80" s="156">
        <f t="shared" si="27"/>
        <v>970</v>
      </c>
      <c r="T80" s="156">
        <f t="shared" si="28"/>
        <v>0</v>
      </c>
      <c r="U80" s="140">
        <f t="shared" si="29"/>
        <v>0.65807327001356852</v>
      </c>
      <c r="V80" s="140">
        <f t="shared" si="30"/>
        <v>-6.2220095693779884E-2</v>
      </c>
      <c r="W80" s="140">
        <f t="shared" si="31"/>
        <v>-0.47324810606060608</v>
      </c>
      <c r="X80" s="140">
        <f t="shared" si="32"/>
        <v>-0.50617535545023695</v>
      </c>
      <c r="Y80" s="140">
        <f t="shared" si="33"/>
        <v>1.0526315789473684E-2</v>
      </c>
      <c r="Z80" s="140">
        <f t="shared" si="34"/>
        <v>-0.43238637523214762</v>
      </c>
      <c r="AA80" s="140">
        <f t="shared" si="35"/>
        <v>0.99810606060606055</v>
      </c>
      <c r="AB80" s="140">
        <f t="shared" si="36"/>
        <v>0.87320449438202252</v>
      </c>
      <c r="AC80" s="140">
        <f t="shared" si="37"/>
        <v>-0.3014218009478673</v>
      </c>
      <c r="AD80" s="140">
        <f t="shared" si="38"/>
        <v>0.41052631578947368</v>
      </c>
      <c r="AE80" s="140">
        <f t="shared" si="39"/>
        <v>0.65807327001356852</v>
      </c>
      <c r="AF80" s="140">
        <f t="shared" si="40"/>
        <v>0.65807327001356852</v>
      </c>
      <c r="AG80" s="140">
        <f t="shared" si="41"/>
        <v>0.65807327001356852</v>
      </c>
      <c r="AH80" s="140">
        <f t="shared" si="42"/>
        <v>0.65807327001356852</v>
      </c>
      <c r="AI80" s="140">
        <f t="shared" si="43"/>
        <v>1.3387559808612439</v>
      </c>
      <c r="AJ80" s="140">
        <f t="shared" si="44"/>
        <v>1.3387559808612439</v>
      </c>
      <c r="AK80" s="140">
        <f t="shared" si="45"/>
        <v>1.3387559808612439</v>
      </c>
      <c r="AL80" s="140">
        <f t="shared" si="46"/>
        <v>1.3387559808612439</v>
      </c>
      <c r="AM80" t="str">
        <f t="shared" si="47"/>
        <v>4220-000: FICA Benefits</v>
      </c>
      <c r="AN80" s="140">
        <f t="shared" si="48"/>
        <v>0.23573685848255566</v>
      </c>
      <c r="AO80" s="140">
        <f t="shared" si="49"/>
        <v>0.42233641153101287</v>
      </c>
      <c r="AP80" s="1" t="str">
        <f>IF(AND(AO80&gt;0, _xlfn.XLOOKUP($AM80, Discretionaries!$A$2:'Discretionaries'!$A$150, Discretionaries!$B$2:'Discretionaries'!$B$150)), (1+AN80)*$N80, "")</f>
        <v/>
      </c>
      <c r="AQ80" s="1" t="str">
        <f>IF(AND(AO80&gt;0, _xlfn.XLOOKUP($AM80, Discretionaries!$A$2:'Discretionaries'!$A$150, Discretionaries!$B$2:'Discretionaries'!$B$150)),AP80-$Q80,"")</f>
        <v/>
      </c>
      <c r="AR80" s="140">
        <f>IF(AG80="", 0-CPI!$B$15, AG80-CPI!$B$15)</f>
        <v>0.61907327001356849</v>
      </c>
      <c r="AS80" s="1" t="str">
        <f>IF(AND(AR80&gt;0, _xlfn.XLOOKUP($AM80, Discretionaries!$A$2:'Discretionaries'!$A$150, Discretionaries!$B$2:'Discretionaries'!$B$150)), (1+CPI!$B$15)*$N80, "")</f>
        <v/>
      </c>
      <c r="AT80" s="1" t="str">
        <f>IF(AND(AR80&gt;0, _xlfn.XLOOKUP($AM80, Discretionaries!$A$2:'Discretionaries'!$A$150, Discretionaries!$B$2:'Discretionaries'!$B$150)),AS80-$Q80,"")</f>
        <v/>
      </c>
    </row>
    <row r="81" spans="1:46" x14ac:dyDescent="0.3">
      <c r="A81" t="s">
        <v>413</v>
      </c>
      <c r="B81" t="str">
        <f t="shared" si="25"/>
        <v>05</v>
      </c>
      <c r="C81" t="s">
        <v>415</v>
      </c>
      <c r="D81" t="str">
        <f t="shared" si="26"/>
        <v>43</v>
      </c>
      <c r="E81" t="s">
        <v>14</v>
      </c>
      <c r="F81" s="139" t="s">
        <v>17</v>
      </c>
      <c r="G81" t="s">
        <v>18</v>
      </c>
      <c r="H81" s="156">
        <v>245</v>
      </c>
      <c r="I81" s="156">
        <v>229.15</v>
      </c>
      <c r="J81" s="156">
        <v>247</v>
      </c>
      <c r="K81" s="156">
        <v>130.07</v>
      </c>
      <c r="L81" s="156">
        <v>494</v>
      </c>
      <c r="M81" s="156">
        <v>243.7</v>
      </c>
      <c r="N81" s="156">
        <v>345</v>
      </c>
      <c r="O81" s="156">
        <v>572</v>
      </c>
      <c r="P81" s="156">
        <v>572</v>
      </c>
      <c r="Q81" s="156">
        <v>572</v>
      </c>
      <c r="R81" s="156">
        <v>572</v>
      </c>
      <c r="S81" s="156">
        <f t="shared" si="27"/>
        <v>227</v>
      </c>
      <c r="T81" s="156">
        <f t="shared" si="28"/>
        <v>0</v>
      </c>
      <c r="U81" s="140">
        <f t="shared" si="29"/>
        <v>0.65797101449275364</v>
      </c>
      <c r="V81" s="140">
        <f t="shared" si="30"/>
        <v>-6.4693877551020379E-2</v>
      </c>
      <c r="W81" s="140">
        <f t="shared" si="31"/>
        <v>-0.4734008097165992</v>
      </c>
      <c r="X81" s="140">
        <f t="shared" si="32"/>
        <v>-0.50668016194331988</v>
      </c>
      <c r="Y81" s="140">
        <f t="shared" si="33"/>
        <v>8.1632653061224497E-3</v>
      </c>
      <c r="Z81" s="140">
        <f t="shared" si="34"/>
        <v>-0.43238053676631033</v>
      </c>
      <c r="AA81" s="140">
        <f t="shared" si="35"/>
        <v>1</v>
      </c>
      <c r="AB81" s="140">
        <f t="shared" si="36"/>
        <v>0.87360651956638735</v>
      </c>
      <c r="AC81" s="140">
        <f t="shared" si="37"/>
        <v>-0.30161943319838058</v>
      </c>
      <c r="AD81" s="140">
        <f t="shared" si="38"/>
        <v>0.40816326530612246</v>
      </c>
      <c r="AE81" s="140">
        <f t="shared" si="39"/>
        <v>0.65797101449275364</v>
      </c>
      <c r="AF81" s="140">
        <f t="shared" si="40"/>
        <v>0.65797101449275364</v>
      </c>
      <c r="AG81" s="140">
        <f t="shared" si="41"/>
        <v>0.65797101449275364</v>
      </c>
      <c r="AH81" s="140">
        <f t="shared" si="42"/>
        <v>0.65797101449275364</v>
      </c>
      <c r="AI81" s="140">
        <f t="shared" si="43"/>
        <v>1.3346938775510204</v>
      </c>
      <c r="AJ81" s="140">
        <f t="shared" si="44"/>
        <v>1.3346938775510204</v>
      </c>
      <c r="AK81" s="140">
        <f t="shared" si="45"/>
        <v>1.3346938775510204</v>
      </c>
      <c r="AL81" s="140">
        <f t="shared" si="46"/>
        <v>1.3346938775510204</v>
      </c>
      <c r="AM81" t="str">
        <f t="shared" si="47"/>
        <v>4225-000: Medicare Benefits</v>
      </c>
      <c r="AN81" s="140">
        <f t="shared" si="48"/>
        <v>0.23551461070258065</v>
      </c>
      <c r="AO81" s="140">
        <f t="shared" si="49"/>
        <v>0.42245640379017302</v>
      </c>
      <c r="AP81" s="1" t="str">
        <f>IF(AND(AO81&gt;0, _xlfn.XLOOKUP($AM81, Discretionaries!$A$2:'Discretionaries'!$A$150, Discretionaries!$B$2:'Discretionaries'!$B$150)), (1+AN81)*$N81, "")</f>
        <v/>
      </c>
      <c r="AQ81" s="1" t="str">
        <f>IF(AND(AO81&gt;0, _xlfn.XLOOKUP($AM81, Discretionaries!$A$2:'Discretionaries'!$A$150, Discretionaries!$B$2:'Discretionaries'!$B$150)),AP81-$Q81,"")</f>
        <v/>
      </c>
      <c r="AR81" s="140">
        <f>IF(AG81="", 0-CPI!$B$15, AG81-CPI!$B$15)</f>
        <v>0.6189710144927536</v>
      </c>
      <c r="AS81" s="1" t="str">
        <f>IF(AND(AR81&gt;0, _xlfn.XLOOKUP($AM81, Discretionaries!$A$2:'Discretionaries'!$A$150, Discretionaries!$B$2:'Discretionaries'!$B$150)), (1+CPI!$B$15)*$N81, "")</f>
        <v/>
      </c>
      <c r="AT81" s="1" t="str">
        <f>IF(AND(AR81&gt;0, _xlfn.XLOOKUP($AM81, Discretionaries!$A$2:'Discretionaries'!$A$150, Discretionaries!$B$2:'Discretionaries'!$B$150)),AS81-$Q81,"")</f>
        <v/>
      </c>
    </row>
    <row r="82" spans="1:46" x14ac:dyDescent="0.3">
      <c r="A82" t="s">
        <v>413</v>
      </c>
      <c r="B82" t="str">
        <f t="shared" si="25"/>
        <v>05</v>
      </c>
      <c r="C82" t="s">
        <v>415</v>
      </c>
      <c r="D82" t="str">
        <f t="shared" si="26"/>
        <v>43</v>
      </c>
      <c r="E82" t="s">
        <v>21</v>
      </c>
      <c r="F82" s="139" t="s">
        <v>28</v>
      </c>
      <c r="G82" t="s">
        <v>29</v>
      </c>
      <c r="H82" s="156">
        <v>10200</v>
      </c>
      <c r="I82" s="156">
        <v>3804.94</v>
      </c>
      <c r="J82" s="156">
        <v>1700</v>
      </c>
      <c r="K82" s="156">
        <v>2433.13</v>
      </c>
      <c r="L82" s="156">
        <v>1700</v>
      </c>
      <c r="M82" s="156">
        <v>5442.38</v>
      </c>
      <c r="N82" s="156">
        <v>2575</v>
      </c>
      <c r="O82" s="156">
        <v>7500</v>
      </c>
      <c r="P82" s="156">
        <v>7500</v>
      </c>
      <c r="Q82" s="156">
        <v>7500</v>
      </c>
      <c r="R82" s="156">
        <v>2575</v>
      </c>
      <c r="S82" s="156">
        <f t="shared" si="27"/>
        <v>4925</v>
      </c>
      <c r="T82" s="156">
        <f t="shared" si="28"/>
        <v>4925</v>
      </c>
      <c r="U82" s="140">
        <f t="shared" si="29"/>
        <v>1.912621359223301</v>
      </c>
      <c r="V82" s="140">
        <f t="shared" si="30"/>
        <v>-0.62696666666666667</v>
      </c>
      <c r="W82" s="140">
        <f t="shared" si="31"/>
        <v>0.43125294117647067</v>
      </c>
      <c r="X82" s="140">
        <f t="shared" si="32"/>
        <v>2.2014</v>
      </c>
      <c r="Y82" s="140">
        <f t="shared" si="33"/>
        <v>-0.83333333333333337</v>
      </c>
      <c r="Z82" s="140">
        <f t="shared" si="34"/>
        <v>-0.36053393746024903</v>
      </c>
      <c r="AA82" s="140">
        <f t="shared" si="35"/>
        <v>0</v>
      </c>
      <c r="AB82" s="140">
        <f t="shared" si="36"/>
        <v>1.2367814296811104</v>
      </c>
      <c r="AC82" s="140">
        <f t="shared" si="37"/>
        <v>0.51470588235294112</v>
      </c>
      <c r="AD82" s="140">
        <f t="shared" si="38"/>
        <v>-0.74754901960784315</v>
      </c>
      <c r="AE82" s="140">
        <f t="shared" si="39"/>
        <v>1.912621359223301</v>
      </c>
      <c r="AF82" s="140">
        <f t="shared" si="40"/>
        <v>1.912621359223301</v>
      </c>
      <c r="AG82" s="140">
        <f t="shared" si="41"/>
        <v>1.912621359223301</v>
      </c>
      <c r="AH82" s="140">
        <f t="shared" si="42"/>
        <v>0</v>
      </c>
      <c r="AI82" s="140">
        <f t="shared" si="43"/>
        <v>-0.26470588235294118</v>
      </c>
      <c r="AJ82" s="140">
        <f t="shared" si="44"/>
        <v>-0.26470588235294118</v>
      </c>
      <c r="AK82" s="140">
        <f t="shared" si="45"/>
        <v>-0.26470588235294118</v>
      </c>
      <c r="AL82" s="140">
        <f t="shared" si="46"/>
        <v>-0.74754901960784315</v>
      </c>
      <c r="AM82" t="str">
        <f t="shared" si="47"/>
        <v>4330-000: MGMT services Services</v>
      </c>
      <c r="AN82" s="140">
        <f t="shared" si="48"/>
        <v>-0.10620915032679741</v>
      </c>
      <c r="AO82" s="140">
        <f t="shared" si="49"/>
        <v>2.0188305095500985</v>
      </c>
      <c r="AP82" s="1">
        <f>IF(AND(AO82&gt;0, _xlfn.XLOOKUP($AM82, Discretionaries!$A$2:'Discretionaries'!$A$150, Discretionaries!$B$2:'Discretionaries'!$B$150)), (1+AN82)*$N82, "")</f>
        <v>2301.5114379084966</v>
      </c>
      <c r="AQ82" s="1">
        <f>IF(AND(AO82&gt;0, _xlfn.XLOOKUP($AM82, Discretionaries!$A$2:'Discretionaries'!$A$150, Discretionaries!$B$2:'Discretionaries'!$B$150)),AP82-$Q82,"")</f>
        <v>-5198.4885620915029</v>
      </c>
      <c r="AR82" s="140">
        <f>IF(AG82="", 0-CPI!$B$15, AG82-CPI!$B$15)</f>
        <v>1.8736213592233011</v>
      </c>
      <c r="AS82" s="1">
        <f>IF(AND(AR82&gt;0, _xlfn.XLOOKUP($AM82, Discretionaries!$A$2:'Discretionaries'!$A$150, Discretionaries!$B$2:'Discretionaries'!$B$150)), (1+CPI!$B$15)*$N82, "")</f>
        <v>2675.4249999999997</v>
      </c>
      <c r="AT82" s="1">
        <f>IF(AND(AR82&gt;0, _xlfn.XLOOKUP($AM82, Discretionaries!$A$2:'Discretionaries'!$A$150, Discretionaries!$B$2:'Discretionaries'!$B$150)),AS82-$Q82,"")</f>
        <v>-4824.5750000000007</v>
      </c>
    </row>
    <row r="83" spans="1:46" x14ac:dyDescent="0.3">
      <c r="A83" t="s">
        <v>413</v>
      </c>
      <c r="B83" t="str">
        <f t="shared" si="25"/>
        <v>05</v>
      </c>
      <c r="C83" t="s">
        <v>415</v>
      </c>
      <c r="D83" t="str">
        <f t="shared" si="26"/>
        <v>43</v>
      </c>
      <c r="E83" t="s">
        <v>21</v>
      </c>
      <c r="F83" s="139" t="s">
        <v>111</v>
      </c>
      <c r="G83" t="s">
        <v>112</v>
      </c>
      <c r="H83" s="156">
        <v>500</v>
      </c>
      <c r="I83" s="156">
        <v>2079</v>
      </c>
      <c r="J83" s="156">
        <v>500</v>
      </c>
      <c r="K83" s="156">
        <v>1300</v>
      </c>
      <c r="L83" s="156">
        <v>500</v>
      </c>
      <c r="M83" s="156">
        <v>5325</v>
      </c>
      <c r="N83" s="156">
        <v>2500</v>
      </c>
      <c r="O83" s="156">
        <v>2200</v>
      </c>
      <c r="P83" s="156">
        <v>2200</v>
      </c>
      <c r="Q83" s="156">
        <v>2200</v>
      </c>
      <c r="R83" s="156">
        <v>2500</v>
      </c>
      <c r="S83" s="156">
        <f t="shared" si="27"/>
        <v>-300</v>
      </c>
      <c r="T83" s="156">
        <f t="shared" si="28"/>
        <v>-300</v>
      </c>
      <c r="U83" s="140">
        <f t="shared" si="29"/>
        <v>-0.12</v>
      </c>
      <c r="V83" s="140">
        <f t="shared" si="30"/>
        <v>3.1579999999999999</v>
      </c>
      <c r="W83" s="140">
        <f t="shared" si="31"/>
        <v>1.6</v>
      </c>
      <c r="X83" s="140">
        <f t="shared" si="32"/>
        <v>9.65</v>
      </c>
      <c r="Y83" s="140">
        <f t="shared" si="33"/>
        <v>0</v>
      </c>
      <c r="Z83" s="140">
        <f t="shared" si="34"/>
        <v>-0.3746993746993747</v>
      </c>
      <c r="AA83" s="140">
        <f t="shared" si="35"/>
        <v>0</v>
      </c>
      <c r="AB83" s="140">
        <f t="shared" si="36"/>
        <v>3.0961538461538463</v>
      </c>
      <c r="AC83" s="140">
        <f t="shared" si="37"/>
        <v>4</v>
      </c>
      <c r="AD83" s="140">
        <f t="shared" si="38"/>
        <v>4</v>
      </c>
      <c r="AE83" s="140">
        <f t="shared" si="39"/>
        <v>-0.12</v>
      </c>
      <c r="AF83" s="140">
        <f t="shared" si="40"/>
        <v>-0.12</v>
      </c>
      <c r="AG83" s="140">
        <f t="shared" si="41"/>
        <v>-0.12</v>
      </c>
      <c r="AH83" s="140">
        <f t="shared" si="42"/>
        <v>0</v>
      </c>
      <c r="AI83" s="140">
        <f t="shared" si="43"/>
        <v>3.4</v>
      </c>
      <c r="AJ83" s="140">
        <f t="shared" si="44"/>
        <v>3.4</v>
      </c>
      <c r="AK83" s="140">
        <f t="shared" si="45"/>
        <v>3.4</v>
      </c>
      <c r="AL83" s="140">
        <f t="shared" si="46"/>
        <v>4</v>
      </c>
      <c r="AM83" t="str">
        <f t="shared" si="47"/>
        <v>4440-000: Rental and leases Services</v>
      </c>
      <c r="AN83" s="140">
        <f t="shared" si="48"/>
        <v>1.3333333333333333</v>
      </c>
      <c r="AO83" s="140">
        <f t="shared" si="49"/>
        <v>-1.4533333333333331</v>
      </c>
      <c r="AP83" s="1" t="str">
        <f>IF(AND(AO83&gt;0, _xlfn.XLOOKUP($AM83, Discretionaries!$A$2:'Discretionaries'!$A$150, Discretionaries!$B$2:'Discretionaries'!$B$150)), (1+AN83)*$N83, "")</f>
        <v/>
      </c>
      <c r="AQ83" s="1" t="str">
        <f>IF(AND(AO83&gt;0, _xlfn.XLOOKUP($AM83, Discretionaries!$A$2:'Discretionaries'!$A$150, Discretionaries!$B$2:'Discretionaries'!$B$150)),AP83-$Q83,"")</f>
        <v/>
      </c>
      <c r="AR83" s="140">
        <f>IF(AG83="", 0-CPI!$B$15, AG83-CPI!$B$15)</f>
        <v>-0.15899999999999997</v>
      </c>
      <c r="AS83" s="1" t="str">
        <f>IF(AND(AR83&gt;0, _xlfn.XLOOKUP($AM83, Discretionaries!$A$2:'Discretionaries'!$A$150, Discretionaries!$B$2:'Discretionaries'!$B$150)), (1+CPI!$B$15)*$N83, "")</f>
        <v/>
      </c>
      <c r="AT83" s="1" t="str">
        <f>IF(AND(AR83&gt;0, _xlfn.XLOOKUP($AM83, Discretionaries!$A$2:'Discretionaries'!$A$150, Discretionaries!$B$2:'Discretionaries'!$B$150)),AS83-$Q83,"")</f>
        <v/>
      </c>
    </row>
    <row r="84" spans="1:46" x14ac:dyDescent="0.3">
      <c r="A84" t="s">
        <v>413</v>
      </c>
      <c r="B84" t="str">
        <f t="shared" si="25"/>
        <v>05</v>
      </c>
      <c r="C84" t="s">
        <v>415</v>
      </c>
      <c r="D84" t="str">
        <f t="shared" si="26"/>
        <v>43</v>
      </c>
      <c r="E84" t="s">
        <v>30</v>
      </c>
      <c r="F84" s="139" t="s">
        <v>31</v>
      </c>
      <c r="G84" t="s">
        <v>113</v>
      </c>
      <c r="H84" s="156">
        <v>0</v>
      </c>
      <c r="I84" s="156">
        <v>0</v>
      </c>
      <c r="J84" s="156">
        <v>0</v>
      </c>
      <c r="K84" s="156">
        <v>0</v>
      </c>
      <c r="L84" s="156">
        <v>0</v>
      </c>
      <c r="M84" s="156">
        <v>0</v>
      </c>
      <c r="N84" s="156">
        <v>1000</v>
      </c>
      <c r="O84" s="156">
        <v>5110</v>
      </c>
      <c r="P84" s="156">
        <v>5110</v>
      </c>
      <c r="Q84" s="156">
        <v>5110</v>
      </c>
      <c r="R84" s="156">
        <v>1000</v>
      </c>
      <c r="S84" s="156">
        <f t="shared" si="27"/>
        <v>4110</v>
      </c>
      <c r="T84" s="156">
        <f t="shared" si="28"/>
        <v>4110</v>
      </c>
      <c r="U84" s="140">
        <f t="shared" si="29"/>
        <v>4.1100000000000003</v>
      </c>
      <c r="V84" s="140" t="str">
        <f t="shared" si="30"/>
        <v/>
      </c>
      <c r="W84" s="140" t="str">
        <f t="shared" si="31"/>
        <v/>
      </c>
      <c r="X84" s="140" t="str">
        <f t="shared" si="32"/>
        <v/>
      </c>
      <c r="Y84" s="140" t="str">
        <f t="shared" si="33"/>
        <v/>
      </c>
      <c r="Z84" s="140" t="str">
        <f t="shared" si="34"/>
        <v/>
      </c>
      <c r="AA84" s="140" t="str">
        <f t="shared" si="35"/>
        <v/>
      </c>
      <c r="AB84" s="140" t="str">
        <f t="shared" si="36"/>
        <v/>
      </c>
      <c r="AC84" s="140" t="str">
        <f t="shared" si="37"/>
        <v/>
      </c>
      <c r="AD84" s="140" t="str">
        <f t="shared" si="38"/>
        <v/>
      </c>
      <c r="AE84" s="140">
        <f t="shared" si="39"/>
        <v>4.1100000000000003</v>
      </c>
      <c r="AF84" s="140">
        <f t="shared" si="40"/>
        <v>4.1100000000000003</v>
      </c>
      <c r="AG84" s="140">
        <f t="shared" si="41"/>
        <v>4.1100000000000003</v>
      </c>
      <c r="AH84" s="140">
        <f t="shared" si="42"/>
        <v>0</v>
      </c>
      <c r="AI84" s="140" t="str">
        <f t="shared" si="43"/>
        <v/>
      </c>
      <c r="AJ84" s="140" t="str">
        <f t="shared" si="44"/>
        <v/>
      </c>
      <c r="AK84" s="140" t="str">
        <f t="shared" si="45"/>
        <v/>
      </c>
      <c r="AL84" s="140" t="str">
        <f t="shared" si="46"/>
        <v/>
      </c>
      <c r="AM84" t="str">
        <f t="shared" si="47"/>
        <v>4610-000: General Expenses Supplies</v>
      </c>
      <c r="AN84" s="140">
        <f t="shared" si="48"/>
        <v>0</v>
      </c>
      <c r="AO84" s="140">
        <f t="shared" si="49"/>
        <v>4.1100000000000003</v>
      </c>
      <c r="AP84" s="1">
        <f>IF(AND(AO84&gt;0, _xlfn.XLOOKUP($AM84, Discretionaries!$A$2:'Discretionaries'!$A$150, Discretionaries!$B$2:'Discretionaries'!$B$150)), (1+AN84)*$N84, "")</f>
        <v>1000</v>
      </c>
      <c r="AQ84" s="1">
        <f>IF(AND(AO84&gt;0, _xlfn.XLOOKUP($AM84, Discretionaries!$A$2:'Discretionaries'!$A$150, Discretionaries!$B$2:'Discretionaries'!$B$150)),AP84-$Q84,"")</f>
        <v>-4110</v>
      </c>
      <c r="AR84" s="140">
        <f>IF(AG84="", 0-CPI!$B$15, AG84-CPI!$B$15)</f>
        <v>4.0710000000000006</v>
      </c>
      <c r="AS84" s="1">
        <f>IF(AND(AR84&gt;0, _xlfn.XLOOKUP($AM84, Discretionaries!$A$2:'Discretionaries'!$A$150, Discretionaries!$B$2:'Discretionaries'!$B$150)), (1+CPI!$B$15)*$N84, "")</f>
        <v>1039</v>
      </c>
      <c r="AT84" s="1">
        <f>IF(AND(AR84&gt;0, _xlfn.XLOOKUP($AM84, Discretionaries!$A$2:'Discretionaries'!$A$150, Discretionaries!$B$2:'Discretionaries'!$B$150)),AS84-$Q84,"")</f>
        <v>-4071</v>
      </c>
    </row>
    <row r="85" spans="1:46" x14ac:dyDescent="0.3">
      <c r="A85" t="s">
        <v>413</v>
      </c>
      <c r="B85" t="str">
        <f t="shared" si="25"/>
        <v>05</v>
      </c>
      <c r="C85" t="s">
        <v>415</v>
      </c>
      <c r="D85" t="str">
        <f t="shared" si="26"/>
        <v>43</v>
      </c>
      <c r="E85" t="s">
        <v>30</v>
      </c>
      <c r="F85" s="139" t="s">
        <v>51</v>
      </c>
      <c r="G85" t="s">
        <v>48</v>
      </c>
      <c r="H85" s="156">
        <v>1100</v>
      </c>
      <c r="I85" s="156">
        <v>1052.3699999999999</v>
      </c>
      <c r="J85" s="156">
        <v>1100</v>
      </c>
      <c r="K85" s="156">
        <v>78.099999999999994</v>
      </c>
      <c r="L85" s="156">
        <v>1100</v>
      </c>
      <c r="M85" s="156">
        <v>10219</v>
      </c>
      <c r="N85" s="156">
        <v>1025</v>
      </c>
      <c r="O85" s="156">
        <v>1025</v>
      </c>
      <c r="P85" s="156">
        <v>1025</v>
      </c>
      <c r="Q85" s="156">
        <v>1025</v>
      </c>
      <c r="R85" s="156">
        <v>1025</v>
      </c>
      <c r="S85" s="156">
        <f t="shared" si="27"/>
        <v>0</v>
      </c>
      <c r="T85" s="156">
        <f t="shared" si="28"/>
        <v>0</v>
      </c>
      <c r="U85" s="140">
        <f t="shared" si="29"/>
        <v>0</v>
      </c>
      <c r="V85" s="140">
        <f t="shared" si="30"/>
        <v>-4.3300000000000102E-2</v>
      </c>
      <c r="W85" s="140">
        <f t="shared" si="31"/>
        <v>-0.92899999999999994</v>
      </c>
      <c r="X85" s="140">
        <f t="shared" si="32"/>
        <v>8.2899999999999991</v>
      </c>
      <c r="Y85" s="140">
        <f t="shared" si="33"/>
        <v>0</v>
      </c>
      <c r="Z85" s="140">
        <f t="shared" si="34"/>
        <v>-0.92578655795965292</v>
      </c>
      <c r="AA85" s="140">
        <f t="shared" si="35"/>
        <v>0</v>
      </c>
      <c r="AB85" s="140">
        <f t="shared" si="36"/>
        <v>129.84507042253523</v>
      </c>
      <c r="AC85" s="140">
        <f t="shared" si="37"/>
        <v>-6.8181818181818177E-2</v>
      </c>
      <c r="AD85" s="140">
        <f t="shared" si="38"/>
        <v>-6.8181818181818177E-2</v>
      </c>
      <c r="AE85" s="140">
        <f t="shared" si="39"/>
        <v>0</v>
      </c>
      <c r="AF85" s="140">
        <f t="shared" si="40"/>
        <v>0</v>
      </c>
      <c r="AG85" s="140">
        <f t="shared" si="41"/>
        <v>0</v>
      </c>
      <c r="AH85" s="140">
        <f t="shared" si="42"/>
        <v>0</v>
      </c>
      <c r="AI85" s="140">
        <f t="shared" si="43"/>
        <v>-6.8181818181818177E-2</v>
      </c>
      <c r="AJ85" s="140">
        <f t="shared" si="44"/>
        <v>-6.8181818181818177E-2</v>
      </c>
      <c r="AK85" s="140">
        <f t="shared" si="45"/>
        <v>-6.8181818181818177E-2</v>
      </c>
      <c r="AL85" s="140">
        <f t="shared" si="46"/>
        <v>-6.8181818181818177E-2</v>
      </c>
      <c r="AM85" t="str">
        <f t="shared" si="47"/>
        <v>4620-000: Office supplies Supplies</v>
      </c>
      <c r="AN85" s="140">
        <f t="shared" si="48"/>
        <v>-2.2727272727272724E-2</v>
      </c>
      <c r="AO85" s="140">
        <f t="shared" si="49"/>
        <v>2.2727272727272724E-2</v>
      </c>
      <c r="AP85" s="1">
        <f>IF(AND(AO85&gt;0, _xlfn.XLOOKUP($AM85, Discretionaries!$A$2:'Discretionaries'!$A$150, Discretionaries!$B$2:'Discretionaries'!$B$150)), (1+AN85)*$N85, "")</f>
        <v>1001.7045454545455</v>
      </c>
      <c r="AQ85" s="1">
        <f>IF(AND(AO85&gt;0, _xlfn.XLOOKUP($AM85, Discretionaries!$A$2:'Discretionaries'!$A$150, Discretionaries!$B$2:'Discretionaries'!$B$150)),AP85-$Q85,"")</f>
        <v>-23.295454545454504</v>
      </c>
      <c r="AR85" s="140">
        <f>IF(AG85="", 0-CPI!$B$15, AG85-CPI!$B$15)</f>
        <v>-3.8999999999999993E-2</v>
      </c>
      <c r="AS85" s="1" t="str">
        <f>IF(AND(AR85&gt;0, _xlfn.XLOOKUP($AM85, Discretionaries!$A$2:'Discretionaries'!$A$150, Discretionaries!$B$2:'Discretionaries'!$B$150)), (1+CPI!$B$15)*$N85, "")</f>
        <v/>
      </c>
      <c r="AT85" s="1" t="str">
        <f>IF(AND(AR85&gt;0, _xlfn.XLOOKUP($AM85, Discretionaries!$A$2:'Discretionaries'!$A$150, Discretionaries!$B$2:'Discretionaries'!$B$150)),AS85-$Q85,"")</f>
        <v/>
      </c>
    </row>
    <row r="86" spans="1:46" x14ac:dyDescent="0.3">
      <c r="A86" t="s">
        <v>413</v>
      </c>
      <c r="B86" t="str">
        <f t="shared" si="25"/>
        <v>05</v>
      </c>
      <c r="C86" t="s">
        <v>415</v>
      </c>
      <c r="D86" t="str">
        <f t="shared" si="26"/>
        <v>43</v>
      </c>
      <c r="E86" t="s">
        <v>30</v>
      </c>
      <c r="F86" s="139" t="s">
        <v>52</v>
      </c>
      <c r="G86" t="s">
        <v>49</v>
      </c>
      <c r="H86" s="156">
        <v>300</v>
      </c>
      <c r="I86" s="156">
        <v>352.98</v>
      </c>
      <c r="J86" s="156">
        <v>300</v>
      </c>
      <c r="K86" s="156">
        <v>486.49</v>
      </c>
      <c r="L86" s="156">
        <v>300</v>
      </c>
      <c r="M86" s="156">
        <v>926.91</v>
      </c>
      <c r="N86" s="156">
        <v>500</v>
      </c>
      <c r="O86" s="156">
        <v>4320</v>
      </c>
      <c r="P86" s="156">
        <v>4320</v>
      </c>
      <c r="Q86" s="156">
        <v>4320</v>
      </c>
      <c r="R86" s="156">
        <v>500</v>
      </c>
      <c r="S86" s="156">
        <f t="shared" si="27"/>
        <v>3820</v>
      </c>
      <c r="T86" s="156">
        <f t="shared" si="28"/>
        <v>3820</v>
      </c>
      <c r="U86" s="140">
        <f t="shared" si="29"/>
        <v>7.64</v>
      </c>
      <c r="V86" s="140">
        <f t="shared" si="30"/>
        <v>0.17660000000000006</v>
      </c>
      <c r="W86" s="140">
        <f t="shared" si="31"/>
        <v>0.62163333333333337</v>
      </c>
      <c r="X86" s="140">
        <f t="shared" si="32"/>
        <v>2.0897000000000001</v>
      </c>
      <c r="Y86" s="140">
        <f t="shared" si="33"/>
        <v>0</v>
      </c>
      <c r="Z86" s="140">
        <f t="shared" si="34"/>
        <v>0.37823672729333102</v>
      </c>
      <c r="AA86" s="140">
        <f t="shared" si="35"/>
        <v>0</v>
      </c>
      <c r="AB86" s="140">
        <f t="shared" si="36"/>
        <v>0.90530123949104802</v>
      </c>
      <c r="AC86" s="140">
        <f t="shared" si="37"/>
        <v>0.66666666666666663</v>
      </c>
      <c r="AD86" s="140">
        <f t="shared" si="38"/>
        <v>0.66666666666666663</v>
      </c>
      <c r="AE86" s="140">
        <f t="shared" si="39"/>
        <v>7.64</v>
      </c>
      <c r="AF86" s="140">
        <f t="shared" si="40"/>
        <v>7.64</v>
      </c>
      <c r="AG86" s="140">
        <f t="shared" si="41"/>
        <v>7.64</v>
      </c>
      <c r="AH86" s="140">
        <f t="shared" si="42"/>
        <v>0</v>
      </c>
      <c r="AI86" s="140">
        <f t="shared" si="43"/>
        <v>13.4</v>
      </c>
      <c r="AJ86" s="140">
        <f t="shared" si="44"/>
        <v>13.4</v>
      </c>
      <c r="AK86" s="140">
        <f t="shared" si="45"/>
        <v>13.4</v>
      </c>
      <c r="AL86" s="140">
        <f t="shared" si="46"/>
        <v>0.66666666666666663</v>
      </c>
      <c r="AM86" t="str">
        <f t="shared" si="47"/>
        <v>4625-000: Postage Supplies</v>
      </c>
      <c r="AN86" s="140">
        <f t="shared" si="48"/>
        <v>0.22222222222222221</v>
      </c>
      <c r="AO86" s="140">
        <f t="shared" si="49"/>
        <v>7.4177777777777774</v>
      </c>
      <c r="AP86" s="1">
        <f>IF(AND(AO86&gt;0, _xlfn.XLOOKUP($AM86, Discretionaries!$A$2:'Discretionaries'!$A$150, Discretionaries!$B$2:'Discretionaries'!$B$150)), (1+AN86)*$N86, "")</f>
        <v>611.1111111111112</v>
      </c>
      <c r="AQ86" s="1">
        <f>IF(AND(AO86&gt;0, _xlfn.XLOOKUP($AM86, Discretionaries!$A$2:'Discretionaries'!$A$150, Discretionaries!$B$2:'Discretionaries'!$B$150)),AP86-$Q86,"")</f>
        <v>-3708.8888888888887</v>
      </c>
      <c r="AR86" s="140">
        <f>IF(AG86="", 0-CPI!$B$15, AG86-CPI!$B$15)</f>
        <v>7.601</v>
      </c>
      <c r="AS86" s="1">
        <f>IF(AND(AR86&gt;0, _xlfn.XLOOKUP($AM86, Discretionaries!$A$2:'Discretionaries'!$A$150, Discretionaries!$B$2:'Discretionaries'!$B$150)), (1+CPI!$B$15)*$N86, "")</f>
        <v>519.5</v>
      </c>
      <c r="AT86" s="1">
        <f>IF(AND(AR86&gt;0, _xlfn.XLOOKUP($AM86, Discretionaries!$A$2:'Discretionaries'!$A$150, Discretionaries!$B$2:'Discretionaries'!$B$150)),AS86-$Q86,"")</f>
        <v>-3800.5</v>
      </c>
    </row>
    <row r="87" spans="1:46" x14ac:dyDescent="0.3">
      <c r="A87" t="s">
        <v>413</v>
      </c>
      <c r="B87" t="str">
        <f t="shared" si="25"/>
        <v>05</v>
      </c>
      <c r="C87" t="s">
        <v>415</v>
      </c>
      <c r="D87" t="str">
        <f t="shared" si="26"/>
        <v>43</v>
      </c>
      <c r="E87" t="s">
        <v>54</v>
      </c>
      <c r="F87" s="139" t="s">
        <v>114</v>
      </c>
      <c r="G87" t="s">
        <v>115</v>
      </c>
      <c r="H87" s="156">
        <v>1000</v>
      </c>
      <c r="I87" s="156">
        <v>12069.4</v>
      </c>
      <c r="J87" s="156">
        <v>27000</v>
      </c>
      <c r="K87" s="156">
        <v>12420.59</v>
      </c>
      <c r="L87" s="156">
        <v>27000</v>
      </c>
      <c r="M87" s="156">
        <v>27000</v>
      </c>
      <c r="N87" s="156">
        <v>13500</v>
      </c>
      <c r="O87" s="156">
        <v>49000</v>
      </c>
      <c r="P87" s="156">
        <v>45000</v>
      </c>
      <c r="Q87" s="156">
        <v>45000</v>
      </c>
      <c r="R87" s="156">
        <v>13500</v>
      </c>
      <c r="S87" s="156">
        <f t="shared" si="27"/>
        <v>31500</v>
      </c>
      <c r="T87" s="156">
        <f t="shared" si="28"/>
        <v>31500</v>
      </c>
      <c r="U87" s="140">
        <f t="shared" si="29"/>
        <v>2.3333333333333335</v>
      </c>
      <c r="V87" s="140">
        <f t="shared" si="30"/>
        <v>11.0694</v>
      </c>
      <c r="W87" s="140">
        <f t="shared" si="31"/>
        <v>-0.53997814814814815</v>
      </c>
      <c r="X87" s="140">
        <f t="shared" si="32"/>
        <v>0</v>
      </c>
      <c r="Y87" s="140">
        <f t="shared" si="33"/>
        <v>26</v>
      </c>
      <c r="Z87" s="140">
        <f t="shared" si="34"/>
        <v>2.9097552488110471E-2</v>
      </c>
      <c r="AA87" s="140">
        <f t="shared" si="35"/>
        <v>0</v>
      </c>
      <c r="AB87" s="140">
        <f t="shared" si="36"/>
        <v>1.1738097787625226</v>
      </c>
      <c r="AC87" s="140">
        <f t="shared" si="37"/>
        <v>-0.5</v>
      </c>
      <c r="AD87" s="140">
        <f t="shared" si="38"/>
        <v>12.5</v>
      </c>
      <c r="AE87" s="140">
        <f t="shared" si="39"/>
        <v>2.6296296296296298</v>
      </c>
      <c r="AF87" s="140">
        <f t="shared" si="40"/>
        <v>2.3333333333333335</v>
      </c>
      <c r="AG87" s="140">
        <f t="shared" si="41"/>
        <v>2.3333333333333335</v>
      </c>
      <c r="AH87" s="140">
        <f t="shared" si="42"/>
        <v>0</v>
      </c>
      <c r="AI87" s="140">
        <f t="shared" si="43"/>
        <v>48</v>
      </c>
      <c r="AJ87" s="140">
        <f t="shared" si="44"/>
        <v>44</v>
      </c>
      <c r="AK87" s="140">
        <f t="shared" si="45"/>
        <v>44</v>
      </c>
      <c r="AL87" s="140">
        <f t="shared" si="46"/>
        <v>12.5</v>
      </c>
      <c r="AM87" t="str">
        <f t="shared" si="47"/>
        <v>4740-000: Mach &amp; equip Property</v>
      </c>
      <c r="AN87" s="140">
        <f t="shared" si="48"/>
        <v>8.5</v>
      </c>
      <c r="AO87" s="140">
        <f t="shared" si="49"/>
        <v>-6.1666666666666661</v>
      </c>
      <c r="AP87" s="1" t="str">
        <f>IF(AND(AO87&gt;0, _xlfn.XLOOKUP($AM87, Discretionaries!$A$2:'Discretionaries'!$A$150, Discretionaries!$B$2:'Discretionaries'!$B$150)), (1+AN87)*$N87, "")</f>
        <v/>
      </c>
      <c r="AQ87" s="1" t="str">
        <f>IF(AND(AO87&gt;0, _xlfn.XLOOKUP($AM87, Discretionaries!$A$2:'Discretionaries'!$A$150, Discretionaries!$B$2:'Discretionaries'!$B$150)),AP87-$Q87,"")</f>
        <v/>
      </c>
      <c r="AR87" s="140">
        <f>IF(AG87="", 0-CPI!$B$15, AG87-CPI!$B$15)</f>
        <v>2.2943333333333333</v>
      </c>
      <c r="AS87" s="1">
        <f>IF(AND(AR87&gt;0, _xlfn.XLOOKUP($AM87, Discretionaries!$A$2:'Discretionaries'!$A$150, Discretionaries!$B$2:'Discretionaries'!$B$150)), (1+CPI!$B$15)*$N87, "")</f>
        <v>14026.499999999998</v>
      </c>
      <c r="AT87" s="1">
        <f>IF(AND(AR87&gt;0, _xlfn.XLOOKUP($AM87, Discretionaries!$A$2:'Discretionaries'!$A$150, Discretionaries!$B$2:'Discretionaries'!$B$150)),AS87-$Q87,"")</f>
        <v>-30973.5</v>
      </c>
    </row>
    <row r="88" spans="1:46" x14ac:dyDescent="0.3">
      <c r="A88" t="s">
        <v>416</v>
      </c>
      <c r="B88" t="str">
        <f t="shared" si="25"/>
        <v>08</v>
      </c>
      <c r="C88" t="s">
        <v>408</v>
      </c>
      <c r="D88" t="str">
        <f t="shared" si="26"/>
        <v>00</v>
      </c>
      <c r="E88" t="s">
        <v>11</v>
      </c>
      <c r="F88" s="139" t="s">
        <v>35</v>
      </c>
      <c r="G88" t="s">
        <v>36</v>
      </c>
      <c r="H88" s="156">
        <v>381898</v>
      </c>
      <c r="I88" s="156">
        <v>365530.59</v>
      </c>
      <c r="J88" s="156">
        <v>380197</v>
      </c>
      <c r="K88" s="156">
        <v>384882.09</v>
      </c>
      <c r="L88" s="156">
        <v>442334</v>
      </c>
      <c r="M88" s="156">
        <v>435245.29</v>
      </c>
      <c r="N88" s="156">
        <v>473544</v>
      </c>
      <c r="O88" s="156">
        <v>441044</v>
      </c>
      <c r="P88" s="156">
        <v>441044</v>
      </c>
      <c r="Q88" s="156">
        <v>441044</v>
      </c>
      <c r="R88" s="156">
        <v>441044</v>
      </c>
      <c r="S88" s="156">
        <f t="shared" si="27"/>
        <v>-32500</v>
      </c>
      <c r="T88" s="156">
        <f t="shared" si="28"/>
        <v>0</v>
      </c>
      <c r="U88" s="140">
        <f t="shared" si="29"/>
        <v>-6.8631426013211025E-2</v>
      </c>
      <c r="V88" s="140">
        <f t="shared" si="30"/>
        <v>-4.2858066813651743E-2</v>
      </c>
      <c r="W88" s="140">
        <f t="shared" si="31"/>
        <v>1.2322795813749255E-2</v>
      </c>
      <c r="X88" s="140">
        <f t="shared" si="32"/>
        <v>-1.6025695515153756E-2</v>
      </c>
      <c r="Y88" s="140">
        <f t="shared" si="33"/>
        <v>-4.4540688875039933E-3</v>
      </c>
      <c r="Z88" s="140">
        <f t="shared" si="34"/>
        <v>5.2940849629028307E-2</v>
      </c>
      <c r="AA88" s="140">
        <f t="shared" si="35"/>
        <v>0.16343369358516768</v>
      </c>
      <c r="AB88" s="140">
        <f t="shared" si="36"/>
        <v>0.13085358167744296</v>
      </c>
      <c r="AC88" s="140">
        <f t="shared" si="37"/>
        <v>7.0557542490516212E-2</v>
      </c>
      <c r="AD88" s="140">
        <f t="shared" si="38"/>
        <v>0.23997507187783126</v>
      </c>
      <c r="AE88" s="140">
        <f t="shared" si="39"/>
        <v>-6.8631426013211025E-2</v>
      </c>
      <c r="AF88" s="140">
        <f t="shared" si="40"/>
        <v>-6.8631426013211025E-2</v>
      </c>
      <c r="AG88" s="140">
        <f t="shared" si="41"/>
        <v>-6.8631426013211025E-2</v>
      </c>
      <c r="AH88" s="140">
        <f t="shared" si="42"/>
        <v>-6.8631426013211025E-2</v>
      </c>
      <c r="AI88" s="140">
        <f t="shared" si="43"/>
        <v>0.15487381447402185</v>
      </c>
      <c r="AJ88" s="140">
        <f t="shared" si="44"/>
        <v>0.15487381447402185</v>
      </c>
      <c r="AK88" s="140">
        <f t="shared" si="45"/>
        <v>0.15487381447402185</v>
      </c>
      <c r="AL88" s="140">
        <f t="shared" si="46"/>
        <v>0.15487381447402185</v>
      </c>
      <c r="AM88" t="str">
        <f t="shared" si="47"/>
        <v>4110-000: Regular Salaries</v>
      </c>
      <c r="AN88" s="140">
        <f t="shared" si="48"/>
        <v>7.651238906272663E-2</v>
      </c>
      <c r="AO88" s="140">
        <f t="shared" si="49"/>
        <v>-0.14514381507593765</v>
      </c>
      <c r="AP88" s="1" t="str">
        <f>IF(AND(AO88&gt;0, _xlfn.XLOOKUP($AM88, Discretionaries!$A$2:'Discretionaries'!$A$150, Discretionaries!$B$2:'Discretionaries'!$B$150)), (1+AN88)*$N88, "")</f>
        <v/>
      </c>
      <c r="AQ88" s="1" t="str">
        <f>IF(AND(AO88&gt;0, _xlfn.XLOOKUP($AM88, Discretionaries!$A$2:'Discretionaries'!$A$150, Discretionaries!$B$2:'Discretionaries'!$B$150)),AP88-$Q88,"")</f>
        <v/>
      </c>
      <c r="AR88" s="140">
        <f>IF(AG88="", 0-CPI!$B$15, AG88-CPI!$B$15)</f>
        <v>-0.10763142601321102</v>
      </c>
      <c r="AS88" s="1" t="str">
        <f>IF(AND(AR88&gt;0, _xlfn.XLOOKUP($AM88, Discretionaries!$A$2:'Discretionaries'!$A$150, Discretionaries!$B$2:'Discretionaries'!$B$150)), (1+CPI!$B$15)*$N88, "")</f>
        <v/>
      </c>
      <c r="AT88" s="1" t="str">
        <f>IF(AND(AR88&gt;0, _xlfn.XLOOKUP($AM88, Discretionaries!$A$2:'Discretionaries'!$A$150, Discretionaries!$B$2:'Discretionaries'!$B$150)),AS88-$Q88,"")</f>
        <v/>
      </c>
    </row>
    <row r="89" spans="1:46" x14ac:dyDescent="0.3">
      <c r="A89" t="s">
        <v>416</v>
      </c>
      <c r="B89" t="str">
        <f t="shared" si="25"/>
        <v>08</v>
      </c>
      <c r="C89" t="s">
        <v>408</v>
      </c>
      <c r="D89" t="str">
        <f t="shared" si="26"/>
        <v>00</v>
      </c>
      <c r="E89" t="s">
        <v>11</v>
      </c>
      <c r="F89" s="139" t="s">
        <v>37</v>
      </c>
      <c r="G89" t="s">
        <v>38</v>
      </c>
      <c r="H89" s="156">
        <v>0</v>
      </c>
      <c r="I89" s="156">
        <v>0</v>
      </c>
      <c r="J89" s="156">
        <v>0</v>
      </c>
      <c r="K89" s="156">
        <v>2400</v>
      </c>
      <c r="L89" s="156">
        <v>0</v>
      </c>
      <c r="M89" s="156">
        <v>0</v>
      </c>
      <c r="N89" s="156">
        <v>0</v>
      </c>
      <c r="O89" s="156">
        <v>0</v>
      </c>
      <c r="P89" s="156">
        <v>0</v>
      </c>
      <c r="Q89" s="156">
        <v>0</v>
      </c>
      <c r="R89" s="156">
        <v>0</v>
      </c>
      <c r="S89" s="156">
        <f t="shared" si="27"/>
        <v>0</v>
      </c>
      <c r="T89" s="156">
        <f t="shared" si="28"/>
        <v>0</v>
      </c>
      <c r="U89" s="140" t="str">
        <f t="shared" si="29"/>
        <v/>
      </c>
      <c r="V89" s="140" t="str">
        <f t="shared" si="30"/>
        <v/>
      </c>
      <c r="W89" s="140" t="str">
        <f t="shared" si="31"/>
        <v/>
      </c>
      <c r="X89" s="140" t="str">
        <f t="shared" si="32"/>
        <v/>
      </c>
      <c r="Y89" s="140" t="str">
        <f t="shared" si="33"/>
        <v/>
      </c>
      <c r="Z89" s="140" t="str">
        <f t="shared" si="34"/>
        <v/>
      </c>
      <c r="AA89" s="140" t="str">
        <f t="shared" si="35"/>
        <v/>
      </c>
      <c r="AB89" s="140">
        <f t="shared" si="36"/>
        <v>-1</v>
      </c>
      <c r="AC89" s="140" t="str">
        <f t="shared" si="37"/>
        <v/>
      </c>
      <c r="AD89" s="140" t="str">
        <f t="shared" si="38"/>
        <v/>
      </c>
      <c r="AE89" s="140" t="str">
        <f t="shared" si="39"/>
        <v/>
      </c>
      <c r="AF89" s="140" t="str">
        <f t="shared" si="40"/>
        <v/>
      </c>
      <c r="AG89" s="140" t="str">
        <f t="shared" si="41"/>
        <v/>
      </c>
      <c r="AH89" s="140" t="str">
        <f t="shared" si="42"/>
        <v/>
      </c>
      <c r="AI89" s="140" t="str">
        <f t="shared" si="43"/>
        <v/>
      </c>
      <c r="AJ89" s="140" t="str">
        <f t="shared" si="44"/>
        <v/>
      </c>
      <c r="AK89" s="140" t="str">
        <f t="shared" si="45"/>
        <v/>
      </c>
      <c r="AL89" s="140" t="str">
        <f t="shared" si="46"/>
        <v/>
      </c>
      <c r="AM89" t="str">
        <f t="shared" si="47"/>
        <v>4120-000: Part-time Salaries</v>
      </c>
      <c r="AN89" s="140">
        <f t="shared" si="48"/>
        <v>0</v>
      </c>
      <c r="AO89" s="140">
        <f t="shared" si="49"/>
        <v>0</v>
      </c>
      <c r="AP89" s="1" t="str">
        <f>IF(AND(AO89&gt;0, _xlfn.XLOOKUP($AM89, Discretionaries!$A$2:'Discretionaries'!$A$150, Discretionaries!$B$2:'Discretionaries'!$B$150)), (1+AN89)*$N89, "")</f>
        <v/>
      </c>
      <c r="AQ89" s="1" t="str">
        <f>IF(AND(AO89&gt;0, _xlfn.XLOOKUP($AM89, Discretionaries!$A$2:'Discretionaries'!$A$150, Discretionaries!$B$2:'Discretionaries'!$B$150)),AP89-$Q89,"")</f>
        <v/>
      </c>
      <c r="AR89" s="140">
        <f>IF(AG89="", 0-CPI!$B$15, AG89-CPI!$B$15)</f>
        <v>-3.8999999999999993E-2</v>
      </c>
      <c r="AS89" s="1" t="str">
        <f>IF(AND(AR89&gt;0, _xlfn.XLOOKUP($AM89, Discretionaries!$A$2:'Discretionaries'!$A$150, Discretionaries!$B$2:'Discretionaries'!$B$150)), (1+CPI!$B$15)*$N89, "")</f>
        <v/>
      </c>
      <c r="AT89" s="1" t="str">
        <f>IF(AND(AR89&gt;0, _xlfn.XLOOKUP($AM89, Discretionaries!$A$2:'Discretionaries'!$A$150, Discretionaries!$B$2:'Discretionaries'!$B$150)),AS89-$Q89,"")</f>
        <v/>
      </c>
    </row>
    <row r="90" spans="1:46" x14ac:dyDescent="0.3">
      <c r="A90" t="s">
        <v>416</v>
      </c>
      <c r="B90" t="str">
        <f t="shared" si="25"/>
        <v>08</v>
      </c>
      <c r="C90" t="s">
        <v>408</v>
      </c>
      <c r="D90" t="str">
        <f t="shared" si="26"/>
        <v>00</v>
      </c>
      <c r="E90" t="s">
        <v>11</v>
      </c>
      <c r="F90" s="139" t="s">
        <v>12</v>
      </c>
      <c r="G90" t="s">
        <v>13</v>
      </c>
      <c r="H90" s="156">
        <v>2500</v>
      </c>
      <c r="I90" s="156">
        <v>2500</v>
      </c>
      <c r="J90" s="156">
        <v>2500</v>
      </c>
      <c r="K90" s="156">
        <v>2500</v>
      </c>
      <c r="L90" s="156">
        <v>2500</v>
      </c>
      <c r="M90" s="156">
        <v>2500</v>
      </c>
      <c r="N90" s="156">
        <v>2500</v>
      </c>
      <c r="O90" s="156">
        <v>2500</v>
      </c>
      <c r="P90" s="156">
        <v>2500</v>
      </c>
      <c r="Q90" s="156">
        <v>2500</v>
      </c>
      <c r="R90" s="156">
        <v>2500</v>
      </c>
      <c r="S90" s="156">
        <f t="shared" si="27"/>
        <v>0</v>
      </c>
      <c r="T90" s="156">
        <f t="shared" si="28"/>
        <v>0</v>
      </c>
      <c r="U90" s="140">
        <f t="shared" si="29"/>
        <v>0</v>
      </c>
      <c r="V90" s="140">
        <f t="shared" si="30"/>
        <v>0</v>
      </c>
      <c r="W90" s="140">
        <f t="shared" si="31"/>
        <v>0</v>
      </c>
      <c r="X90" s="140">
        <f t="shared" si="32"/>
        <v>0</v>
      </c>
      <c r="Y90" s="140">
        <f t="shared" si="33"/>
        <v>0</v>
      </c>
      <c r="Z90" s="140">
        <f t="shared" si="34"/>
        <v>0</v>
      </c>
      <c r="AA90" s="140">
        <f t="shared" si="35"/>
        <v>0</v>
      </c>
      <c r="AB90" s="140">
        <f t="shared" si="36"/>
        <v>0</v>
      </c>
      <c r="AC90" s="140">
        <f t="shared" si="37"/>
        <v>0</v>
      </c>
      <c r="AD90" s="140">
        <f t="shared" si="38"/>
        <v>0</v>
      </c>
      <c r="AE90" s="140">
        <f t="shared" si="39"/>
        <v>0</v>
      </c>
      <c r="AF90" s="140">
        <f t="shared" si="40"/>
        <v>0</v>
      </c>
      <c r="AG90" s="140">
        <f t="shared" si="41"/>
        <v>0</v>
      </c>
      <c r="AH90" s="140">
        <f t="shared" si="42"/>
        <v>0</v>
      </c>
      <c r="AI90" s="140">
        <f t="shared" si="43"/>
        <v>0</v>
      </c>
      <c r="AJ90" s="140">
        <f t="shared" si="44"/>
        <v>0</v>
      </c>
      <c r="AK90" s="140">
        <f t="shared" si="45"/>
        <v>0</v>
      </c>
      <c r="AL90" s="140">
        <f t="shared" si="46"/>
        <v>0</v>
      </c>
      <c r="AM90" t="str">
        <f t="shared" si="47"/>
        <v>4130-000: Elected Salaries</v>
      </c>
      <c r="AN90" s="140">
        <f t="shared" si="48"/>
        <v>0</v>
      </c>
      <c r="AO90" s="140">
        <f t="shared" si="49"/>
        <v>0</v>
      </c>
      <c r="AP90" s="1" t="str">
        <f>IF(AND(AO90&gt;0, _xlfn.XLOOKUP($AM90, Discretionaries!$A$2:'Discretionaries'!$A$150, Discretionaries!$B$2:'Discretionaries'!$B$150)), (1+AN90)*$N90, "")</f>
        <v/>
      </c>
      <c r="AQ90" s="1" t="str">
        <f>IF(AND(AO90&gt;0, _xlfn.XLOOKUP($AM90, Discretionaries!$A$2:'Discretionaries'!$A$150, Discretionaries!$B$2:'Discretionaries'!$B$150)),AP90-$Q90,"")</f>
        <v/>
      </c>
      <c r="AR90" s="140">
        <f>IF(AG90="", 0-CPI!$B$15, AG90-CPI!$B$15)</f>
        <v>-3.8999999999999993E-2</v>
      </c>
      <c r="AS90" s="1" t="str">
        <f>IF(AND(AR90&gt;0, _xlfn.XLOOKUP($AM90, Discretionaries!$A$2:'Discretionaries'!$A$150, Discretionaries!$B$2:'Discretionaries'!$B$150)), (1+CPI!$B$15)*$N90, "")</f>
        <v/>
      </c>
      <c r="AT90" s="1" t="str">
        <f>IF(AND(AR90&gt;0, _xlfn.XLOOKUP($AM90, Discretionaries!$A$2:'Discretionaries'!$A$150, Discretionaries!$B$2:'Discretionaries'!$B$150)),AS90-$Q90,"")</f>
        <v/>
      </c>
    </row>
    <row r="91" spans="1:46" x14ac:dyDescent="0.3">
      <c r="A91" t="s">
        <v>416</v>
      </c>
      <c r="B91" t="str">
        <f t="shared" si="25"/>
        <v>08</v>
      </c>
      <c r="C91" t="s">
        <v>408</v>
      </c>
      <c r="D91" t="str">
        <f t="shared" si="26"/>
        <v>00</v>
      </c>
      <c r="E91" t="s">
        <v>11</v>
      </c>
      <c r="F91" s="139" t="s">
        <v>39</v>
      </c>
      <c r="G91" t="s">
        <v>40</v>
      </c>
      <c r="H91" s="156">
        <v>1000</v>
      </c>
      <c r="I91" s="156">
        <v>4869.01</v>
      </c>
      <c r="J91" s="156">
        <v>1000</v>
      </c>
      <c r="K91" s="156">
        <v>2643.93</v>
      </c>
      <c r="L91" s="156">
        <v>1000</v>
      </c>
      <c r="M91" s="156">
        <v>1980.98</v>
      </c>
      <c r="N91" s="156">
        <v>1750</v>
      </c>
      <c r="O91" s="156">
        <v>1750</v>
      </c>
      <c r="P91" s="156">
        <v>1750</v>
      </c>
      <c r="Q91" s="156">
        <v>1750</v>
      </c>
      <c r="R91" s="156">
        <v>1750</v>
      </c>
      <c r="S91" s="156">
        <f t="shared" si="27"/>
        <v>0</v>
      </c>
      <c r="T91" s="156">
        <f t="shared" si="28"/>
        <v>0</v>
      </c>
      <c r="U91" s="140">
        <f t="shared" si="29"/>
        <v>0</v>
      </c>
      <c r="V91" s="140">
        <f t="shared" si="30"/>
        <v>3.8690100000000003</v>
      </c>
      <c r="W91" s="140">
        <f t="shared" si="31"/>
        <v>1.6439299999999999</v>
      </c>
      <c r="X91" s="140">
        <f t="shared" si="32"/>
        <v>0.98097999999999996</v>
      </c>
      <c r="Y91" s="140">
        <f t="shared" si="33"/>
        <v>0</v>
      </c>
      <c r="Z91" s="140">
        <f t="shared" si="34"/>
        <v>-0.45698817624116611</v>
      </c>
      <c r="AA91" s="140">
        <f t="shared" si="35"/>
        <v>0</v>
      </c>
      <c r="AB91" s="140">
        <f t="shared" si="36"/>
        <v>-0.25074415737179118</v>
      </c>
      <c r="AC91" s="140">
        <f t="shared" si="37"/>
        <v>0.75</v>
      </c>
      <c r="AD91" s="140">
        <f t="shared" si="38"/>
        <v>0.75</v>
      </c>
      <c r="AE91" s="140">
        <f t="shared" si="39"/>
        <v>0</v>
      </c>
      <c r="AF91" s="140">
        <f t="shared" si="40"/>
        <v>0</v>
      </c>
      <c r="AG91" s="140">
        <f t="shared" si="41"/>
        <v>0</v>
      </c>
      <c r="AH91" s="140">
        <f t="shared" si="42"/>
        <v>0</v>
      </c>
      <c r="AI91" s="140">
        <f t="shared" si="43"/>
        <v>0.75</v>
      </c>
      <c r="AJ91" s="140">
        <f t="shared" si="44"/>
        <v>0.75</v>
      </c>
      <c r="AK91" s="140">
        <f t="shared" si="45"/>
        <v>0.75</v>
      </c>
      <c r="AL91" s="140">
        <f t="shared" si="46"/>
        <v>0.75</v>
      </c>
      <c r="AM91" t="str">
        <f t="shared" si="47"/>
        <v>4140-000: Overtime Salaries</v>
      </c>
      <c r="AN91" s="140">
        <f t="shared" si="48"/>
        <v>0.25</v>
      </c>
      <c r="AO91" s="140">
        <f t="shared" si="49"/>
        <v>-0.25</v>
      </c>
      <c r="AP91" s="1" t="str">
        <f>IF(AND(AO91&gt;0, _xlfn.XLOOKUP($AM91, Discretionaries!$A$2:'Discretionaries'!$A$150, Discretionaries!$B$2:'Discretionaries'!$B$150)), (1+AN91)*$N91, "")</f>
        <v/>
      </c>
      <c r="AQ91" s="1" t="str">
        <f>IF(AND(AO91&gt;0, _xlfn.XLOOKUP($AM91, Discretionaries!$A$2:'Discretionaries'!$A$150, Discretionaries!$B$2:'Discretionaries'!$B$150)),AP91-$Q91,"")</f>
        <v/>
      </c>
      <c r="AR91" s="140">
        <f>IF(AG91="", 0-CPI!$B$15, AG91-CPI!$B$15)</f>
        <v>-3.8999999999999993E-2</v>
      </c>
      <c r="AS91" s="1" t="str">
        <f>IF(AND(AR91&gt;0, _xlfn.XLOOKUP($AM91, Discretionaries!$A$2:'Discretionaries'!$A$150, Discretionaries!$B$2:'Discretionaries'!$B$150)), (1+CPI!$B$15)*$N91, "")</f>
        <v/>
      </c>
      <c r="AT91" s="1" t="str">
        <f>IF(AND(AR91&gt;0, _xlfn.XLOOKUP($AM91, Discretionaries!$A$2:'Discretionaries'!$A$150, Discretionaries!$B$2:'Discretionaries'!$B$150)),AS91-$Q91,"")</f>
        <v/>
      </c>
    </row>
    <row r="92" spans="1:46" x14ac:dyDescent="0.3">
      <c r="A92" t="s">
        <v>416</v>
      </c>
      <c r="B92" t="str">
        <f t="shared" si="25"/>
        <v>08</v>
      </c>
      <c r="C92" t="s">
        <v>408</v>
      </c>
      <c r="D92" t="str">
        <f t="shared" si="26"/>
        <v>00</v>
      </c>
      <c r="E92" t="s">
        <v>14</v>
      </c>
      <c r="F92" s="139" t="s">
        <v>41</v>
      </c>
      <c r="G92" t="s">
        <v>42</v>
      </c>
      <c r="H92" s="156">
        <v>4268</v>
      </c>
      <c r="I92" s="156">
        <v>3158.2</v>
      </c>
      <c r="J92" s="156">
        <v>4291</v>
      </c>
      <c r="K92" s="156">
        <v>5112.7299999999996</v>
      </c>
      <c r="L92" s="156">
        <v>5043</v>
      </c>
      <c r="M92" s="156">
        <v>4319.6899999999996</v>
      </c>
      <c r="N92" s="156">
        <v>3300</v>
      </c>
      <c r="O92" s="156">
        <v>3365</v>
      </c>
      <c r="P92" s="156">
        <v>3365</v>
      </c>
      <c r="Q92" s="156">
        <v>3365</v>
      </c>
      <c r="R92" s="156">
        <v>3365</v>
      </c>
      <c r="S92" s="156">
        <f t="shared" si="27"/>
        <v>65</v>
      </c>
      <c r="T92" s="156">
        <f t="shared" si="28"/>
        <v>0</v>
      </c>
      <c r="U92" s="140">
        <f t="shared" si="29"/>
        <v>1.9696969696969695E-2</v>
      </c>
      <c r="V92" s="140">
        <f t="shared" si="30"/>
        <v>-0.26002811621368327</v>
      </c>
      <c r="W92" s="140">
        <f t="shared" si="31"/>
        <v>0.19150081566068505</v>
      </c>
      <c r="X92" s="140">
        <f t="shared" si="32"/>
        <v>-0.14342851477295268</v>
      </c>
      <c r="Y92" s="140">
        <f t="shared" si="33"/>
        <v>5.3889409559512652E-3</v>
      </c>
      <c r="Z92" s="140">
        <f t="shared" si="34"/>
        <v>0.61887467544803998</v>
      </c>
      <c r="AA92" s="140">
        <f t="shared" si="35"/>
        <v>0.1752505243532976</v>
      </c>
      <c r="AB92" s="140">
        <f t="shared" si="36"/>
        <v>-0.15511087031781456</v>
      </c>
      <c r="AC92" s="140">
        <f t="shared" si="37"/>
        <v>-0.34562760261748959</v>
      </c>
      <c r="AD92" s="140">
        <f t="shared" si="38"/>
        <v>-0.22680412371134021</v>
      </c>
      <c r="AE92" s="140">
        <f t="shared" si="39"/>
        <v>1.9696969696969695E-2</v>
      </c>
      <c r="AF92" s="140">
        <f t="shared" si="40"/>
        <v>1.9696969696969695E-2</v>
      </c>
      <c r="AG92" s="140">
        <f t="shared" si="41"/>
        <v>1.9696969696969695E-2</v>
      </c>
      <c r="AH92" s="140">
        <f t="shared" si="42"/>
        <v>1.9696969696969695E-2</v>
      </c>
      <c r="AI92" s="140">
        <f t="shared" si="43"/>
        <v>-0.21157450796626054</v>
      </c>
      <c r="AJ92" s="140">
        <f t="shared" si="44"/>
        <v>-0.21157450796626054</v>
      </c>
      <c r="AK92" s="140">
        <f t="shared" si="45"/>
        <v>-0.21157450796626054</v>
      </c>
      <c r="AL92" s="140">
        <f t="shared" si="46"/>
        <v>-0.21157450796626054</v>
      </c>
      <c r="AM92" t="str">
        <f t="shared" si="47"/>
        <v>4215-000: STD, LTD, &amp; Life Benefits</v>
      </c>
      <c r="AN92" s="140">
        <f t="shared" si="48"/>
        <v>-5.4996045769413575E-2</v>
      </c>
      <c r="AO92" s="140">
        <f t="shared" si="49"/>
        <v>7.4693015466383267E-2</v>
      </c>
      <c r="AP92" s="1" t="str">
        <f>IF(AND(AO92&gt;0, _xlfn.XLOOKUP($AM92, Discretionaries!$A$2:'Discretionaries'!$A$150, Discretionaries!$B$2:'Discretionaries'!$B$150)), (1+AN92)*$N92, "")</f>
        <v/>
      </c>
      <c r="AQ92" s="1" t="str">
        <f>IF(AND(AO92&gt;0, _xlfn.XLOOKUP($AM92, Discretionaries!$A$2:'Discretionaries'!$A$150, Discretionaries!$B$2:'Discretionaries'!$B$150)),AP92-$Q92,"")</f>
        <v/>
      </c>
      <c r="AR92" s="140">
        <f>IF(AG92="", 0-CPI!$B$15, AG92-CPI!$B$15)</f>
        <v>-1.9303030303030298E-2</v>
      </c>
      <c r="AS92" s="1" t="str">
        <f>IF(AND(AR92&gt;0, _xlfn.XLOOKUP($AM92, Discretionaries!$A$2:'Discretionaries'!$A$150, Discretionaries!$B$2:'Discretionaries'!$B$150)), (1+CPI!$B$15)*$N92, "")</f>
        <v/>
      </c>
      <c r="AT92" s="1" t="str">
        <f>IF(AND(AR92&gt;0, _xlfn.XLOOKUP($AM92, Discretionaries!$A$2:'Discretionaries'!$A$150, Discretionaries!$B$2:'Discretionaries'!$B$150)),AS92-$Q92,"")</f>
        <v/>
      </c>
    </row>
    <row r="93" spans="1:46" x14ac:dyDescent="0.3">
      <c r="A93" t="s">
        <v>416</v>
      </c>
      <c r="B93" t="str">
        <f t="shared" si="25"/>
        <v>08</v>
      </c>
      <c r="C93" t="s">
        <v>408</v>
      </c>
      <c r="D93" t="str">
        <f t="shared" si="26"/>
        <v>00</v>
      </c>
      <c r="E93" t="s">
        <v>14</v>
      </c>
      <c r="F93" s="139" t="s">
        <v>15</v>
      </c>
      <c r="G93" t="s">
        <v>16</v>
      </c>
      <c r="H93" s="156">
        <v>23895</v>
      </c>
      <c r="I93" s="156">
        <v>20476.48</v>
      </c>
      <c r="J93" s="156">
        <v>23790</v>
      </c>
      <c r="K93" s="156">
        <v>24738.13</v>
      </c>
      <c r="L93" s="156">
        <v>27642</v>
      </c>
      <c r="M93" s="156">
        <v>26706.9</v>
      </c>
      <c r="N93" s="156">
        <v>29627</v>
      </c>
      <c r="O93" s="156">
        <v>27609</v>
      </c>
      <c r="P93" s="156">
        <v>27609</v>
      </c>
      <c r="Q93" s="156">
        <v>27609</v>
      </c>
      <c r="R93" s="156">
        <v>27609</v>
      </c>
      <c r="S93" s="156">
        <f t="shared" si="27"/>
        <v>-2018</v>
      </c>
      <c r="T93" s="156">
        <f t="shared" si="28"/>
        <v>0</v>
      </c>
      <c r="U93" s="140">
        <f t="shared" si="29"/>
        <v>-6.8113545077125595E-2</v>
      </c>
      <c r="V93" s="140">
        <f t="shared" si="30"/>
        <v>-0.14306423938062357</v>
      </c>
      <c r="W93" s="140">
        <f t="shared" si="31"/>
        <v>3.9854140395124048E-2</v>
      </c>
      <c r="X93" s="140">
        <f t="shared" si="32"/>
        <v>-3.3828955936618138E-2</v>
      </c>
      <c r="Y93" s="140">
        <f t="shared" si="33"/>
        <v>-4.3942247332077839E-3</v>
      </c>
      <c r="Z93" s="140">
        <f t="shared" si="34"/>
        <v>0.20812415024457337</v>
      </c>
      <c r="AA93" s="140">
        <f t="shared" si="35"/>
        <v>0.16191677175283734</v>
      </c>
      <c r="AB93" s="140">
        <f t="shared" si="36"/>
        <v>7.9584430997815939E-2</v>
      </c>
      <c r="AC93" s="140">
        <f t="shared" si="37"/>
        <v>7.1811012227769339E-2</v>
      </c>
      <c r="AD93" s="140">
        <f t="shared" si="38"/>
        <v>0.23988282067378114</v>
      </c>
      <c r="AE93" s="140">
        <f t="shared" si="39"/>
        <v>-6.8113545077125595E-2</v>
      </c>
      <c r="AF93" s="140">
        <f t="shared" si="40"/>
        <v>-6.8113545077125595E-2</v>
      </c>
      <c r="AG93" s="140">
        <f t="shared" si="41"/>
        <v>-6.8113545077125595E-2</v>
      </c>
      <c r="AH93" s="140">
        <f t="shared" si="42"/>
        <v>-6.8113545077125595E-2</v>
      </c>
      <c r="AI93" s="140">
        <f t="shared" si="43"/>
        <v>0.15543000627746389</v>
      </c>
      <c r="AJ93" s="140">
        <f t="shared" si="44"/>
        <v>0.15543000627746389</v>
      </c>
      <c r="AK93" s="140">
        <f t="shared" si="45"/>
        <v>0.15543000627746389</v>
      </c>
      <c r="AL93" s="140">
        <f t="shared" si="46"/>
        <v>0.15543000627746389</v>
      </c>
      <c r="AM93" t="str">
        <f t="shared" si="47"/>
        <v>4220-000: FICA Benefits</v>
      </c>
      <c r="AN93" s="140">
        <f t="shared" si="48"/>
        <v>7.6444519749132966E-2</v>
      </c>
      <c r="AO93" s="140">
        <f t="shared" si="49"/>
        <v>-0.14455806482625855</v>
      </c>
      <c r="AP93" s="1" t="str">
        <f>IF(AND(AO93&gt;0, _xlfn.XLOOKUP($AM93, Discretionaries!$A$2:'Discretionaries'!$A$150, Discretionaries!$B$2:'Discretionaries'!$B$150)), (1+AN93)*$N93, "")</f>
        <v/>
      </c>
      <c r="AQ93" s="1" t="str">
        <f>IF(AND(AO93&gt;0, _xlfn.XLOOKUP($AM93, Discretionaries!$A$2:'Discretionaries'!$A$150, Discretionaries!$B$2:'Discretionaries'!$B$150)),AP93-$Q93,"")</f>
        <v/>
      </c>
      <c r="AR93" s="140">
        <f>IF(AG93="", 0-CPI!$B$15, AG93-CPI!$B$15)</f>
        <v>-0.10711354507712559</v>
      </c>
      <c r="AS93" s="1" t="str">
        <f>IF(AND(AR93&gt;0, _xlfn.XLOOKUP($AM93, Discretionaries!$A$2:'Discretionaries'!$A$150, Discretionaries!$B$2:'Discretionaries'!$B$150)), (1+CPI!$B$15)*$N93, "")</f>
        <v/>
      </c>
      <c r="AT93" s="1" t="str">
        <f>IF(AND(AR93&gt;0, _xlfn.XLOOKUP($AM93, Discretionaries!$A$2:'Discretionaries'!$A$150, Discretionaries!$B$2:'Discretionaries'!$B$150)),AS93-$Q93,"")</f>
        <v/>
      </c>
    </row>
    <row r="94" spans="1:46" x14ac:dyDescent="0.3">
      <c r="A94" t="s">
        <v>416</v>
      </c>
      <c r="B94" t="str">
        <f t="shared" si="25"/>
        <v>08</v>
      </c>
      <c r="C94" t="s">
        <v>408</v>
      </c>
      <c r="D94" t="str">
        <f t="shared" si="26"/>
        <v>00</v>
      </c>
      <c r="E94" t="s">
        <v>14</v>
      </c>
      <c r="F94" s="139" t="s">
        <v>17</v>
      </c>
      <c r="G94" t="s">
        <v>18</v>
      </c>
      <c r="H94" s="156">
        <v>5589</v>
      </c>
      <c r="I94" s="156">
        <v>4788.87</v>
      </c>
      <c r="J94" s="156">
        <v>5695</v>
      </c>
      <c r="K94" s="156">
        <v>5785.51</v>
      </c>
      <c r="L94" s="156">
        <v>6465</v>
      </c>
      <c r="M94" s="156">
        <v>6245.97</v>
      </c>
      <c r="N94" s="156">
        <v>6929</v>
      </c>
      <c r="O94" s="156">
        <v>6457</v>
      </c>
      <c r="P94" s="156">
        <v>6457</v>
      </c>
      <c r="Q94" s="156">
        <v>6457</v>
      </c>
      <c r="R94" s="156">
        <v>6457</v>
      </c>
      <c r="S94" s="156">
        <f t="shared" si="27"/>
        <v>-472</v>
      </c>
      <c r="T94" s="156">
        <f t="shared" si="28"/>
        <v>0</v>
      </c>
      <c r="U94" s="140">
        <f t="shared" si="29"/>
        <v>-6.8119497763024964E-2</v>
      </c>
      <c r="V94" s="140">
        <f t="shared" si="30"/>
        <v>-0.14316156736446595</v>
      </c>
      <c r="W94" s="140">
        <f t="shared" si="31"/>
        <v>1.5892888498683092E-2</v>
      </c>
      <c r="X94" s="140">
        <f t="shared" si="32"/>
        <v>-3.3879350348027804E-2</v>
      </c>
      <c r="Y94" s="140">
        <f t="shared" si="33"/>
        <v>1.8965825729110753E-2</v>
      </c>
      <c r="Z94" s="140">
        <f t="shared" si="34"/>
        <v>0.20811590208128439</v>
      </c>
      <c r="AA94" s="140">
        <f t="shared" si="35"/>
        <v>0.13520632133450394</v>
      </c>
      <c r="AB94" s="140">
        <f t="shared" si="36"/>
        <v>7.958848917381528E-2</v>
      </c>
      <c r="AC94" s="140">
        <f t="shared" si="37"/>
        <v>7.1771075019334885E-2</v>
      </c>
      <c r="AD94" s="140">
        <f t="shared" si="38"/>
        <v>0.23975666487743783</v>
      </c>
      <c r="AE94" s="140">
        <f t="shared" si="39"/>
        <v>-6.8119497763024964E-2</v>
      </c>
      <c r="AF94" s="140">
        <f t="shared" si="40"/>
        <v>-6.8119497763024964E-2</v>
      </c>
      <c r="AG94" s="140">
        <f t="shared" si="41"/>
        <v>-6.8119497763024964E-2</v>
      </c>
      <c r="AH94" s="140">
        <f t="shared" si="42"/>
        <v>-6.8119497763024964E-2</v>
      </c>
      <c r="AI94" s="140">
        <f t="shared" si="43"/>
        <v>0.15530506351762391</v>
      </c>
      <c r="AJ94" s="140">
        <f t="shared" si="44"/>
        <v>0.15530506351762391</v>
      </c>
      <c r="AK94" s="140">
        <f t="shared" si="45"/>
        <v>0.15530506351762391</v>
      </c>
      <c r="AL94" s="140">
        <f t="shared" si="46"/>
        <v>0.15530506351762391</v>
      </c>
      <c r="AM94" t="str">
        <f t="shared" si="47"/>
        <v>4225-000: Medicare Benefits</v>
      </c>
      <c r="AN94" s="140">
        <f t="shared" si="48"/>
        <v>7.5314407360983202E-2</v>
      </c>
      <c r="AO94" s="140">
        <f t="shared" si="49"/>
        <v>-0.14343390512400817</v>
      </c>
      <c r="AP94" s="1" t="str">
        <f>IF(AND(AO94&gt;0, _xlfn.XLOOKUP($AM94, Discretionaries!$A$2:'Discretionaries'!$A$150, Discretionaries!$B$2:'Discretionaries'!$B$150)), (1+AN94)*$N94, "")</f>
        <v/>
      </c>
      <c r="AQ94" s="1" t="str">
        <f>IF(AND(AO94&gt;0, _xlfn.XLOOKUP($AM94, Discretionaries!$A$2:'Discretionaries'!$A$150, Discretionaries!$B$2:'Discretionaries'!$B$150)),AP94-$Q94,"")</f>
        <v/>
      </c>
      <c r="AR94" s="140">
        <f>IF(AG94="", 0-CPI!$B$15, AG94-CPI!$B$15)</f>
        <v>-0.10711949776302496</v>
      </c>
      <c r="AS94" s="1" t="str">
        <f>IF(AND(AR94&gt;0, _xlfn.XLOOKUP($AM94, Discretionaries!$A$2:'Discretionaries'!$A$150, Discretionaries!$B$2:'Discretionaries'!$B$150)), (1+CPI!$B$15)*$N94, "")</f>
        <v/>
      </c>
      <c r="AT94" s="1" t="str">
        <f>IF(AND(AR94&gt;0, _xlfn.XLOOKUP($AM94, Discretionaries!$A$2:'Discretionaries'!$A$150, Discretionaries!$B$2:'Discretionaries'!$B$150)),AS94-$Q94,"")</f>
        <v/>
      </c>
    </row>
    <row r="95" spans="1:46" x14ac:dyDescent="0.3">
      <c r="A95" t="s">
        <v>416</v>
      </c>
      <c r="B95" t="str">
        <f t="shared" si="25"/>
        <v>08</v>
      </c>
      <c r="C95" t="s">
        <v>408</v>
      </c>
      <c r="D95" t="str">
        <f t="shared" si="26"/>
        <v>00</v>
      </c>
      <c r="E95" t="s">
        <v>14</v>
      </c>
      <c r="F95" s="139" t="s">
        <v>43</v>
      </c>
      <c r="G95" t="s">
        <v>44</v>
      </c>
      <c r="H95" s="156">
        <v>53836</v>
      </c>
      <c r="I95" s="156">
        <v>47395.4</v>
      </c>
      <c r="J95" s="156">
        <v>45117</v>
      </c>
      <c r="K95" s="156">
        <v>48116.959999999999</v>
      </c>
      <c r="L95" s="156">
        <v>59984</v>
      </c>
      <c r="M95" s="156">
        <v>58426.34</v>
      </c>
      <c r="N95" s="156">
        <v>60601</v>
      </c>
      <c r="O95" s="156">
        <v>56457</v>
      </c>
      <c r="P95" s="156">
        <v>56457</v>
      </c>
      <c r="Q95" s="156">
        <v>56457</v>
      </c>
      <c r="R95" s="156">
        <v>56457</v>
      </c>
      <c r="S95" s="156">
        <f t="shared" si="27"/>
        <v>-4144</v>
      </c>
      <c r="T95" s="156">
        <f t="shared" si="28"/>
        <v>0</v>
      </c>
      <c r="U95" s="140">
        <f t="shared" si="29"/>
        <v>-6.8381709872774379E-2</v>
      </c>
      <c r="V95" s="140">
        <f t="shared" si="30"/>
        <v>-0.11963370235530126</v>
      </c>
      <c r="W95" s="140">
        <f t="shared" si="31"/>
        <v>6.6492896247534169E-2</v>
      </c>
      <c r="X95" s="140">
        <f t="shared" si="32"/>
        <v>-2.5967924779941375E-2</v>
      </c>
      <c r="Y95" s="140">
        <f t="shared" si="33"/>
        <v>-0.16195482576714465</v>
      </c>
      <c r="Z95" s="140">
        <f t="shared" si="34"/>
        <v>1.522426227017807E-2</v>
      </c>
      <c r="AA95" s="140">
        <f t="shared" si="35"/>
        <v>0.32952102311767184</v>
      </c>
      <c r="AB95" s="140">
        <f t="shared" si="36"/>
        <v>0.2142566778948628</v>
      </c>
      <c r="AC95" s="140">
        <f t="shared" si="37"/>
        <v>1.0286076287009869E-2</v>
      </c>
      <c r="AD95" s="140">
        <f t="shared" si="38"/>
        <v>0.12565941006018277</v>
      </c>
      <c r="AE95" s="140">
        <f t="shared" si="39"/>
        <v>-6.8381709872774379E-2</v>
      </c>
      <c r="AF95" s="140">
        <f t="shared" si="40"/>
        <v>-6.8381709872774379E-2</v>
      </c>
      <c r="AG95" s="140">
        <f t="shared" si="41"/>
        <v>-6.8381709872774379E-2</v>
      </c>
      <c r="AH95" s="140">
        <f t="shared" si="42"/>
        <v>-6.8381709872774379E-2</v>
      </c>
      <c r="AI95" s="140">
        <f t="shared" si="43"/>
        <v>4.8684894865888999E-2</v>
      </c>
      <c r="AJ95" s="140">
        <f t="shared" si="44"/>
        <v>4.8684894865888999E-2</v>
      </c>
      <c r="AK95" s="140">
        <f t="shared" si="45"/>
        <v>4.8684894865888999E-2</v>
      </c>
      <c r="AL95" s="140">
        <f t="shared" si="46"/>
        <v>4.8684894865888999E-2</v>
      </c>
      <c r="AM95" t="str">
        <f t="shared" si="47"/>
        <v>4230-000: Retirement Benefits</v>
      </c>
      <c r="AN95" s="140">
        <f t="shared" si="48"/>
        <v>5.9284091212512352E-2</v>
      </c>
      <c r="AO95" s="140">
        <f t="shared" si="49"/>
        <v>-0.12766580108528675</v>
      </c>
      <c r="AP95" s="1" t="str">
        <f>IF(AND(AO95&gt;0, _xlfn.XLOOKUP($AM95, Discretionaries!$A$2:'Discretionaries'!$A$150, Discretionaries!$B$2:'Discretionaries'!$B$150)), (1+AN95)*$N95, "")</f>
        <v/>
      </c>
      <c r="AQ95" s="1" t="str">
        <f>IF(AND(AO95&gt;0, _xlfn.XLOOKUP($AM95, Discretionaries!$A$2:'Discretionaries'!$A$150, Discretionaries!$B$2:'Discretionaries'!$B$150)),AP95-$Q95,"")</f>
        <v/>
      </c>
      <c r="AR95" s="140">
        <f>IF(AG95="", 0-CPI!$B$15, AG95-CPI!$B$15)</f>
        <v>-0.10738170987277437</v>
      </c>
      <c r="AS95" s="1" t="str">
        <f>IF(AND(AR95&gt;0, _xlfn.XLOOKUP($AM95, Discretionaries!$A$2:'Discretionaries'!$A$150, Discretionaries!$B$2:'Discretionaries'!$B$150)), (1+CPI!$B$15)*$N95, "")</f>
        <v/>
      </c>
      <c r="AT95" s="1" t="str">
        <f>IF(AND(AR95&gt;0, _xlfn.XLOOKUP($AM95, Discretionaries!$A$2:'Discretionaries'!$A$150, Discretionaries!$B$2:'Discretionaries'!$B$150)),AS95-$Q95,"")</f>
        <v/>
      </c>
    </row>
    <row r="96" spans="1:46" x14ac:dyDescent="0.3">
      <c r="A96" t="s">
        <v>416</v>
      </c>
      <c r="B96" t="str">
        <f t="shared" si="25"/>
        <v>08</v>
      </c>
      <c r="C96" t="s">
        <v>408</v>
      </c>
      <c r="D96" t="str">
        <f t="shared" si="26"/>
        <v>00</v>
      </c>
      <c r="E96" t="s">
        <v>14</v>
      </c>
      <c r="F96" s="139" t="s">
        <v>19</v>
      </c>
      <c r="G96" t="s">
        <v>20</v>
      </c>
      <c r="H96" s="156">
        <v>563</v>
      </c>
      <c r="I96" s="156">
        <v>537.99</v>
      </c>
      <c r="J96" s="156">
        <v>597</v>
      </c>
      <c r="K96" s="156">
        <v>636.89</v>
      </c>
      <c r="L96" s="156">
        <v>714</v>
      </c>
      <c r="M96" s="156">
        <v>713.71</v>
      </c>
      <c r="N96" s="156">
        <v>843</v>
      </c>
      <c r="O96" s="156">
        <v>665</v>
      </c>
      <c r="P96" s="156">
        <v>665</v>
      </c>
      <c r="Q96" s="156">
        <v>665</v>
      </c>
      <c r="R96" s="156">
        <v>665</v>
      </c>
      <c r="S96" s="156">
        <f t="shared" si="27"/>
        <v>-178</v>
      </c>
      <c r="T96" s="156">
        <f t="shared" si="28"/>
        <v>0</v>
      </c>
      <c r="U96" s="140">
        <f t="shared" si="29"/>
        <v>-0.21115065243179121</v>
      </c>
      <c r="V96" s="140">
        <f t="shared" si="30"/>
        <v>-4.4422735346358773E-2</v>
      </c>
      <c r="W96" s="140">
        <f t="shared" si="31"/>
        <v>6.6817420435510866E-2</v>
      </c>
      <c r="X96" s="140">
        <f t="shared" si="32"/>
        <v>-4.0616246498594347E-4</v>
      </c>
      <c r="Y96" s="140">
        <f t="shared" si="33"/>
        <v>6.0390763765541741E-2</v>
      </c>
      <c r="Z96" s="140">
        <f t="shared" si="34"/>
        <v>0.18383241324188176</v>
      </c>
      <c r="AA96" s="140">
        <f t="shared" si="35"/>
        <v>0.19597989949748743</v>
      </c>
      <c r="AB96" s="140">
        <f t="shared" si="36"/>
        <v>0.12061737505691729</v>
      </c>
      <c r="AC96" s="140">
        <f t="shared" si="37"/>
        <v>0.18067226890756302</v>
      </c>
      <c r="AD96" s="140">
        <f t="shared" si="38"/>
        <v>0.49733570159857904</v>
      </c>
      <c r="AE96" s="140">
        <f t="shared" si="39"/>
        <v>-0.21115065243179121</v>
      </c>
      <c r="AF96" s="140">
        <f t="shared" si="40"/>
        <v>-0.21115065243179121</v>
      </c>
      <c r="AG96" s="140">
        <f t="shared" si="41"/>
        <v>-0.21115065243179121</v>
      </c>
      <c r="AH96" s="140">
        <f t="shared" si="42"/>
        <v>-0.21115065243179121</v>
      </c>
      <c r="AI96" s="140">
        <f t="shared" si="43"/>
        <v>0.18117229129662521</v>
      </c>
      <c r="AJ96" s="140">
        <f t="shared" si="44"/>
        <v>0.18117229129662521</v>
      </c>
      <c r="AK96" s="140">
        <f t="shared" si="45"/>
        <v>0.18117229129662521</v>
      </c>
      <c r="AL96" s="140">
        <f t="shared" si="46"/>
        <v>0.18117229129662521</v>
      </c>
      <c r="AM96" t="str">
        <f t="shared" si="47"/>
        <v>4260-000: Workers' comp Benefits</v>
      </c>
      <c r="AN96" s="140">
        <f t="shared" si="48"/>
        <v>0.14568097739019739</v>
      </c>
      <c r="AO96" s="140">
        <f t="shared" si="49"/>
        <v>-0.35683162982198857</v>
      </c>
      <c r="AP96" s="1" t="str">
        <f>IF(AND(AO96&gt;0, _xlfn.XLOOKUP($AM96, Discretionaries!$A$2:'Discretionaries'!$A$150, Discretionaries!$B$2:'Discretionaries'!$B$150)), (1+AN96)*$N96, "")</f>
        <v/>
      </c>
      <c r="AQ96" s="1" t="str">
        <f>IF(AND(AO96&gt;0, _xlfn.XLOOKUP($AM96, Discretionaries!$A$2:'Discretionaries'!$A$150, Discretionaries!$B$2:'Discretionaries'!$B$150)),AP96-$Q96,"")</f>
        <v/>
      </c>
      <c r="AR96" s="140">
        <f>IF(AG96="", 0-CPI!$B$15, AG96-CPI!$B$15)</f>
        <v>-0.25015065243179119</v>
      </c>
      <c r="AS96" s="1" t="str">
        <f>IF(AND(AR96&gt;0, _xlfn.XLOOKUP($AM96, Discretionaries!$A$2:'Discretionaries'!$A$150, Discretionaries!$B$2:'Discretionaries'!$B$150)), (1+CPI!$B$15)*$N96, "")</f>
        <v/>
      </c>
      <c r="AT96" s="1" t="str">
        <f>IF(AND(AR96&gt;0, _xlfn.XLOOKUP($AM96, Discretionaries!$A$2:'Discretionaries'!$A$150, Discretionaries!$B$2:'Discretionaries'!$B$150)),AS96-$Q96,"")</f>
        <v/>
      </c>
    </row>
    <row r="97" spans="1:46" x14ac:dyDescent="0.3">
      <c r="A97" t="s">
        <v>416</v>
      </c>
      <c r="B97" t="str">
        <f t="shared" si="25"/>
        <v>08</v>
      </c>
      <c r="C97" t="s">
        <v>408</v>
      </c>
      <c r="D97" t="str">
        <f t="shared" si="26"/>
        <v>00</v>
      </c>
      <c r="E97" t="s">
        <v>21</v>
      </c>
      <c r="F97" s="139" t="s">
        <v>121</v>
      </c>
      <c r="G97" t="s">
        <v>122</v>
      </c>
      <c r="H97" s="156">
        <v>45500</v>
      </c>
      <c r="I97" s="156">
        <v>45500</v>
      </c>
      <c r="J97" s="156">
        <v>50000</v>
      </c>
      <c r="K97" s="156">
        <v>46900</v>
      </c>
      <c r="L97" s="156">
        <v>55000</v>
      </c>
      <c r="M97" s="156">
        <v>53000</v>
      </c>
      <c r="N97" s="156">
        <v>55000</v>
      </c>
      <c r="O97" s="156">
        <v>55000</v>
      </c>
      <c r="P97" s="156">
        <v>55000</v>
      </c>
      <c r="Q97" s="156">
        <v>55000</v>
      </c>
      <c r="R97" s="156">
        <v>55000</v>
      </c>
      <c r="S97" s="156">
        <f t="shared" si="27"/>
        <v>0</v>
      </c>
      <c r="T97" s="156">
        <f t="shared" si="28"/>
        <v>0</v>
      </c>
      <c r="U97" s="140">
        <f t="shared" si="29"/>
        <v>0</v>
      </c>
      <c r="V97" s="140">
        <f t="shared" si="30"/>
        <v>0</v>
      </c>
      <c r="W97" s="140">
        <f t="shared" si="31"/>
        <v>-6.2E-2</v>
      </c>
      <c r="X97" s="140">
        <f t="shared" si="32"/>
        <v>-3.6363636363636362E-2</v>
      </c>
      <c r="Y97" s="140">
        <f t="shared" si="33"/>
        <v>9.8901098901098897E-2</v>
      </c>
      <c r="Z97" s="140">
        <f t="shared" si="34"/>
        <v>3.0769230769230771E-2</v>
      </c>
      <c r="AA97" s="140">
        <f t="shared" si="35"/>
        <v>0.1</v>
      </c>
      <c r="AB97" s="140">
        <f t="shared" si="36"/>
        <v>0.13006396588486141</v>
      </c>
      <c r="AC97" s="140">
        <f t="shared" si="37"/>
        <v>0</v>
      </c>
      <c r="AD97" s="140">
        <f t="shared" si="38"/>
        <v>0.2087912087912088</v>
      </c>
      <c r="AE97" s="140">
        <f t="shared" si="39"/>
        <v>0</v>
      </c>
      <c r="AF97" s="140">
        <f t="shared" si="40"/>
        <v>0</v>
      </c>
      <c r="AG97" s="140">
        <f t="shared" si="41"/>
        <v>0</v>
      </c>
      <c r="AH97" s="140">
        <f t="shared" si="42"/>
        <v>0</v>
      </c>
      <c r="AI97" s="140">
        <f t="shared" si="43"/>
        <v>0.2087912087912088</v>
      </c>
      <c r="AJ97" s="140">
        <f t="shared" si="44"/>
        <v>0.2087912087912088</v>
      </c>
      <c r="AK97" s="140">
        <f t="shared" si="45"/>
        <v>0.2087912087912088</v>
      </c>
      <c r="AL97" s="140">
        <f t="shared" si="46"/>
        <v>0.2087912087912088</v>
      </c>
      <c r="AM97" t="str">
        <f t="shared" si="47"/>
        <v>4301-000: Auditing services Services</v>
      </c>
      <c r="AN97" s="140">
        <f t="shared" si="48"/>
        <v>6.6300366300366301E-2</v>
      </c>
      <c r="AO97" s="140">
        <f t="shared" si="49"/>
        <v>-6.6300366300366301E-2</v>
      </c>
      <c r="AP97" s="1" t="str">
        <f>IF(AND(AO97&gt;0, _xlfn.XLOOKUP($AM97, Discretionaries!$A$2:'Discretionaries'!$A$150, Discretionaries!$B$2:'Discretionaries'!$B$150)), (1+AN97)*$N97, "")</f>
        <v/>
      </c>
      <c r="AQ97" s="1" t="str">
        <f>IF(AND(AO97&gt;0, _xlfn.XLOOKUP($AM97, Discretionaries!$A$2:'Discretionaries'!$A$150, Discretionaries!$B$2:'Discretionaries'!$B$150)),AP97-$Q97,"")</f>
        <v/>
      </c>
      <c r="AR97" s="140">
        <f>IF(AG97="", 0-CPI!$B$15, AG97-CPI!$B$15)</f>
        <v>-3.8999999999999993E-2</v>
      </c>
      <c r="AS97" s="1" t="str">
        <f>IF(AND(AR97&gt;0, _xlfn.XLOOKUP($AM97, Discretionaries!$A$2:'Discretionaries'!$A$150, Discretionaries!$B$2:'Discretionaries'!$B$150)), (1+CPI!$B$15)*$N97, "")</f>
        <v/>
      </c>
      <c r="AT97" s="1" t="str">
        <f>IF(AND(AR97&gt;0, _xlfn.XLOOKUP($AM97, Discretionaries!$A$2:'Discretionaries'!$A$150, Discretionaries!$B$2:'Discretionaries'!$B$150)),AS97-$Q97,"")</f>
        <v/>
      </c>
    </row>
    <row r="98" spans="1:46" x14ac:dyDescent="0.3">
      <c r="A98" t="s">
        <v>416</v>
      </c>
      <c r="B98" t="str">
        <f t="shared" si="25"/>
        <v>08</v>
      </c>
      <c r="C98" t="s">
        <v>408</v>
      </c>
      <c r="D98" t="str">
        <f t="shared" si="26"/>
        <v>00</v>
      </c>
      <c r="E98" t="s">
        <v>21</v>
      </c>
      <c r="F98" s="139" t="s">
        <v>28</v>
      </c>
      <c r="G98" t="s">
        <v>29</v>
      </c>
      <c r="H98" s="156">
        <v>9000</v>
      </c>
      <c r="I98" s="156">
        <v>3803.05</v>
      </c>
      <c r="J98" s="156">
        <v>8000</v>
      </c>
      <c r="K98" s="156">
        <v>8000.25</v>
      </c>
      <c r="L98" s="156">
        <v>6700</v>
      </c>
      <c r="M98" s="156">
        <v>8726.3700000000008</v>
      </c>
      <c r="N98" s="156">
        <v>6545</v>
      </c>
      <c r="O98" s="156">
        <v>750</v>
      </c>
      <c r="P98" s="156">
        <v>750</v>
      </c>
      <c r="Q98" s="156">
        <v>750</v>
      </c>
      <c r="R98" s="156">
        <v>6545</v>
      </c>
      <c r="S98" s="156">
        <f t="shared" si="27"/>
        <v>-5795</v>
      </c>
      <c r="T98" s="156">
        <f t="shared" si="28"/>
        <v>-5795</v>
      </c>
      <c r="U98" s="140">
        <f t="shared" si="29"/>
        <v>-0.88540870893812074</v>
      </c>
      <c r="V98" s="140">
        <f t="shared" si="30"/>
        <v>-0.57743888888888883</v>
      </c>
      <c r="W98" s="140">
        <f t="shared" si="31"/>
        <v>3.1250000000000001E-5</v>
      </c>
      <c r="X98" s="140">
        <f t="shared" si="32"/>
        <v>0.30244328358208966</v>
      </c>
      <c r="Y98" s="140">
        <f t="shared" si="33"/>
        <v>-0.1111111111111111</v>
      </c>
      <c r="Z98" s="140">
        <f t="shared" si="34"/>
        <v>1.1036404990731123</v>
      </c>
      <c r="AA98" s="140">
        <f t="shared" si="35"/>
        <v>-0.16250000000000001</v>
      </c>
      <c r="AB98" s="140">
        <f t="shared" si="36"/>
        <v>9.076216368238503E-2</v>
      </c>
      <c r="AC98" s="140">
        <f t="shared" si="37"/>
        <v>-2.3134328358208955E-2</v>
      </c>
      <c r="AD98" s="140">
        <f t="shared" si="38"/>
        <v>-0.27277777777777779</v>
      </c>
      <c r="AE98" s="140">
        <f t="shared" si="39"/>
        <v>-0.88540870893812074</v>
      </c>
      <c r="AF98" s="140">
        <f t="shared" si="40"/>
        <v>-0.88540870893812074</v>
      </c>
      <c r="AG98" s="140">
        <f t="shared" si="41"/>
        <v>-0.88540870893812074</v>
      </c>
      <c r="AH98" s="140">
        <f t="shared" si="42"/>
        <v>0</v>
      </c>
      <c r="AI98" s="140">
        <f t="shared" si="43"/>
        <v>-0.91666666666666663</v>
      </c>
      <c r="AJ98" s="140">
        <f t="shared" si="44"/>
        <v>-0.91666666666666663</v>
      </c>
      <c r="AK98" s="140">
        <f t="shared" si="45"/>
        <v>-0.91666666666666663</v>
      </c>
      <c r="AL98" s="140">
        <f t="shared" si="46"/>
        <v>-0.27277777777777779</v>
      </c>
      <c r="AM98" t="str">
        <f t="shared" si="47"/>
        <v>4330-000: MGMT services Services</v>
      </c>
      <c r="AN98" s="140">
        <f t="shared" si="48"/>
        <v>-9.8915146489773356E-2</v>
      </c>
      <c r="AO98" s="140">
        <f t="shared" si="49"/>
        <v>-0.78649356244834734</v>
      </c>
      <c r="AP98" s="1" t="str">
        <f>IF(AND(AO98&gt;0, _xlfn.XLOOKUP($AM98, Discretionaries!$A$2:'Discretionaries'!$A$150, Discretionaries!$B$2:'Discretionaries'!$B$150)), (1+AN98)*$N98, "")</f>
        <v/>
      </c>
      <c r="AQ98" s="1" t="str">
        <f>IF(AND(AO98&gt;0, _xlfn.XLOOKUP($AM98, Discretionaries!$A$2:'Discretionaries'!$A$150, Discretionaries!$B$2:'Discretionaries'!$B$150)),AP98-$Q98,"")</f>
        <v/>
      </c>
      <c r="AR98" s="140">
        <f>IF(AG98="", 0-CPI!$B$15, AG98-CPI!$B$15)</f>
        <v>-0.92440870893812077</v>
      </c>
      <c r="AS98" s="1" t="str">
        <f>IF(AND(AR98&gt;0, _xlfn.XLOOKUP($AM98, Discretionaries!$A$2:'Discretionaries'!$A$150, Discretionaries!$B$2:'Discretionaries'!$B$150)), (1+CPI!$B$15)*$N98, "")</f>
        <v/>
      </c>
      <c r="AT98" s="1" t="str">
        <f>IF(AND(AR98&gt;0, _xlfn.XLOOKUP($AM98, Discretionaries!$A$2:'Discretionaries'!$A$150, Discretionaries!$B$2:'Discretionaries'!$B$150)),AS98-$Q98,"")</f>
        <v/>
      </c>
    </row>
    <row r="99" spans="1:46" x14ac:dyDescent="0.3">
      <c r="A99" t="s">
        <v>416</v>
      </c>
      <c r="B99" t="str">
        <f t="shared" si="25"/>
        <v>08</v>
      </c>
      <c r="C99" t="s">
        <v>408</v>
      </c>
      <c r="D99" t="str">
        <f t="shared" si="26"/>
        <v>00</v>
      </c>
      <c r="E99" t="s">
        <v>21</v>
      </c>
      <c r="F99" s="139" t="s">
        <v>123</v>
      </c>
      <c r="G99" t="s">
        <v>124</v>
      </c>
      <c r="H99" s="156">
        <v>28000</v>
      </c>
      <c r="I99" s="156">
        <v>26696.53</v>
      </c>
      <c r="J99" s="156">
        <v>29000</v>
      </c>
      <c r="K99" s="156">
        <v>24777.07</v>
      </c>
      <c r="L99" s="156">
        <v>29000</v>
      </c>
      <c r="M99" s="156">
        <v>26321.64</v>
      </c>
      <c r="N99" s="156">
        <v>10000</v>
      </c>
      <c r="O99" s="156">
        <v>7500</v>
      </c>
      <c r="P99" s="156">
        <v>7500</v>
      </c>
      <c r="Q99" s="156">
        <v>7500</v>
      </c>
      <c r="R99" s="156">
        <v>10000</v>
      </c>
      <c r="S99" s="156">
        <f t="shared" si="27"/>
        <v>-2500</v>
      </c>
      <c r="T99" s="156">
        <f t="shared" si="28"/>
        <v>-2500</v>
      </c>
      <c r="U99" s="140">
        <f t="shared" si="29"/>
        <v>-0.25</v>
      </c>
      <c r="V99" s="140">
        <f t="shared" si="30"/>
        <v>-4.6552500000000038E-2</v>
      </c>
      <c r="W99" s="140">
        <f t="shared" si="31"/>
        <v>-0.14561827586206896</v>
      </c>
      <c r="X99" s="140">
        <f t="shared" si="32"/>
        <v>-9.2357241379310367E-2</v>
      </c>
      <c r="Y99" s="140">
        <f t="shared" si="33"/>
        <v>3.5714285714285712E-2</v>
      </c>
      <c r="Z99" s="140">
        <f t="shared" si="34"/>
        <v>-7.1899231847734488E-2</v>
      </c>
      <c r="AA99" s="140">
        <f t="shared" si="35"/>
        <v>0</v>
      </c>
      <c r="AB99" s="140">
        <f t="shared" si="36"/>
        <v>6.2338686535575019E-2</v>
      </c>
      <c r="AC99" s="140">
        <f t="shared" si="37"/>
        <v>-0.65517241379310343</v>
      </c>
      <c r="AD99" s="140">
        <f t="shared" si="38"/>
        <v>-0.6428571428571429</v>
      </c>
      <c r="AE99" s="140">
        <f t="shared" si="39"/>
        <v>-0.25</v>
      </c>
      <c r="AF99" s="140">
        <f t="shared" si="40"/>
        <v>-0.25</v>
      </c>
      <c r="AG99" s="140">
        <f t="shared" si="41"/>
        <v>-0.25</v>
      </c>
      <c r="AH99" s="140">
        <f t="shared" si="42"/>
        <v>0</v>
      </c>
      <c r="AI99" s="140">
        <f t="shared" si="43"/>
        <v>-0.7321428571428571</v>
      </c>
      <c r="AJ99" s="140">
        <f t="shared" si="44"/>
        <v>-0.7321428571428571</v>
      </c>
      <c r="AK99" s="140">
        <f t="shared" si="45"/>
        <v>-0.7321428571428571</v>
      </c>
      <c r="AL99" s="140">
        <f t="shared" si="46"/>
        <v>-0.6428571428571429</v>
      </c>
      <c r="AM99" t="str">
        <f t="shared" si="47"/>
        <v>4340-000: Bank services Services</v>
      </c>
      <c r="AN99" s="140">
        <f t="shared" si="48"/>
        <v>-0.20648604269293924</v>
      </c>
      <c r="AO99" s="140">
        <f t="shared" si="49"/>
        <v>-4.3513957307060758E-2</v>
      </c>
      <c r="AP99" s="1" t="str">
        <f>IF(AND(AO99&gt;0, _xlfn.XLOOKUP($AM99, Discretionaries!$A$2:'Discretionaries'!$A$150, Discretionaries!$B$2:'Discretionaries'!$B$150)), (1+AN99)*$N99, "")</f>
        <v/>
      </c>
      <c r="AQ99" s="1" t="str">
        <f>IF(AND(AO99&gt;0, _xlfn.XLOOKUP($AM99, Discretionaries!$A$2:'Discretionaries'!$A$150, Discretionaries!$B$2:'Discretionaries'!$B$150)),AP99-$Q99,"")</f>
        <v/>
      </c>
      <c r="AR99" s="140">
        <f>IF(AG99="", 0-CPI!$B$15, AG99-CPI!$B$15)</f>
        <v>-0.28899999999999998</v>
      </c>
      <c r="AS99" s="1" t="str">
        <f>IF(AND(AR99&gt;0, _xlfn.XLOOKUP($AM99, Discretionaries!$A$2:'Discretionaries'!$A$150, Discretionaries!$B$2:'Discretionaries'!$B$150)), (1+CPI!$B$15)*$N99, "")</f>
        <v/>
      </c>
      <c r="AT99" s="1" t="str">
        <f>IF(AND(AR99&gt;0, _xlfn.XLOOKUP($AM99, Discretionaries!$A$2:'Discretionaries'!$A$150, Discretionaries!$B$2:'Discretionaries'!$B$150)),AS99-$Q99,"")</f>
        <v/>
      </c>
    </row>
    <row r="100" spans="1:46" x14ac:dyDescent="0.3">
      <c r="A100" t="s">
        <v>416</v>
      </c>
      <c r="B100" t="str">
        <f t="shared" si="25"/>
        <v>08</v>
      </c>
      <c r="C100" t="s">
        <v>408</v>
      </c>
      <c r="D100" t="str">
        <f t="shared" si="26"/>
        <v>00</v>
      </c>
      <c r="E100" t="s">
        <v>21</v>
      </c>
      <c r="F100" s="139" t="s">
        <v>125</v>
      </c>
      <c r="G100" t="s">
        <v>126</v>
      </c>
      <c r="H100" s="156">
        <v>30000</v>
      </c>
      <c r="I100" s="156">
        <v>43262.5</v>
      </c>
      <c r="J100" s="156">
        <v>30000</v>
      </c>
      <c r="K100" s="156">
        <v>33925.800000000003</v>
      </c>
      <c r="L100" s="156">
        <v>30000</v>
      </c>
      <c r="M100" s="156">
        <v>36650</v>
      </c>
      <c r="N100" s="156">
        <v>30000</v>
      </c>
      <c r="O100" s="156">
        <v>30000</v>
      </c>
      <c r="P100" s="156">
        <v>30000</v>
      </c>
      <c r="Q100" s="156">
        <v>30000</v>
      </c>
      <c r="R100" s="156">
        <v>30000</v>
      </c>
      <c r="S100" s="156">
        <f t="shared" si="27"/>
        <v>0</v>
      </c>
      <c r="T100" s="156">
        <f t="shared" si="28"/>
        <v>0</v>
      </c>
      <c r="U100" s="140">
        <f t="shared" si="29"/>
        <v>0</v>
      </c>
      <c r="V100" s="140">
        <f t="shared" si="30"/>
        <v>0.44208333333333333</v>
      </c>
      <c r="W100" s="140">
        <f t="shared" si="31"/>
        <v>0.13086000000000009</v>
      </c>
      <c r="X100" s="140">
        <f t="shared" si="32"/>
        <v>0.22166666666666668</v>
      </c>
      <c r="Y100" s="140">
        <f t="shared" si="33"/>
        <v>0</v>
      </c>
      <c r="Z100" s="140">
        <f t="shared" si="34"/>
        <v>-0.21581508234614266</v>
      </c>
      <c r="AA100" s="140">
        <f t="shared" si="35"/>
        <v>0</v>
      </c>
      <c r="AB100" s="140">
        <f t="shared" si="36"/>
        <v>8.0298769667922251E-2</v>
      </c>
      <c r="AC100" s="140">
        <f t="shared" si="37"/>
        <v>0</v>
      </c>
      <c r="AD100" s="140">
        <f t="shared" si="38"/>
        <v>0</v>
      </c>
      <c r="AE100" s="140">
        <f t="shared" si="39"/>
        <v>0</v>
      </c>
      <c r="AF100" s="140">
        <f t="shared" si="40"/>
        <v>0</v>
      </c>
      <c r="AG100" s="140">
        <f t="shared" si="41"/>
        <v>0</v>
      </c>
      <c r="AH100" s="140">
        <f t="shared" si="42"/>
        <v>0</v>
      </c>
      <c r="AI100" s="140">
        <f t="shared" si="43"/>
        <v>0</v>
      </c>
      <c r="AJ100" s="140">
        <f t="shared" si="44"/>
        <v>0</v>
      </c>
      <c r="AK100" s="140">
        <f t="shared" si="45"/>
        <v>0</v>
      </c>
      <c r="AL100" s="140">
        <f t="shared" si="46"/>
        <v>0</v>
      </c>
      <c r="AM100" t="str">
        <f t="shared" si="47"/>
        <v>4390-000: Other professional Services</v>
      </c>
      <c r="AN100" s="140">
        <f t="shared" si="48"/>
        <v>0</v>
      </c>
      <c r="AO100" s="140">
        <f t="shared" si="49"/>
        <v>0</v>
      </c>
      <c r="AP100" s="1" t="str">
        <f>IF(AND(AO100&gt;0, _xlfn.XLOOKUP($AM100, Discretionaries!$A$2:'Discretionaries'!$A$150, Discretionaries!$B$2:'Discretionaries'!$B$150)), (1+AN100)*$N100, "")</f>
        <v/>
      </c>
      <c r="AQ100" s="1" t="str">
        <f>IF(AND(AO100&gt;0, _xlfn.XLOOKUP($AM100, Discretionaries!$A$2:'Discretionaries'!$A$150, Discretionaries!$B$2:'Discretionaries'!$B$150)),AP100-$Q100,"")</f>
        <v/>
      </c>
      <c r="AR100" s="140">
        <f>IF(AG100="", 0-CPI!$B$15, AG100-CPI!$B$15)</f>
        <v>-3.8999999999999993E-2</v>
      </c>
      <c r="AS100" s="1" t="str">
        <f>IF(AND(AR100&gt;0, _xlfn.XLOOKUP($AM100, Discretionaries!$A$2:'Discretionaries'!$A$150, Discretionaries!$B$2:'Discretionaries'!$B$150)), (1+CPI!$B$15)*$N100, "")</f>
        <v/>
      </c>
      <c r="AT100" s="1" t="str">
        <f>IF(AND(AR100&gt;0, _xlfn.XLOOKUP($AM100, Discretionaries!$A$2:'Discretionaries'!$A$150, Discretionaries!$B$2:'Discretionaries'!$B$150)),AS100-$Q100,"")</f>
        <v/>
      </c>
    </row>
    <row r="101" spans="1:46" x14ac:dyDescent="0.3">
      <c r="A101" t="s">
        <v>416</v>
      </c>
      <c r="B101" t="str">
        <f t="shared" si="25"/>
        <v>08</v>
      </c>
      <c r="C101" t="s">
        <v>408</v>
      </c>
      <c r="D101" t="str">
        <f t="shared" si="26"/>
        <v>00</v>
      </c>
      <c r="E101" t="s">
        <v>45</v>
      </c>
      <c r="F101" s="139" t="s">
        <v>46</v>
      </c>
      <c r="G101" t="s">
        <v>47</v>
      </c>
      <c r="H101" s="156">
        <v>325</v>
      </c>
      <c r="I101" s="156">
        <v>500</v>
      </c>
      <c r="J101" s="156">
        <v>360</v>
      </c>
      <c r="K101" s="156">
        <v>500</v>
      </c>
      <c r="L101" s="156">
        <v>1800</v>
      </c>
      <c r="M101" s="156">
        <v>1287</v>
      </c>
      <c r="N101" s="156">
        <v>1700</v>
      </c>
      <c r="O101" s="156">
        <v>2100</v>
      </c>
      <c r="P101" s="156">
        <v>2100</v>
      </c>
      <c r="Q101" s="156">
        <v>2100</v>
      </c>
      <c r="R101" s="156">
        <v>1700</v>
      </c>
      <c r="S101" s="156">
        <f t="shared" si="27"/>
        <v>400</v>
      </c>
      <c r="T101" s="156">
        <f t="shared" si="28"/>
        <v>400</v>
      </c>
      <c r="U101" s="140">
        <f t="shared" si="29"/>
        <v>0.23529411764705882</v>
      </c>
      <c r="V101" s="140">
        <f t="shared" si="30"/>
        <v>0.53846153846153844</v>
      </c>
      <c r="W101" s="140">
        <f t="shared" si="31"/>
        <v>0.3888888888888889</v>
      </c>
      <c r="X101" s="140">
        <f t="shared" si="32"/>
        <v>-0.28499999999999998</v>
      </c>
      <c r="Y101" s="140">
        <f t="shared" si="33"/>
        <v>0.1076923076923077</v>
      </c>
      <c r="Z101" s="140">
        <f t="shared" si="34"/>
        <v>0</v>
      </c>
      <c r="AA101" s="140">
        <f t="shared" si="35"/>
        <v>4</v>
      </c>
      <c r="AB101" s="140">
        <f t="shared" si="36"/>
        <v>1.5740000000000001</v>
      </c>
      <c r="AC101" s="140">
        <f t="shared" si="37"/>
        <v>-5.5555555555555552E-2</v>
      </c>
      <c r="AD101" s="140">
        <f t="shared" si="38"/>
        <v>4.2307692307692308</v>
      </c>
      <c r="AE101" s="140">
        <f t="shared" si="39"/>
        <v>0.23529411764705882</v>
      </c>
      <c r="AF101" s="140">
        <f t="shared" si="40"/>
        <v>0.23529411764705882</v>
      </c>
      <c r="AG101" s="140">
        <f t="shared" si="41"/>
        <v>0.23529411764705882</v>
      </c>
      <c r="AH101" s="140">
        <f t="shared" si="42"/>
        <v>0</v>
      </c>
      <c r="AI101" s="140">
        <f t="shared" si="43"/>
        <v>5.4615384615384617</v>
      </c>
      <c r="AJ101" s="140">
        <f t="shared" si="44"/>
        <v>5.4615384615384617</v>
      </c>
      <c r="AK101" s="140">
        <f t="shared" si="45"/>
        <v>5.4615384615384617</v>
      </c>
      <c r="AL101" s="140">
        <f t="shared" si="46"/>
        <v>4.2307692307692308</v>
      </c>
      <c r="AM101" t="str">
        <f t="shared" si="47"/>
        <v>4560-000: Dues &amp; subs Services</v>
      </c>
      <c r="AN101" s="140">
        <f t="shared" si="48"/>
        <v>1.3507122507122507</v>
      </c>
      <c r="AO101" s="140">
        <f t="shared" si="49"/>
        <v>-1.1154181330651918</v>
      </c>
      <c r="AP101" s="1" t="str">
        <f>IF(AND(AO101&gt;0, _xlfn.XLOOKUP($AM101, Discretionaries!$A$2:'Discretionaries'!$A$150, Discretionaries!$B$2:'Discretionaries'!$B$150)), (1+AN101)*$N101, "")</f>
        <v/>
      </c>
      <c r="AQ101" s="1" t="str">
        <f>IF(AND(AO101&gt;0, _xlfn.XLOOKUP($AM101, Discretionaries!$A$2:'Discretionaries'!$A$150, Discretionaries!$B$2:'Discretionaries'!$B$150)),AP101-$Q101,"")</f>
        <v/>
      </c>
      <c r="AR101" s="140">
        <f>IF(AG101="", 0-CPI!$B$15, AG101-CPI!$B$15)</f>
        <v>0.19629411764705884</v>
      </c>
      <c r="AS101" s="1">
        <f>IF(AND(AR101&gt;0, _xlfn.XLOOKUP($AM101, Discretionaries!$A$2:'Discretionaries'!$A$150, Discretionaries!$B$2:'Discretionaries'!$B$150)), (1+CPI!$B$15)*$N101, "")</f>
        <v>1766.3</v>
      </c>
      <c r="AT101" s="1">
        <f>IF(AND(AR101&gt;0, _xlfn.XLOOKUP($AM101, Discretionaries!$A$2:'Discretionaries'!$A$150, Discretionaries!$B$2:'Discretionaries'!$B$150)),AS101-$Q101,"")</f>
        <v>-333.70000000000005</v>
      </c>
    </row>
    <row r="102" spans="1:46" x14ac:dyDescent="0.3">
      <c r="A102" t="s">
        <v>416</v>
      </c>
      <c r="B102" t="str">
        <f t="shared" si="25"/>
        <v>08</v>
      </c>
      <c r="C102" t="s">
        <v>408</v>
      </c>
      <c r="D102" t="str">
        <f t="shared" si="26"/>
        <v>00</v>
      </c>
      <c r="E102" t="s">
        <v>45</v>
      </c>
      <c r="F102" s="139" t="s">
        <v>24</v>
      </c>
      <c r="G102" t="s">
        <v>25</v>
      </c>
      <c r="H102" s="156">
        <v>1091.8699999999999</v>
      </c>
      <c r="I102" s="156">
        <v>2800</v>
      </c>
      <c r="J102" s="156">
        <v>1140.8800000000001</v>
      </c>
      <c r="K102" s="156">
        <v>2800</v>
      </c>
      <c r="L102" s="156">
        <v>2800</v>
      </c>
      <c r="M102" s="156">
        <v>1534.3</v>
      </c>
      <c r="N102" s="156">
        <v>2800</v>
      </c>
      <c r="O102" s="156">
        <v>2000</v>
      </c>
      <c r="P102" s="156">
        <v>2000</v>
      </c>
      <c r="Q102" s="156">
        <v>2000</v>
      </c>
      <c r="R102" s="156">
        <v>2800</v>
      </c>
      <c r="S102" s="156">
        <f t="shared" si="27"/>
        <v>-800</v>
      </c>
      <c r="T102" s="156">
        <f t="shared" si="28"/>
        <v>-800</v>
      </c>
      <c r="U102" s="140">
        <f t="shared" si="29"/>
        <v>-0.2857142857142857</v>
      </c>
      <c r="V102" s="140">
        <f t="shared" si="30"/>
        <v>1.5644078507514634</v>
      </c>
      <c r="W102" s="140">
        <f t="shared" si="31"/>
        <v>1.4542458453123901</v>
      </c>
      <c r="X102" s="140">
        <f t="shared" si="32"/>
        <v>-0.45203571428571432</v>
      </c>
      <c r="Y102" s="140">
        <f t="shared" si="33"/>
        <v>4.4886295987617779E-2</v>
      </c>
      <c r="Z102" s="140">
        <f t="shared" si="34"/>
        <v>0</v>
      </c>
      <c r="AA102" s="140">
        <f t="shared" si="35"/>
        <v>1.4542458453123901</v>
      </c>
      <c r="AB102" s="140">
        <f t="shared" si="36"/>
        <v>-0.45203571428571432</v>
      </c>
      <c r="AC102" s="140">
        <f t="shared" si="37"/>
        <v>0</v>
      </c>
      <c r="AD102" s="140">
        <f t="shared" si="38"/>
        <v>1.5644078507514634</v>
      </c>
      <c r="AE102" s="140">
        <f t="shared" si="39"/>
        <v>-0.2857142857142857</v>
      </c>
      <c r="AF102" s="140">
        <f t="shared" si="40"/>
        <v>-0.2857142857142857</v>
      </c>
      <c r="AG102" s="140">
        <f t="shared" si="41"/>
        <v>-0.2857142857142857</v>
      </c>
      <c r="AH102" s="140">
        <f t="shared" si="42"/>
        <v>0</v>
      </c>
      <c r="AI102" s="140">
        <f t="shared" si="43"/>
        <v>0.8317198933939024</v>
      </c>
      <c r="AJ102" s="140">
        <f t="shared" si="44"/>
        <v>0.8317198933939024</v>
      </c>
      <c r="AK102" s="140">
        <f t="shared" si="45"/>
        <v>0.8317198933939024</v>
      </c>
      <c r="AL102" s="140">
        <f t="shared" si="46"/>
        <v>1.5644078507514634</v>
      </c>
      <c r="AM102" t="str">
        <f t="shared" si="47"/>
        <v>4570-000: Sem &amp; workshops Services</v>
      </c>
      <c r="AN102" s="140">
        <f t="shared" si="48"/>
        <v>0.49971071376666926</v>
      </c>
      <c r="AO102" s="140">
        <f t="shared" si="49"/>
        <v>-0.78542499948095501</v>
      </c>
      <c r="AP102" s="1" t="str">
        <f>IF(AND(AO102&gt;0, _xlfn.XLOOKUP($AM102, Discretionaries!$A$2:'Discretionaries'!$A$150, Discretionaries!$B$2:'Discretionaries'!$B$150)), (1+AN102)*$N102, "")</f>
        <v/>
      </c>
      <c r="AQ102" s="1" t="str">
        <f>IF(AND(AO102&gt;0, _xlfn.XLOOKUP($AM102, Discretionaries!$A$2:'Discretionaries'!$A$150, Discretionaries!$B$2:'Discretionaries'!$B$150)),AP102-$Q102,"")</f>
        <v/>
      </c>
      <c r="AR102" s="140">
        <f>IF(AG102="", 0-CPI!$B$15, AG102-CPI!$B$15)</f>
        <v>-0.32471428571428568</v>
      </c>
      <c r="AS102" s="1" t="str">
        <f>IF(AND(AR102&gt;0, _xlfn.XLOOKUP($AM102, Discretionaries!$A$2:'Discretionaries'!$A$150, Discretionaries!$B$2:'Discretionaries'!$B$150)), (1+CPI!$B$15)*$N102, "")</f>
        <v/>
      </c>
      <c r="AT102" s="1" t="str">
        <f>IF(AND(AR102&gt;0, _xlfn.XLOOKUP($AM102, Discretionaries!$A$2:'Discretionaries'!$A$150, Discretionaries!$B$2:'Discretionaries'!$B$150)),AS102-$Q102,"")</f>
        <v/>
      </c>
    </row>
    <row r="103" spans="1:46" x14ac:dyDescent="0.3">
      <c r="A103" t="s">
        <v>416</v>
      </c>
      <c r="B103" t="str">
        <f t="shared" si="25"/>
        <v>08</v>
      </c>
      <c r="C103" t="s">
        <v>408</v>
      </c>
      <c r="D103" t="str">
        <f t="shared" si="26"/>
        <v>00</v>
      </c>
      <c r="E103" t="s">
        <v>45</v>
      </c>
      <c r="F103" s="139" t="s">
        <v>26</v>
      </c>
      <c r="G103" t="s">
        <v>27</v>
      </c>
      <c r="H103" s="156">
        <v>0</v>
      </c>
      <c r="I103" s="156">
        <v>500</v>
      </c>
      <c r="J103" s="156">
        <v>172.16</v>
      </c>
      <c r="K103" s="156">
        <v>500</v>
      </c>
      <c r="L103" s="156">
        <v>500</v>
      </c>
      <c r="M103" s="156">
        <v>336.88</v>
      </c>
      <c r="N103" s="156">
        <v>500</v>
      </c>
      <c r="O103" s="156">
        <v>2100</v>
      </c>
      <c r="P103" s="156">
        <v>2100</v>
      </c>
      <c r="Q103" s="156">
        <v>2100</v>
      </c>
      <c r="R103" s="156">
        <v>500</v>
      </c>
      <c r="S103" s="156">
        <f t="shared" si="27"/>
        <v>1600</v>
      </c>
      <c r="T103" s="156">
        <f t="shared" si="28"/>
        <v>1600</v>
      </c>
      <c r="U103" s="140">
        <f t="shared" si="29"/>
        <v>3.2</v>
      </c>
      <c r="V103" s="140" t="str">
        <f t="shared" si="30"/>
        <v/>
      </c>
      <c r="W103" s="140">
        <f t="shared" si="31"/>
        <v>1.9042750929368033</v>
      </c>
      <c r="X103" s="140">
        <f t="shared" si="32"/>
        <v>-0.32624000000000003</v>
      </c>
      <c r="Y103" s="140" t="str">
        <f t="shared" si="33"/>
        <v/>
      </c>
      <c r="Z103" s="140">
        <f t="shared" si="34"/>
        <v>0</v>
      </c>
      <c r="AA103" s="140">
        <f t="shared" si="35"/>
        <v>1.9042750929368033</v>
      </c>
      <c r="AB103" s="140">
        <f t="shared" si="36"/>
        <v>-0.32624000000000003</v>
      </c>
      <c r="AC103" s="140">
        <f t="shared" si="37"/>
        <v>0</v>
      </c>
      <c r="AD103" s="140" t="str">
        <f t="shared" si="38"/>
        <v/>
      </c>
      <c r="AE103" s="140">
        <f t="shared" si="39"/>
        <v>3.2</v>
      </c>
      <c r="AF103" s="140">
        <f t="shared" si="40"/>
        <v>3.2</v>
      </c>
      <c r="AG103" s="140">
        <f t="shared" si="41"/>
        <v>3.2</v>
      </c>
      <c r="AH103" s="140">
        <f t="shared" si="42"/>
        <v>0</v>
      </c>
      <c r="AI103" s="140" t="str">
        <f t="shared" si="43"/>
        <v/>
      </c>
      <c r="AJ103" s="140" t="str">
        <f t="shared" si="44"/>
        <v/>
      </c>
      <c r="AK103" s="140" t="str">
        <f t="shared" si="45"/>
        <v/>
      </c>
      <c r="AL103" s="140" t="str">
        <f t="shared" si="46"/>
        <v/>
      </c>
      <c r="AM103" t="str">
        <f t="shared" si="47"/>
        <v>4575-000: Travel &amp; mileage Services</v>
      </c>
      <c r="AN103" s="140">
        <f t="shared" si="48"/>
        <v>0.95213754646840165</v>
      </c>
      <c r="AO103" s="140">
        <f t="shared" si="49"/>
        <v>2.2478624535315985</v>
      </c>
      <c r="AP103" s="1">
        <f>IF(AND(AO103&gt;0, _xlfn.XLOOKUP($AM103, Discretionaries!$A$2:'Discretionaries'!$A$150, Discretionaries!$B$2:'Discretionaries'!$B$150)), (1+AN103)*$N103, "")</f>
        <v>976.06877323420088</v>
      </c>
      <c r="AQ103" s="1">
        <f>IF(AND(AO103&gt;0, _xlfn.XLOOKUP($AM103, Discretionaries!$A$2:'Discretionaries'!$A$150, Discretionaries!$B$2:'Discretionaries'!$B$150)),AP103-$Q103,"")</f>
        <v>-1123.9312267657992</v>
      </c>
      <c r="AR103" s="140">
        <f>IF(AG103="", 0-CPI!$B$15, AG103-CPI!$B$15)</f>
        <v>3.161</v>
      </c>
      <c r="AS103" s="1">
        <f>IF(AND(AR103&gt;0, _xlfn.XLOOKUP($AM103, Discretionaries!$A$2:'Discretionaries'!$A$150, Discretionaries!$B$2:'Discretionaries'!$B$150)), (1+CPI!$B$15)*$N103, "")</f>
        <v>519.5</v>
      </c>
      <c r="AT103" s="1">
        <f>IF(AND(AR103&gt;0, _xlfn.XLOOKUP($AM103, Discretionaries!$A$2:'Discretionaries'!$A$150, Discretionaries!$B$2:'Discretionaries'!$B$150)),AS103-$Q103,"")</f>
        <v>-1580.5</v>
      </c>
    </row>
    <row r="104" spans="1:46" x14ac:dyDescent="0.3">
      <c r="A104" t="s">
        <v>416</v>
      </c>
      <c r="B104" t="str">
        <f t="shared" si="25"/>
        <v>08</v>
      </c>
      <c r="C104" t="s">
        <v>408</v>
      </c>
      <c r="D104" t="str">
        <f t="shared" si="26"/>
        <v>00</v>
      </c>
      <c r="E104" t="s">
        <v>30</v>
      </c>
      <c r="F104" s="139" t="s">
        <v>31</v>
      </c>
      <c r="G104" t="s">
        <v>32</v>
      </c>
      <c r="H104" s="156">
        <v>0</v>
      </c>
      <c r="I104" s="156">
        <v>0</v>
      </c>
      <c r="J104" s="156">
        <v>0</v>
      </c>
      <c r="K104" s="156">
        <v>0</v>
      </c>
      <c r="L104" s="156">
        <v>0</v>
      </c>
      <c r="M104" s="156">
        <v>0</v>
      </c>
      <c r="N104" s="156">
        <v>0</v>
      </c>
      <c r="O104" s="156">
        <v>3000</v>
      </c>
      <c r="P104" s="156">
        <v>3000</v>
      </c>
      <c r="Q104" s="156">
        <v>3000</v>
      </c>
      <c r="R104" s="156">
        <v>0</v>
      </c>
      <c r="S104" s="156">
        <f t="shared" si="27"/>
        <v>3000</v>
      </c>
      <c r="T104" s="156">
        <f t="shared" si="28"/>
        <v>3000</v>
      </c>
      <c r="U104" s="140" t="str">
        <f t="shared" si="29"/>
        <v/>
      </c>
      <c r="V104" s="140" t="str">
        <f t="shared" si="30"/>
        <v/>
      </c>
      <c r="W104" s="140" t="str">
        <f t="shared" si="31"/>
        <v/>
      </c>
      <c r="X104" s="140" t="str">
        <f t="shared" si="32"/>
        <v/>
      </c>
      <c r="Y104" s="140" t="str">
        <f t="shared" si="33"/>
        <v/>
      </c>
      <c r="Z104" s="140" t="str">
        <f t="shared" si="34"/>
        <v/>
      </c>
      <c r="AA104" s="140" t="str">
        <f t="shared" si="35"/>
        <v/>
      </c>
      <c r="AB104" s="140" t="str">
        <f t="shared" si="36"/>
        <v/>
      </c>
      <c r="AC104" s="140" t="str">
        <f t="shared" si="37"/>
        <v/>
      </c>
      <c r="AD104" s="140" t="str">
        <f t="shared" si="38"/>
        <v/>
      </c>
      <c r="AE104" s="140" t="str">
        <f t="shared" si="39"/>
        <v/>
      </c>
      <c r="AF104" s="140" t="str">
        <f t="shared" si="40"/>
        <v/>
      </c>
      <c r="AG104" s="140" t="str">
        <f t="shared" si="41"/>
        <v/>
      </c>
      <c r="AH104" s="140" t="str">
        <f t="shared" si="42"/>
        <v/>
      </c>
      <c r="AI104" s="140" t="str">
        <f t="shared" si="43"/>
        <v/>
      </c>
      <c r="AJ104" s="140" t="str">
        <f t="shared" si="44"/>
        <v/>
      </c>
      <c r="AK104" s="140" t="str">
        <f t="shared" si="45"/>
        <v/>
      </c>
      <c r="AL104" s="140" t="str">
        <f t="shared" si="46"/>
        <v/>
      </c>
      <c r="AM104" t="str">
        <f t="shared" si="47"/>
        <v>4610-000: General expenses Supplies</v>
      </c>
      <c r="AN104" s="140">
        <f t="shared" si="48"/>
        <v>0</v>
      </c>
      <c r="AO104" s="140">
        <f t="shared" si="49"/>
        <v>0</v>
      </c>
      <c r="AP104" s="1" t="str">
        <f>IF(AND(AO104&gt;0, _xlfn.XLOOKUP($AM104, Discretionaries!$A$2:'Discretionaries'!$A$150, Discretionaries!$B$2:'Discretionaries'!$B$150)), (1+AN104)*$N104, "")</f>
        <v/>
      </c>
      <c r="AQ104" s="1" t="str">
        <f>IF(AND(AO104&gt;0, _xlfn.XLOOKUP($AM104, Discretionaries!$A$2:'Discretionaries'!$A$150, Discretionaries!$B$2:'Discretionaries'!$B$150)),AP104-$Q104,"")</f>
        <v/>
      </c>
      <c r="AR104" s="140">
        <f>IF(AG104="", 0-CPI!$B$15, AG104-CPI!$B$15)</f>
        <v>-3.8999999999999993E-2</v>
      </c>
      <c r="AS104" s="1" t="str">
        <f>IF(AND(AR104&gt;0, _xlfn.XLOOKUP($AM104, Discretionaries!$A$2:'Discretionaries'!$A$150, Discretionaries!$B$2:'Discretionaries'!$B$150)), (1+CPI!$B$15)*$N104, "")</f>
        <v/>
      </c>
      <c r="AT104" s="1" t="str">
        <f>IF(AND(AR104&gt;0, _xlfn.XLOOKUP($AM104, Discretionaries!$A$2:'Discretionaries'!$A$150, Discretionaries!$B$2:'Discretionaries'!$B$150)),AS104-$Q104,"")</f>
        <v/>
      </c>
    </row>
    <row r="105" spans="1:46" x14ac:dyDescent="0.3">
      <c r="A105" t="s">
        <v>416</v>
      </c>
      <c r="B105" t="str">
        <f t="shared" si="25"/>
        <v>08</v>
      </c>
      <c r="C105" t="s">
        <v>408</v>
      </c>
      <c r="D105" t="str">
        <f t="shared" si="26"/>
        <v>00</v>
      </c>
      <c r="E105" t="s">
        <v>30</v>
      </c>
      <c r="F105" s="139" t="s">
        <v>51</v>
      </c>
      <c r="G105" t="s">
        <v>48</v>
      </c>
      <c r="H105" s="156">
        <v>3500</v>
      </c>
      <c r="I105" s="156">
        <v>2308.0500000000002</v>
      </c>
      <c r="J105" s="156">
        <v>3500</v>
      </c>
      <c r="K105" s="156">
        <v>3264.63</v>
      </c>
      <c r="L105" s="156">
        <v>3500</v>
      </c>
      <c r="M105" s="156">
        <v>4293.9799999999996</v>
      </c>
      <c r="N105" s="156">
        <v>3500</v>
      </c>
      <c r="O105" s="156">
        <v>3900</v>
      </c>
      <c r="P105" s="156">
        <v>3900</v>
      </c>
      <c r="Q105" s="156">
        <v>3900</v>
      </c>
      <c r="R105" s="156">
        <v>3500</v>
      </c>
      <c r="S105" s="156">
        <f t="shared" si="27"/>
        <v>400</v>
      </c>
      <c r="T105" s="156">
        <f t="shared" si="28"/>
        <v>400</v>
      </c>
      <c r="U105" s="140">
        <f t="shared" si="29"/>
        <v>0.11428571428571428</v>
      </c>
      <c r="V105" s="140">
        <f t="shared" si="30"/>
        <v>-0.34055714285714278</v>
      </c>
      <c r="W105" s="140">
        <f t="shared" si="31"/>
        <v>-6.7248571428571394E-2</v>
      </c>
      <c r="X105" s="140">
        <f t="shared" si="32"/>
        <v>0.22685142857142845</v>
      </c>
      <c r="Y105" s="140">
        <f t="shared" si="33"/>
        <v>0</v>
      </c>
      <c r="Z105" s="140">
        <f t="shared" si="34"/>
        <v>0.41445375966725151</v>
      </c>
      <c r="AA105" s="140">
        <f t="shared" si="35"/>
        <v>0</v>
      </c>
      <c r="AB105" s="140">
        <f t="shared" si="36"/>
        <v>0.3153037250775737</v>
      </c>
      <c r="AC105" s="140">
        <f t="shared" si="37"/>
        <v>0</v>
      </c>
      <c r="AD105" s="140">
        <f t="shared" si="38"/>
        <v>0</v>
      </c>
      <c r="AE105" s="140">
        <f t="shared" si="39"/>
        <v>0.11428571428571428</v>
      </c>
      <c r="AF105" s="140">
        <f t="shared" si="40"/>
        <v>0.11428571428571428</v>
      </c>
      <c r="AG105" s="140">
        <f t="shared" si="41"/>
        <v>0.11428571428571428</v>
      </c>
      <c r="AH105" s="140">
        <f t="shared" si="42"/>
        <v>0</v>
      </c>
      <c r="AI105" s="140">
        <f t="shared" si="43"/>
        <v>0.11428571428571428</v>
      </c>
      <c r="AJ105" s="140">
        <f t="shared" si="44"/>
        <v>0.11428571428571428</v>
      </c>
      <c r="AK105" s="140">
        <f t="shared" si="45"/>
        <v>0.11428571428571428</v>
      </c>
      <c r="AL105" s="140">
        <f t="shared" si="46"/>
        <v>0</v>
      </c>
      <c r="AM105" t="str">
        <f t="shared" si="47"/>
        <v>4620-000: Office supplies Supplies</v>
      </c>
      <c r="AN105" s="140">
        <f t="shared" si="48"/>
        <v>0</v>
      </c>
      <c r="AO105" s="140">
        <f t="shared" si="49"/>
        <v>0.11428571428571428</v>
      </c>
      <c r="AP105" s="1">
        <f>IF(AND(AO105&gt;0, _xlfn.XLOOKUP($AM105, Discretionaries!$A$2:'Discretionaries'!$A$150, Discretionaries!$B$2:'Discretionaries'!$B$150)), (1+AN105)*$N105, "")</f>
        <v>3500</v>
      </c>
      <c r="AQ105" s="1">
        <f>IF(AND(AO105&gt;0, _xlfn.XLOOKUP($AM105, Discretionaries!$A$2:'Discretionaries'!$A$150, Discretionaries!$B$2:'Discretionaries'!$B$150)),AP105-$Q105,"")</f>
        <v>-400</v>
      </c>
      <c r="AR105" s="140">
        <f>IF(AG105="", 0-CPI!$B$15, AG105-CPI!$B$15)</f>
        <v>7.5285714285714289E-2</v>
      </c>
      <c r="AS105" s="1">
        <f>IF(AND(AR105&gt;0, _xlfn.XLOOKUP($AM105, Discretionaries!$A$2:'Discretionaries'!$A$150, Discretionaries!$B$2:'Discretionaries'!$B$150)), (1+CPI!$B$15)*$N105, "")</f>
        <v>3636.4999999999995</v>
      </c>
      <c r="AT105" s="1">
        <f>IF(AND(AR105&gt;0, _xlfn.XLOOKUP($AM105, Discretionaries!$A$2:'Discretionaries'!$A$150, Discretionaries!$B$2:'Discretionaries'!$B$150)),AS105-$Q105,"")</f>
        <v>-263.50000000000045</v>
      </c>
    </row>
    <row r="106" spans="1:46" x14ac:dyDescent="0.3">
      <c r="A106" t="s">
        <v>416</v>
      </c>
      <c r="B106" t="str">
        <f t="shared" si="25"/>
        <v>08</v>
      </c>
      <c r="C106" t="s">
        <v>408</v>
      </c>
      <c r="D106" t="str">
        <f t="shared" si="26"/>
        <v>00</v>
      </c>
      <c r="E106" t="s">
        <v>30</v>
      </c>
      <c r="F106" s="139" t="s">
        <v>52</v>
      </c>
      <c r="G106" t="s">
        <v>49</v>
      </c>
      <c r="H106" s="156">
        <v>2000</v>
      </c>
      <c r="I106" s="156">
        <v>935.36</v>
      </c>
      <c r="J106" s="156">
        <v>2000</v>
      </c>
      <c r="K106" s="156">
        <v>1315.06</v>
      </c>
      <c r="L106" s="156">
        <v>2000</v>
      </c>
      <c r="M106" s="156">
        <v>1842.29</v>
      </c>
      <c r="N106" s="156">
        <v>1400</v>
      </c>
      <c r="O106" s="156">
        <v>1400</v>
      </c>
      <c r="P106" s="156">
        <v>1400</v>
      </c>
      <c r="Q106" s="156">
        <v>1400</v>
      </c>
      <c r="R106" s="156">
        <v>1400</v>
      </c>
      <c r="S106" s="156">
        <f t="shared" si="27"/>
        <v>0</v>
      </c>
      <c r="T106" s="156">
        <f t="shared" si="28"/>
        <v>0</v>
      </c>
      <c r="U106" s="140">
        <f t="shared" si="29"/>
        <v>0</v>
      </c>
      <c r="V106" s="140">
        <f t="shared" si="30"/>
        <v>-0.5323199999999999</v>
      </c>
      <c r="W106" s="140">
        <f t="shared" si="31"/>
        <v>-0.34247000000000005</v>
      </c>
      <c r="X106" s="140">
        <f t="shared" si="32"/>
        <v>-7.8855000000000022E-2</v>
      </c>
      <c r="Y106" s="140">
        <f t="shared" si="33"/>
        <v>0</v>
      </c>
      <c r="Z106" s="140">
        <f t="shared" si="34"/>
        <v>0.40593995894628798</v>
      </c>
      <c r="AA106" s="140">
        <f t="shared" si="35"/>
        <v>0</v>
      </c>
      <c r="AB106" s="140">
        <f t="shared" si="36"/>
        <v>0.40091706842273361</v>
      </c>
      <c r="AC106" s="140">
        <f t="shared" si="37"/>
        <v>-0.3</v>
      </c>
      <c r="AD106" s="140">
        <f t="shared" si="38"/>
        <v>-0.3</v>
      </c>
      <c r="AE106" s="140">
        <f t="shared" si="39"/>
        <v>0</v>
      </c>
      <c r="AF106" s="140">
        <f t="shared" si="40"/>
        <v>0</v>
      </c>
      <c r="AG106" s="140">
        <f t="shared" si="41"/>
        <v>0</v>
      </c>
      <c r="AH106" s="140">
        <f t="shared" si="42"/>
        <v>0</v>
      </c>
      <c r="AI106" s="140">
        <f t="shared" si="43"/>
        <v>-0.3</v>
      </c>
      <c r="AJ106" s="140">
        <f t="shared" si="44"/>
        <v>-0.3</v>
      </c>
      <c r="AK106" s="140">
        <f t="shared" si="45"/>
        <v>-0.3</v>
      </c>
      <c r="AL106" s="140">
        <f t="shared" si="46"/>
        <v>-0.3</v>
      </c>
      <c r="AM106" t="str">
        <f t="shared" si="47"/>
        <v>4625-000: Postage Supplies</v>
      </c>
      <c r="AN106" s="140">
        <f t="shared" si="48"/>
        <v>-9.9999999999999992E-2</v>
      </c>
      <c r="AO106" s="140">
        <f t="shared" si="49"/>
        <v>9.9999999999999992E-2</v>
      </c>
      <c r="AP106" s="1">
        <f>IF(AND(AO106&gt;0, _xlfn.XLOOKUP($AM106, Discretionaries!$A$2:'Discretionaries'!$A$150, Discretionaries!$B$2:'Discretionaries'!$B$150)), (1+AN106)*$N106, "")</f>
        <v>1260</v>
      </c>
      <c r="AQ106" s="1">
        <f>IF(AND(AO106&gt;0, _xlfn.XLOOKUP($AM106, Discretionaries!$A$2:'Discretionaries'!$A$150, Discretionaries!$B$2:'Discretionaries'!$B$150)),AP106-$Q106,"")</f>
        <v>-140</v>
      </c>
      <c r="AR106" s="140">
        <f>IF(AG106="", 0-CPI!$B$15, AG106-CPI!$B$15)</f>
        <v>-3.8999999999999993E-2</v>
      </c>
      <c r="AS106" s="1" t="str">
        <f>IF(AND(AR106&gt;0, _xlfn.XLOOKUP($AM106, Discretionaries!$A$2:'Discretionaries'!$A$150, Discretionaries!$B$2:'Discretionaries'!$B$150)), (1+CPI!$B$15)*$N106, "")</f>
        <v/>
      </c>
      <c r="AT106" s="1" t="str">
        <f>IF(AND(AR106&gt;0, _xlfn.XLOOKUP($AM106, Discretionaries!$A$2:'Discretionaries'!$A$150, Discretionaries!$B$2:'Discretionaries'!$B$150)),AS106-$Q106,"")</f>
        <v/>
      </c>
    </row>
    <row r="107" spans="1:46" x14ac:dyDescent="0.3">
      <c r="A107" t="s">
        <v>416</v>
      </c>
      <c r="B107" t="str">
        <f t="shared" si="25"/>
        <v>08</v>
      </c>
      <c r="C107" t="s">
        <v>408</v>
      </c>
      <c r="D107" t="str">
        <f t="shared" si="26"/>
        <v>00</v>
      </c>
      <c r="E107" t="s">
        <v>30</v>
      </c>
      <c r="F107" s="139" t="s">
        <v>53</v>
      </c>
      <c r="G107" t="s">
        <v>50</v>
      </c>
      <c r="H107" s="156">
        <v>100</v>
      </c>
      <c r="I107" s="156">
        <v>0</v>
      </c>
      <c r="J107" s="156">
        <v>100</v>
      </c>
      <c r="K107" s="156">
        <v>0</v>
      </c>
      <c r="L107" s="156">
        <v>100</v>
      </c>
      <c r="M107" s="156">
        <v>0</v>
      </c>
      <c r="N107" s="156">
        <v>75</v>
      </c>
      <c r="O107" s="156">
        <v>50</v>
      </c>
      <c r="P107" s="156">
        <v>50</v>
      </c>
      <c r="Q107" s="156">
        <v>50</v>
      </c>
      <c r="R107" s="156">
        <v>75</v>
      </c>
      <c r="S107" s="156">
        <f t="shared" si="27"/>
        <v>-25</v>
      </c>
      <c r="T107" s="156">
        <f t="shared" si="28"/>
        <v>-25</v>
      </c>
      <c r="U107" s="140">
        <f t="shared" si="29"/>
        <v>-0.33333333333333331</v>
      </c>
      <c r="V107" s="140">
        <f t="shared" si="30"/>
        <v>-1</v>
      </c>
      <c r="W107" s="140">
        <f t="shared" si="31"/>
        <v>-1</v>
      </c>
      <c r="X107" s="140">
        <f t="shared" si="32"/>
        <v>-1</v>
      </c>
      <c r="Y107" s="140">
        <f t="shared" si="33"/>
        <v>0</v>
      </c>
      <c r="Z107" s="140" t="str">
        <f t="shared" si="34"/>
        <v/>
      </c>
      <c r="AA107" s="140">
        <f t="shared" si="35"/>
        <v>0</v>
      </c>
      <c r="AB107" s="140" t="str">
        <f t="shared" si="36"/>
        <v/>
      </c>
      <c r="AC107" s="140">
        <f t="shared" si="37"/>
        <v>-0.25</v>
      </c>
      <c r="AD107" s="140">
        <f t="shared" si="38"/>
        <v>-0.25</v>
      </c>
      <c r="AE107" s="140">
        <f t="shared" si="39"/>
        <v>-0.33333333333333331</v>
      </c>
      <c r="AF107" s="140">
        <f t="shared" si="40"/>
        <v>-0.33333333333333331</v>
      </c>
      <c r="AG107" s="140">
        <f t="shared" si="41"/>
        <v>-0.33333333333333331</v>
      </c>
      <c r="AH107" s="140">
        <f t="shared" si="42"/>
        <v>0</v>
      </c>
      <c r="AI107" s="140">
        <f t="shared" si="43"/>
        <v>-0.5</v>
      </c>
      <c r="AJ107" s="140">
        <f t="shared" si="44"/>
        <v>-0.5</v>
      </c>
      <c r="AK107" s="140">
        <f t="shared" si="45"/>
        <v>-0.5</v>
      </c>
      <c r="AL107" s="140">
        <f t="shared" si="46"/>
        <v>-0.25</v>
      </c>
      <c r="AM107" t="str">
        <f t="shared" si="47"/>
        <v>4670-000: Books &amp; periodicals Supplies</v>
      </c>
      <c r="AN107" s="140">
        <f t="shared" si="48"/>
        <v>-8.3333333333333329E-2</v>
      </c>
      <c r="AO107" s="140">
        <f t="shared" si="49"/>
        <v>-0.25</v>
      </c>
      <c r="AP107" s="1" t="str">
        <f>IF(AND(AO107&gt;0, _xlfn.XLOOKUP($AM107, Discretionaries!$A$2:'Discretionaries'!$A$150, Discretionaries!$B$2:'Discretionaries'!$B$150)), (1+AN107)*$N107, "")</f>
        <v/>
      </c>
      <c r="AQ107" s="1" t="str">
        <f>IF(AND(AO107&gt;0, _xlfn.XLOOKUP($AM107, Discretionaries!$A$2:'Discretionaries'!$A$150, Discretionaries!$B$2:'Discretionaries'!$B$150)),AP107-$Q107,"")</f>
        <v/>
      </c>
      <c r="AR107" s="140">
        <f>IF(AG107="", 0-CPI!$B$15, AG107-CPI!$B$15)</f>
        <v>-0.37233333333333329</v>
      </c>
      <c r="AS107" s="1" t="str">
        <f>IF(AND(AR107&gt;0, _xlfn.XLOOKUP($AM107, Discretionaries!$A$2:'Discretionaries'!$A$150, Discretionaries!$B$2:'Discretionaries'!$B$150)), (1+CPI!$B$15)*$N107, "")</f>
        <v/>
      </c>
      <c r="AT107" s="1" t="str">
        <f>IF(AND(AR107&gt;0, _xlfn.XLOOKUP($AM107, Discretionaries!$A$2:'Discretionaries'!$A$150, Discretionaries!$B$2:'Discretionaries'!$B$150)),AS107-$Q107,"")</f>
        <v/>
      </c>
    </row>
    <row r="108" spans="1:46" x14ac:dyDescent="0.3">
      <c r="A108" t="s">
        <v>416</v>
      </c>
      <c r="B108" t="str">
        <f t="shared" si="25"/>
        <v>08</v>
      </c>
      <c r="C108" t="s">
        <v>408</v>
      </c>
      <c r="D108" t="str">
        <f t="shared" si="26"/>
        <v>00</v>
      </c>
      <c r="E108" t="s">
        <v>54</v>
      </c>
      <c r="F108" s="139" t="s">
        <v>55</v>
      </c>
      <c r="G108" t="s">
        <v>56</v>
      </c>
      <c r="H108" s="156">
        <v>1000</v>
      </c>
      <c r="I108" s="156">
        <v>562.69000000000005</v>
      </c>
      <c r="J108" s="156">
        <v>0</v>
      </c>
      <c r="K108" s="156">
        <v>0</v>
      </c>
      <c r="L108" s="156">
        <v>0</v>
      </c>
      <c r="M108" s="156">
        <v>0</v>
      </c>
      <c r="N108" s="156">
        <v>0</v>
      </c>
      <c r="O108" s="156">
        <v>0</v>
      </c>
      <c r="P108" s="156">
        <v>0</v>
      </c>
      <c r="Q108" s="156">
        <v>0</v>
      </c>
      <c r="R108" s="156">
        <v>0</v>
      </c>
      <c r="S108" s="156">
        <f t="shared" si="27"/>
        <v>0</v>
      </c>
      <c r="T108" s="156">
        <f t="shared" si="28"/>
        <v>0</v>
      </c>
      <c r="U108" s="140" t="str">
        <f t="shared" si="29"/>
        <v/>
      </c>
      <c r="V108" s="140">
        <f t="shared" si="30"/>
        <v>-0.43730999999999992</v>
      </c>
      <c r="W108" s="140" t="str">
        <f t="shared" si="31"/>
        <v/>
      </c>
      <c r="X108" s="140" t="str">
        <f t="shared" si="32"/>
        <v/>
      </c>
      <c r="Y108" s="140">
        <f t="shared" si="33"/>
        <v>-1</v>
      </c>
      <c r="Z108" s="140">
        <f t="shared" si="34"/>
        <v>-1</v>
      </c>
      <c r="AA108" s="140" t="str">
        <f t="shared" si="35"/>
        <v/>
      </c>
      <c r="AB108" s="140" t="str">
        <f t="shared" si="36"/>
        <v/>
      </c>
      <c r="AC108" s="140" t="str">
        <f t="shared" si="37"/>
        <v/>
      </c>
      <c r="AD108" s="140">
        <f t="shared" si="38"/>
        <v>-1</v>
      </c>
      <c r="AE108" s="140" t="str">
        <f t="shared" si="39"/>
        <v/>
      </c>
      <c r="AF108" s="140" t="str">
        <f t="shared" si="40"/>
        <v/>
      </c>
      <c r="AG108" s="140" t="str">
        <f t="shared" si="41"/>
        <v/>
      </c>
      <c r="AH108" s="140" t="str">
        <f t="shared" si="42"/>
        <v/>
      </c>
      <c r="AI108" s="140">
        <f t="shared" si="43"/>
        <v>-1</v>
      </c>
      <c r="AJ108" s="140">
        <f t="shared" si="44"/>
        <v>-1</v>
      </c>
      <c r="AK108" s="140">
        <f t="shared" si="45"/>
        <v>-1</v>
      </c>
      <c r="AL108" s="140">
        <f t="shared" si="46"/>
        <v>-1</v>
      </c>
      <c r="AM108" t="str">
        <f t="shared" si="47"/>
        <v>4750-000: Furniture &amp; fixures Property</v>
      </c>
      <c r="AN108" s="140">
        <f t="shared" si="48"/>
        <v>-1</v>
      </c>
      <c r="AO108" s="140">
        <f t="shared" si="49"/>
        <v>1</v>
      </c>
      <c r="AP108" s="1">
        <f>IF(AND(AO108&gt;0, _xlfn.XLOOKUP($AM108, Discretionaries!$A$2:'Discretionaries'!$A$150, Discretionaries!$B$2:'Discretionaries'!$B$150)), (1+AN108)*$N108, "")</f>
        <v>0</v>
      </c>
      <c r="AQ108" s="1">
        <f>IF(AND(AO108&gt;0, _xlfn.XLOOKUP($AM108, Discretionaries!$A$2:'Discretionaries'!$A$150, Discretionaries!$B$2:'Discretionaries'!$B$150)),AP108-$Q108,"")</f>
        <v>0</v>
      </c>
      <c r="AR108" s="140">
        <f>IF(AG108="", 0-CPI!$B$15, AG108-CPI!$B$15)</f>
        <v>-3.8999999999999993E-2</v>
      </c>
      <c r="AS108" s="1" t="str">
        <f>IF(AND(AR108&gt;0, _xlfn.XLOOKUP($AM108, Discretionaries!$A$2:'Discretionaries'!$A$150, Discretionaries!$B$2:'Discretionaries'!$B$150)), (1+CPI!$B$15)*$N108, "")</f>
        <v/>
      </c>
      <c r="AT108" s="1" t="str">
        <f>IF(AND(AR108&gt;0, _xlfn.XLOOKUP($AM108, Discretionaries!$A$2:'Discretionaries'!$A$150, Discretionaries!$B$2:'Discretionaries'!$B$150)),AS108-$Q108,"")</f>
        <v/>
      </c>
    </row>
    <row r="109" spans="1:46" x14ac:dyDescent="0.3">
      <c r="A109" t="s">
        <v>416</v>
      </c>
      <c r="B109" t="str">
        <f t="shared" si="25"/>
        <v>08</v>
      </c>
      <c r="C109" t="s">
        <v>411</v>
      </c>
      <c r="D109" t="str">
        <f t="shared" si="26"/>
        <v>44</v>
      </c>
      <c r="E109" t="s">
        <v>14</v>
      </c>
      <c r="F109" s="139" t="s">
        <v>57</v>
      </c>
      <c r="G109" t="s">
        <v>58</v>
      </c>
      <c r="H109" s="156">
        <v>0</v>
      </c>
      <c r="I109" s="156">
        <v>0</v>
      </c>
      <c r="J109" s="156">
        <v>0</v>
      </c>
      <c r="K109" s="156">
        <v>0</v>
      </c>
      <c r="L109" s="156">
        <v>0</v>
      </c>
      <c r="M109" s="156">
        <v>0</v>
      </c>
      <c r="N109" s="156">
        <v>0</v>
      </c>
      <c r="O109" s="156">
        <v>0</v>
      </c>
      <c r="P109" s="156">
        <v>0</v>
      </c>
      <c r="Q109" s="156">
        <v>0</v>
      </c>
      <c r="R109" s="156">
        <v>0</v>
      </c>
      <c r="S109" s="156">
        <f t="shared" si="27"/>
        <v>0</v>
      </c>
      <c r="T109" s="156">
        <f t="shared" si="28"/>
        <v>0</v>
      </c>
      <c r="U109" s="140" t="str">
        <f t="shared" si="29"/>
        <v/>
      </c>
      <c r="V109" s="140" t="str">
        <f t="shared" si="30"/>
        <v/>
      </c>
      <c r="W109" s="140" t="str">
        <f t="shared" si="31"/>
        <v/>
      </c>
      <c r="X109" s="140" t="str">
        <f t="shared" si="32"/>
        <v/>
      </c>
      <c r="Y109" s="140" t="str">
        <f t="shared" si="33"/>
        <v/>
      </c>
      <c r="Z109" s="140" t="str">
        <f t="shared" si="34"/>
        <v/>
      </c>
      <c r="AA109" s="140" t="str">
        <f t="shared" si="35"/>
        <v/>
      </c>
      <c r="AB109" s="140" t="str">
        <f t="shared" si="36"/>
        <v/>
      </c>
      <c r="AC109" s="140" t="str">
        <f t="shared" si="37"/>
        <v/>
      </c>
      <c r="AD109" s="140" t="str">
        <f t="shared" si="38"/>
        <v/>
      </c>
      <c r="AE109" s="140" t="str">
        <f t="shared" si="39"/>
        <v/>
      </c>
      <c r="AF109" s="140" t="str">
        <f t="shared" si="40"/>
        <v/>
      </c>
      <c r="AG109" s="140" t="str">
        <f t="shared" si="41"/>
        <v/>
      </c>
      <c r="AH109" s="140" t="str">
        <f t="shared" si="42"/>
        <v/>
      </c>
      <c r="AI109" s="140" t="str">
        <f t="shared" si="43"/>
        <v/>
      </c>
      <c r="AJ109" s="140" t="str">
        <f t="shared" si="44"/>
        <v/>
      </c>
      <c r="AK109" s="140" t="str">
        <f t="shared" si="45"/>
        <v/>
      </c>
      <c r="AL109" s="140" t="str">
        <f t="shared" si="46"/>
        <v/>
      </c>
      <c r="AM109" t="str">
        <f t="shared" si="47"/>
        <v>4210-000: Health Ins Benefits</v>
      </c>
      <c r="AN109" s="140">
        <f t="shared" si="48"/>
        <v>0</v>
      </c>
      <c r="AO109" s="140">
        <f t="shared" si="49"/>
        <v>0</v>
      </c>
      <c r="AP109" s="1" t="str">
        <f>IF(AND(AO109&gt;0, _xlfn.XLOOKUP($AM109, Discretionaries!$A$2:'Discretionaries'!$A$150, Discretionaries!$B$2:'Discretionaries'!$B$150)), (1+AN109)*$N109, "")</f>
        <v/>
      </c>
      <c r="AQ109" s="1" t="str">
        <f>IF(AND(AO109&gt;0, _xlfn.XLOOKUP($AM109, Discretionaries!$A$2:'Discretionaries'!$A$150, Discretionaries!$B$2:'Discretionaries'!$B$150)),AP109-$Q109,"")</f>
        <v/>
      </c>
      <c r="AR109" s="140">
        <f>IF(AG109="", 0-CPI!$B$15, AG109-CPI!$B$15)</f>
        <v>-3.8999999999999993E-2</v>
      </c>
      <c r="AS109" s="1" t="str">
        <f>IF(AND(AR109&gt;0, _xlfn.XLOOKUP($AM109, Discretionaries!$A$2:'Discretionaries'!$A$150, Discretionaries!$B$2:'Discretionaries'!$B$150)), (1+CPI!$B$15)*$N109, "")</f>
        <v/>
      </c>
      <c r="AT109" s="1" t="str">
        <f>IF(AND(AR109&gt;0, _xlfn.XLOOKUP($AM109, Discretionaries!$A$2:'Discretionaries'!$A$150, Discretionaries!$B$2:'Discretionaries'!$B$150)),AS109-$Q109,"")</f>
        <v/>
      </c>
    </row>
    <row r="110" spans="1:46" x14ac:dyDescent="0.3">
      <c r="A110" t="s">
        <v>416</v>
      </c>
      <c r="B110" t="str">
        <f t="shared" si="25"/>
        <v>08</v>
      </c>
      <c r="C110" t="s">
        <v>411</v>
      </c>
      <c r="D110" t="str">
        <f t="shared" si="26"/>
        <v>44</v>
      </c>
      <c r="E110" t="s">
        <v>14</v>
      </c>
      <c r="F110" s="139" t="s">
        <v>59</v>
      </c>
      <c r="G110" t="s">
        <v>60</v>
      </c>
      <c r="H110" s="156">
        <v>0</v>
      </c>
      <c r="I110" s="156">
        <v>0</v>
      </c>
      <c r="J110" s="156">
        <v>0</v>
      </c>
      <c r="K110" s="156">
        <v>0</v>
      </c>
      <c r="L110" s="156">
        <v>0</v>
      </c>
      <c r="M110" s="156">
        <v>0</v>
      </c>
      <c r="N110" s="156">
        <v>21500</v>
      </c>
      <c r="O110" s="156">
        <v>0</v>
      </c>
      <c r="P110" s="156">
        <v>0</v>
      </c>
      <c r="Q110" s="156">
        <v>0</v>
      </c>
      <c r="R110" s="156">
        <v>0</v>
      </c>
      <c r="S110" s="156">
        <f t="shared" si="27"/>
        <v>-21500</v>
      </c>
      <c r="T110" s="156">
        <f t="shared" si="28"/>
        <v>0</v>
      </c>
      <c r="U110" s="140">
        <f t="shared" si="29"/>
        <v>-1</v>
      </c>
      <c r="V110" s="140" t="str">
        <f t="shared" si="30"/>
        <v/>
      </c>
      <c r="W110" s="140" t="str">
        <f t="shared" si="31"/>
        <v/>
      </c>
      <c r="X110" s="140" t="str">
        <f t="shared" si="32"/>
        <v/>
      </c>
      <c r="Y110" s="140" t="str">
        <f t="shared" si="33"/>
        <v/>
      </c>
      <c r="Z110" s="140" t="str">
        <f t="shared" si="34"/>
        <v/>
      </c>
      <c r="AA110" s="140" t="str">
        <f t="shared" si="35"/>
        <v/>
      </c>
      <c r="AB110" s="140" t="str">
        <f t="shared" si="36"/>
        <v/>
      </c>
      <c r="AC110" s="140" t="str">
        <f t="shared" si="37"/>
        <v/>
      </c>
      <c r="AD110" s="140" t="str">
        <f t="shared" si="38"/>
        <v/>
      </c>
      <c r="AE110" s="140">
        <f t="shared" si="39"/>
        <v>-1</v>
      </c>
      <c r="AF110" s="140">
        <f t="shared" si="40"/>
        <v>-1</v>
      </c>
      <c r="AG110" s="140">
        <f t="shared" si="41"/>
        <v>-1</v>
      </c>
      <c r="AH110" s="140">
        <f t="shared" si="42"/>
        <v>-1</v>
      </c>
      <c r="AI110" s="140" t="str">
        <f t="shared" si="43"/>
        <v/>
      </c>
      <c r="AJ110" s="140" t="str">
        <f t="shared" si="44"/>
        <v/>
      </c>
      <c r="AK110" s="140" t="str">
        <f t="shared" si="45"/>
        <v/>
      </c>
      <c r="AL110" s="140" t="str">
        <f t="shared" si="46"/>
        <v/>
      </c>
      <c r="AM110" t="str">
        <f t="shared" si="47"/>
        <v>4240-000: Tuition reimbursement Benefits</v>
      </c>
      <c r="AN110" s="140">
        <f t="shared" si="48"/>
        <v>0</v>
      </c>
      <c r="AO110" s="140">
        <f t="shared" si="49"/>
        <v>-1</v>
      </c>
      <c r="AP110" s="1" t="str">
        <f>IF(AND(AO110&gt;0, _xlfn.XLOOKUP($AM110, Discretionaries!$A$2:'Discretionaries'!$A$150, Discretionaries!$B$2:'Discretionaries'!$B$150)), (1+AN110)*$N110, "")</f>
        <v/>
      </c>
      <c r="AQ110" s="1" t="str">
        <f>IF(AND(AO110&gt;0, _xlfn.XLOOKUP($AM110, Discretionaries!$A$2:'Discretionaries'!$A$150, Discretionaries!$B$2:'Discretionaries'!$B$150)),AP110-$Q110,"")</f>
        <v/>
      </c>
      <c r="AR110" s="140">
        <f>IF(AG110="", 0-CPI!$B$15, AG110-CPI!$B$15)</f>
        <v>-1.0389999999999999</v>
      </c>
      <c r="AS110" s="1" t="str">
        <f>IF(AND(AR110&gt;0, _xlfn.XLOOKUP($AM110, Discretionaries!$A$2:'Discretionaries'!$A$150, Discretionaries!$B$2:'Discretionaries'!$B$150)), (1+CPI!$B$15)*$N110, "")</f>
        <v/>
      </c>
      <c r="AT110" s="1" t="str">
        <f>IF(AND(AR110&gt;0, _xlfn.XLOOKUP($AM110, Discretionaries!$A$2:'Discretionaries'!$A$150, Discretionaries!$B$2:'Discretionaries'!$B$150)),AS110-$Q110,"")</f>
        <v/>
      </c>
    </row>
    <row r="111" spans="1:46" x14ac:dyDescent="0.3">
      <c r="A111" t="s">
        <v>417</v>
      </c>
      <c r="B111" t="str">
        <f t="shared" si="25"/>
        <v>09</v>
      </c>
      <c r="C111" t="s">
        <v>408</v>
      </c>
      <c r="D111" t="str">
        <f t="shared" si="26"/>
        <v>00</v>
      </c>
      <c r="E111" t="s">
        <v>11</v>
      </c>
      <c r="F111" s="139" t="s">
        <v>35</v>
      </c>
      <c r="G111" t="s">
        <v>36</v>
      </c>
      <c r="H111" s="156">
        <v>213375</v>
      </c>
      <c r="I111" s="156">
        <v>263129.36</v>
      </c>
      <c r="J111" s="156">
        <v>278863</v>
      </c>
      <c r="K111" s="156">
        <v>276359.14</v>
      </c>
      <c r="L111" s="156">
        <v>280617</v>
      </c>
      <c r="M111" s="156">
        <v>234227.54</v>
      </c>
      <c r="N111" s="156">
        <v>290617</v>
      </c>
      <c r="O111" s="156">
        <v>303442</v>
      </c>
      <c r="P111" s="156">
        <v>303442</v>
      </c>
      <c r="Q111" s="156">
        <v>303442</v>
      </c>
      <c r="R111" s="156">
        <v>303442</v>
      </c>
      <c r="S111" s="156">
        <f t="shared" si="27"/>
        <v>12825</v>
      </c>
      <c r="T111" s="156">
        <f t="shared" si="28"/>
        <v>0</v>
      </c>
      <c r="U111" s="140">
        <f t="shared" si="29"/>
        <v>4.4130247026154701E-2</v>
      </c>
      <c r="V111" s="140">
        <f t="shared" si="30"/>
        <v>0.2331780199179847</v>
      </c>
      <c r="W111" s="140">
        <f t="shared" si="31"/>
        <v>-8.9788175555738335E-3</v>
      </c>
      <c r="X111" s="140">
        <f t="shared" si="32"/>
        <v>-0.16531236525228332</v>
      </c>
      <c r="Y111" s="140">
        <f t="shared" si="33"/>
        <v>0.30691505565319271</v>
      </c>
      <c r="Z111" s="140">
        <f t="shared" si="34"/>
        <v>5.027861581086971E-2</v>
      </c>
      <c r="AA111" s="140">
        <f t="shared" si="35"/>
        <v>6.2898269042504741E-3</v>
      </c>
      <c r="AB111" s="140">
        <f t="shared" si="36"/>
        <v>-0.15245234878064826</v>
      </c>
      <c r="AC111" s="140">
        <f t="shared" si="37"/>
        <v>3.5635759772216224E-2</v>
      </c>
      <c r="AD111" s="140">
        <f t="shared" si="38"/>
        <v>0.36200117164616286</v>
      </c>
      <c r="AE111" s="140">
        <f t="shared" si="39"/>
        <v>4.4130247026154701E-2</v>
      </c>
      <c r="AF111" s="140">
        <f t="shared" si="40"/>
        <v>4.4130247026154701E-2</v>
      </c>
      <c r="AG111" s="140">
        <f t="shared" si="41"/>
        <v>4.4130247026154701E-2</v>
      </c>
      <c r="AH111" s="140">
        <f t="shared" si="42"/>
        <v>4.4130247026154701E-2</v>
      </c>
      <c r="AI111" s="140">
        <f t="shared" si="43"/>
        <v>0.42210661980082015</v>
      </c>
      <c r="AJ111" s="140">
        <f t="shared" si="44"/>
        <v>0.42210661980082015</v>
      </c>
      <c r="AK111" s="140">
        <f t="shared" si="45"/>
        <v>0.42210661980082015</v>
      </c>
      <c r="AL111" s="140">
        <f t="shared" si="46"/>
        <v>0.42210661980082015</v>
      </c>
      <c r="AM111" t="str">
        <f t="shared" si="47"/>
        <v>4110-000: Regular Salaries</v>
      </c>
      <c r="AN111" s="140">
        <f t="shared" si="48"/>
        <v>0.11628021410988647</v>
      </c>
      <c r="AO111" s="140">
        <f t="shared" si="49"/>
        <v>-7.2149967083731767E-2</v>
      </c>
      <c r="AP111" s="1" t="str">
        <f>IF(AND(AO111&gt;0, _xlfn.XLOOKUP($AM111, Discretionaries!$A$2:'Discretionaries'!$A$150, Discretionaries!$B$2:'Discretionaries'!$B$150)), (1+AN111)*$N111, "")</f>
        <v/>
      </c>
      <c r="AQ111" s="1" t="str">
        <f>IF(AND(AO111&gt;0, _xlfn.XLOOKUP($AM111, Discretionaries!$A$2:'Discretionaries'!$A$150, Discretionaries!$B$2:'Discretionaries'!$B$150)),AP111-$Q111,"")</f>
        <v/>
      </c>
      <c r="AR111" s="140">
        <f>IF(AG111="", 0-CPI!$B$15, AG111-CPI!$B$15)</f>
        <v>5.1302470261547078E-3</v>
      </c>
      <c r="AS111" s="1" t="str">
        <f>IF(AND(AR111&gt;0, _xlfn.XLOOKUP($AM111, Discretionaries!$A$2:'Discretionaries'!$A$150, Discretionaries!$B$2:'Discretionaries'!$B$150)), (1+CPI!$B$15)*$N111, "")</f>
        <v/>
      </c>
      <c r="AT111" s="1" t="str">
        <f>IF(AND(AR111&gt;0, _xlfn.XLOOKUP($AM111, Discretionaries!$A$2:'Discretionaries'!$A$150, Discretionaries!$B$2:'Discretionaries'!$B$150)),AS111-$Q111,"")</f>
        <v/>
      </c>
    </row>
    <row r="112" spans="1:46" x14ac:dyDescent="0.3">
      <c r="A112" t="s">
        <v>417</v>
      </c>
      <c r="B112" t="str">
        <f t="shared" si="25"/>
        <v>09</v>
      </c>
      <c r="C112" t="s">
        <v>408</v>
      </c>
      <c r="D112" t="str">
        <f t="shared" si="26"/>
        <v>00</v>
      </c>
      <c r="E112" t="s">
        <v>11</v>
      </c>
      <c r="F112" s="139" t="s">
        <v>37</v>
      </c>
      <c r="G112" t="s">
        <v>38</v>
      </c>
      <c r="H112" s="156">
        <v>36897</v>
      </c>
      <c r="I112" s="156">
        <v>0</v>
      </c>
      <c r="J112" s="156">
        <v>0</v>
      </c>
      <c r="K112" s="156">
        <v>0</v>
      </c>
      <c r="L112" s="156">
        <v>0</v>
      </c>
      <c r="M112" s="156">
        <v>0</v>
      </c>
      <c r="N112" s="156">
        <v>0</v>
      </c>
      <c r="O112" s="156">
        <v>0</v>
      </c>
      <c r="P112" s="156">
        <v>0</v>
      </c>
      <c r="Q112" s="156">
        <v>0</v>
      </c>
      <c r="R112" s="156">
        <v>0</v>
      </c>
      <c r="S112" s="156">
        <f t="shared" si="27"/>
        <v>0</v>
      </c>
      <c r="T112" s="156">
        <f t="shared" si="28"/>
        <v>0</v>
      </c>
      <c r="U112" s="140" t="str">
        <f t="shared" si="29"/>
        <v/>
      </c>
      <c r="V112" s="140">
        <f t="shared" si="30"/>
        <v>-1</v>
      </c>
      <c r="W112" s="140" t="str">
        <f t="shared" si="31"/>
        <v/>
      </c>
      <c r="X112" s="140" t="str">
        <f t="shared" si="32"/>
        <v/>
      </c>
      <c r="Y112" s="140">
        <f t="shared" si="33"/>
        <v>-1</v>
      </c>
      <c r="Z112" s="140" t="str">
        <f t="shared" si="34"/>
        <v/>
      </c>
      <c r="AA112" s="140" t="str">
        <f t="shared" si="35"/>
        <v/>
      </c>
      <c r="AB112" s="140" t="str">
        <f t="shared" si="36"/>
        <v/>
      </c>
      <c r="AC112" s="140" t="str">
        <f t="shared" si="37"/>
        <v/>
      </c>
      <c r="AD112" s="140">
        <f t="shared" si="38"/>
        <v>-1</v>
      </c>
      <c r="AE112" s="140" t="str">
        <f t="shared" si="39"/>
        <v/>
      </c>
      <c r="AF112" s="140" t="str">
        <f t="shared" si="40"/>
        <v/>
      </c>
      <c r="AG112" s="140" t="str">
        <f t="shared" si="41"/>
        <v/>
      </c>
      <c r="AH112" s="140" t="str">
        <f t="shared" si="42"/>
        <v/>
      </c>
      <c r="AI112" s="140">
        <f t="shared" si="43"/>
        <v>-1</v>
      </c>
      <c r="AJ112" s="140">
        <f t="shared" si="44"/>
        <v>-1</v>
      </c>
      <c r="AK112" s="140">
        <f t="shared" si="45"/>
        <v>-1</v>
      </c>
      <c r="AL112" s="140">
        <f t="shared" si="46"/>
        <v>-1</v>
      </c>
      <c r="AM112" t="str">
        <f t="shared" si="47"/>
        <v>4120-000: Part-time Salaries</v>
      </c>
      <c r="AN112" s="140">
        <f t="shared" si="48"/>
        <v>-1</v>
      </c>
      <c r="AO112" s="140">
        <f t="shared" si="49"/>
        <v>1</v>
      </c>
      <c r="AP112" s="1" t="str">
        <f>IF(AND(AO112&gt;0, _xlfn.XLOOKUP($AM112, Discretionaries!$A$2:'Discretionaries'!$A$150, Discretionaries!$B$2:'Discretionaries'!$B$150)), (1+AN112)*$N112, "")</f>
        <v/>
      </c>
      <c r="AQ112" s="1" t="str">
        <f>IF(AND(AO112&gt;0, _xlfn.XLOOKUP($AM112, Discretionaries!$A$2:'Discretionaries'!$A$150, Discretionaries!$B$2:'Discretionaries'!$B$150)),AP112-$Q112,"")</f>
        <v/>
      </c>
      <c r="AR112" s="140">
        <f>IF(AG112="", 0-CPI!$B$15, AG112-CPI!$B$15)</f>
        <v>-3.8999999999999993E-2</v>
      </c>
      <c r="AS112" s="1" t="str">
        <f>IF(AND(AR112&gt;0, _xlfn.XLOOKUP($AM112, Discretionaries!$A$2:'Discretionaries'!$A$150, Discretionaries!$B$2:'Discretionaries'!$B$150)), (1+CPI!$B$15)*$N112, "")</f>
        <v/>
      </c>
      <c r="AT112" s="1" t="str">
        <f>IF(AND(AR112&gt;0, _xlfn.XLOOKUP($AM112, Discretionaries!$A$2:'Discretionaries'!$A$150, Discretionaries!$B$2:'Discretionaries'!$B$150)),AS112-$Q112,"")</f>
        <v/>
      </c>
    </row>
    <row r="113" spans="1:46" x14ac:dyDescent="0.3">
      <c r="A113" t="s">
        <v>417</v>
      </c>
      <c r="B113" t="str">
        <f t="shared" si="25"/>
        <v>09</v>
      </c>
      <c r="C113" t="s">
        <v>408</v>
      </c>
      <c r="D113" t="str">
        <f t="shared" si="26"/>
        <v>00</v>
      </c>
      <c r="E113" t="s">
        <v>11</v>
      </c>
      <c r="F113" s="139" t="s">
        <v>39</v>
      </c>
      <c r="G113" t="s">
        <v>40</v>
      </c>
      <c r="H113" s="156">
        <v>1000</v>
      </c>
      <c r="I113" s="156">
        <v>233.69</v>
      </c>
      <c r="J113" s="156">
        <v>500</v>
      </c>
      <c r="K113" s="156">
        <v>0</v>
      </c>
      <c r="L113" s="156">
        <v>500</v>
      </c>
      <c r="M113" s="156">
        <v>1804.06</v>
      </c>
      <c r="N113" s="156">
        <v>500</v>
      </c>
      <c r="O113" s="156">
        <v>1000</v>
      </c>
      <c r="P113" s="156">
        <v>1000</v>
      </c>
      <c r="Q113" s="156">
        <v>1000</v>
      </c>
      <c r="R113" s="156">
        <v>500</v>
      </c>
      <c r="S113" s="156">
        <f t="shared" si="27"/>
        <v>500</v>
      </c>
      <c r="T113" s="156">
        <f t="shared" si="28"/>
        <v>500</v>
      </c>
      <c r="U113" s="140">
        <f t="shared" si="29"/>
        <v>1</v>
      </c>
      <c r="V113" s="140">
        <f t="shared" si="30"/>
        <v>-0.76630999999999994</v>
      </c>
      <c r="W113" s="140">
        <f t="shared" si="31"/>
        <v>-1</v>
      </c>
      <c r="X113" s="140">
        <f t="shared" si="32"/>
        <v>2.60812</v>
      </c>
      <c r="Y113" s="140">
        <f t="shared" si="33"/>
        <v>-0.5</v>
      </c>
      <c r="Z113" s="140">
        <f t="shared" si="34"/>
        <v>-1</v>
      </c>
      <c r="AA113" s="140">
        <f t="shared" si="35"/>
        <v>0</v>
      </c>
      <c r="AB113" s="140" t="str">
        <f t="shared" si="36"/>
        <v/>
      </c>
      <c r="AC113" s="140">
        <f t="shared" si="37"/>
        <v>0</v>
      </c>
      <c r="AD113" s="140">
        <f t="shared" si="38"/>
        <v>-0.5</v>
      </c>
      <c r="AE113" s="140">
        <f t="shared" si="39"/>
        <v>1</v>
      </c>
      <c r="AF113" s="140">
        <f t="shared" si="40"/>
        <v>1</v>
      </c>
      <c r="AG113" s="140">
        <f t="shared" si="41"/>
        <v>1</v>
      </c>
      <c r="AH113" s="140">
        <f t="shared" si="42"/>
        <v>0</v>
      </c>
      <c r="AI113" s="140">
        <f t="shared" si="43"/>
        <v>0</v>
      </c>
      <c r="AJ113" s="140">
        <f t="shared" si="44"/>
        <v>0</v>
      </c>
      <c r="AK113" s="140">
        <f t="shared" si="45"/>
        <v>0</v>
      </c>
      <c r="AL113" s="140">
        <f t="shared" si="46"/>
        <v>-0.5</v>
      </c>
      <c r="AM113" t="str">
        <f t="shared" si="47"/>
        <v>4140-000: Overtime Salaries</v>
      </c>
      <c r="AN113" s="140">
        <f t="shared" si="48"/>
        <v>-0.16666666666666666</v>
      </c>
      <c r="AO113" s="140">
        <f t="shared" si="49"/>
        <v>1.1666666666666667</v>
      </c>
      <c r="AP113" s="1" t="str">
        <f>IF(AND(AO113&gt;0, _xlfn.XLOOKUP($AM113, Discretionaries!$A$2:'Discretionaries'!$A$150, Discretionaries!$B$2:'Discretionaries'!$B$150)), (1+AN113)*$N113, "")</f>
        <v/>
      </c>
      <c r="AQ113" s="1" t="str">
        <f>IF(AND(AO113&gt;0, _xlfn.XLOOKUP($AM113, Discretionaries!$A$2:'Discretionaries'!$A$150, Discretionaries!$B$2:'Discretionaries'!$B$150)),AP113-$Q113,"")</f>
        <v/>
      </c>
      <c r="AR113" s="140">
        <f>IF(AG113="", 0-CPI!$B$15, AG113-CPI!$B$15)</f>
        <v>0.96099999999999997</v>
      </c>
      <c r="AS113" s="1" t="str">
        <f>IF(AND(AR113&gt;0, _xlfn.XLOOKUP($AM113, Discretionaries!$A$2:'Discretionaries'!$A$150, Discretionaries!$B$2:'Discretionaries'!$B$150)), (1+CPI!$B$15)*$N113, "")</f>
        <v/>
      </c>
      <c r="AT113" s="1" t="str">
        <f>IF(AND(AR113&gt;0, _xlfn.XLOOKUP($AM113, Discretionaries!$A$2:'Discretionaries'!$A$150, Discretionaries!$B$2:'Discretionaries'!$B$150)),AS113-$Q113,"")</f>
        <v/>
      </c>
    </row>
    <row r="114" spans="1:46" x14ac:dyDescent="0.3">
      <c r="A114" t="s">
        <v>417</v>
      </c>
      <c r="B114" t="str">
        <f t="shared" si="25"/>
        <v>09</v>
      </c>
      <c r="C114" t="s">
        <v>408</v>
      </c>
      <c r="D114" t="str">
        <f t="shared" si="26"/>
        <v>00</v>
      </c>
      <c r="E114" t="s">
        <v>14</v>
      </c>
      <c r="F114" s="139" t="s">
        <v>41</v>
      </c>
      <c r="G114" t="s">
        <v>42</v>
      </c>
      <c r="H114" s="156">
        <v>2821</v>
      </c>
      <c r="I114" s="156">
        <v>2044.32</v>
      </c>
      <c r="J114" s="156">
        <v>2569</v>
      </c>
      <c r="K114" s="156">
        <v>2444.33</v>
      </c>
      <c r="L114" s="156">
        <v>3619</v>
      </c>
      <c r="M114" s="156">
        <v>1605.55</v>
      </c>
      <c r="N114" s="156">
        <v>2200</v>
      </c>
      <c r="O114" s="156">
        <v>2634</v>
      </c>
      <c r="P114" s="156">
        <v>2634</v>
      </c>
      <c r="Q114" s="156">
        <v>2634</v>
      </c>
      <c r="R114" s="156">
        <v>2634</v>
      </c>
      <c r="S114" s="156">
        <f t="shared" si="27"/>
        <v>434</v>
      </c>
      <c r="T114" s="156">
        <f t="shared" si="28"/>
        <v>0</v>
      </c>
      <c r="U114" s="140">
        <f t="shared" si="29"/>
        <v>0.19727272727272727</v>
      </c>
      <c r="V114" s="140">
        <f t="shared" si="30"/>
        <v>-0.27532080822403404</v>
      </c>
      <c r="W114" s="140">
        <f t="shared" si="31"/>
        <v>-4.8528610354223463E-2</v>
      </c>
      <c r="X114" s="140">
        <f t="shared" si="32"/>
        <v>-0.55635534678087872</v>
      </c>
      <c r="Y114" s="140">
        <f t="shared" si="33"/>
        <v>-8.9330024813895778E-2</v>
      </c>
      <c r="Z114" s="140">
        <f t="shared" si="34"/>
        <v>0.1956689755028567</v>
      </c>
      <c r="AA114" s="140">
        <f t="shared" si="35"/>
        <v>0.40871934604904631</v>
      </c>
      <c r="AB114" s="140">
        <f t="shared" si="36"/>
        <v>-0.34315333854266811</v>
      </c>
      <c r="AC114" s="140">
        <f t="shared" si="37"/>
        <v>-0.39209726443769</v>
      </c>
      <c r="AD114" s="140">
        <f t="shared" si="38"/>
        <v>-0.22013470400567176</v>
      </c>
      <c r="AE114" s="140">
        <f t="shared" si="39"/>
        <v>0.19727272727272727</v>
      </c>
      <c r="AF114" s="140">
        <f t="shared" si="40"/>
        <v>0.19727272727272727</v>
      </c>
      <c r="AG114" s="140">
        <f t="shared" si="41"/>
        <v>0.19727272727272727</v>
      </c>
      <c r="AH114" s="140">
        <f t="shared" si="42"/>
        <v>0.19727272727272727</v>
      </c>
      <c r="AI114" s="140">
        <f t="shared" si="43"/>
        <v>-6.6288550159517901E-2</v>
      </c>
      <c r="AJ114" s="140">
        <f t="shared" si="44"/>
        <v>-6.6288550159517901E-2</v>
      </c>
      <c r="AK114" s="140">
        <f t="shared" si="45"/>
        <v>-6.6288550159517901E-2</v>
      </c>
      <c r="AL114" s="140">
        <f t="shared" si="46"/>
        <v>-6.6288550159517901E-2</v>
      </c>
      <c r="AM114" t="str">
        <f t="shared" si="47"/>
        <v>4215-000: STD, LTD, &amp; Life Benefits</v>
      </c>
      <c r="AN114" s="140">
        <f t="shared" si="48"/>
        <v>-2.4235981067513162E-2</v>
      </c>
      <c r="AO114" s="140">
        <f t="shared" si="49"/>
        <v>0.22150870834024042</v>
      </c>
      <c r="AP114" s="1" t="str">
        <f>IF(AND(AO114&gt;0, _xlfn.XLOOKUP($AM114, Discretionaries!$A$2:'Discretionaries'!$A$150, Discretionaries!$B$2:'Discretionaries'!$B$150)), (1+AN114)*$N114, "")</f>
        <v/>
      </c>
      <c r="AQ114" s="1" t="str">
        <f>IF(AND(AO114&gt;0, _xlfn.XLOOKUP($AM114, Discretionaries!$A$2:'Discretionaries'!$A$150, Discretionaries!$B$2:'Discretionaries'!$B$150)),AP114-$Q114,"")</f>
        <v/>
      </c>
      <c r="AR114" s="140">
        <f>IF(AG114="", 0-CPI!$B$15, AG114-CPI!$B$15)</f>
        <v>0.15827272727272729</v>
      </c>
      <c r="AS114" s="1" t="str">
        <f>IF(AND(AR114&gt;0, _xlfn.XLOOKUP($AM114, Discretionaries!$A$2:'Discretionaries'!$A$150, Discretionaries!$B$2:'Discretionaries'!$B$150)), (1+CPI!$B$15)*$N114, "")</f>
        <v/>
      </c>
      <c r="AT114" s="1" t="str">
        <f>IF(AND(AR114&gt;0, _xlfn.XLOOKUP($AM114, Discretionaries!$A$2:'Discretionaries'!$A$150, Discretionaries!$B$2:'Discretionaries'!$B$150)),AS114-$Q114,"")</f>
        <v/>
      </c>
    </row>
    <row r="115" spans="1:46" x14ac:dyDescent="0.3">
      <c r="A115" t="s">
        <v>417</v>
      </c>
      <c r="B115" t="str">
        <f t="shared" si="25"/>
        <v>09</v>
      </c>
      <c r="C115" t="s">
        <v>408</v>
      </c>
      <c r="D115" t="str">
        <f t="shared" si="26"/>
        <v>00</v>
      </c>
      <c r="E115" t="s">
        <v>14</v>
      </c>
      <c r="F115" s="139" t="s">
        <v>15</v>
      </c>
      <c r="G115" t="s">
        <v>16</v>
      </c>
      <c r="H115" s="156">
        <v>15579</v>
      </c>
      <c r="I115" s="156">
        <v>10563.18</v>
      </c>
      <c r="J115" s="156">
        <v>17321</v>
      </c>
      <c r="K115" s="156">
        <v>10370.709999999999</v>
      </c>
      <c r="L115" s="156">
        <v>17430</v>
      </c>
      <c r="M115" s="156">
        <v>9379.92</v>
      </c>
      <c r="N115" s="156">
        <v>18051</v>
      </c>
      <c r="O115" s="156">
        <v>18876</v>
      </c>
      <c r="P115" s="156">
        <v>18876</v>
      </c>
      <c r="Q115" s="156">
        <v>18876</v>
      </c>
      <c r="R115" s="156">
        <v>18845</v>
      </c>
      <c r="S115" s="156">
        <f t="shared" si="27"/>
        <v>825</v>
      </c>
      <c r="T115" s="156">
        <f t="shared" si="28"/>
        <v>31</v>
      </c>
      <c r="U115" s="140">
        <f t="shared" si="29"/>
        <v>4.5703839122486288E-2</v>
      </c>
      <c r="V115" s="140">
        <f t="shared" si="30"/>
        <v>-0.32196033121509721</v>
      </c>
      <c r="W115" s="140">
        <f t="shared" si="31"/>
        <v>-0.40126378384619832</v>
      </c>
      <c r="X115" s="140">
        <f t="shared" si="32"/>
        <v>-0.46185197934595523</v>
      </c>
      <c r="Y115" s="140">
        <f t="shared" si="33"/>
        <v>0.11181718980679119</v>
      </c>
      <c r="Z115" s="140">
        <f t="shared" si="34"/>
        <v>-1.8220838800437098E-2</v>
      </c>
      <c r="AA115" s="140">
        <f t="shared" si="35"/>
        <v>6.2929392067432597E-3</v>
      </c>
      <c r="AB115" s="140">
        <f t="shared" si="36"/>
        <v>-9.5537335437978613E-2</v>
      </c>
      <c r="AC115" s="140">
        <f t="shared" si="37"/>
        <v>3.5628227194492254E-2</v>
      </c>
      <c r="AD115" s="140">
        <f t="shared" si="38"/>
        <v>0.15867513961101481</v>
      </c>
      <c r="AE115" s="140">
        <f t="shared" si="39"/>
        <v>4.5703839122486288E-2</v>
      </c>
      <c r="AF115" s="140">
        <f t="shared" si="40"/>
        <v>4.5703839122486288E-2</v>
      </c>
      <c r="AG115" s="140">
        <f t="shared" si="41"/>
        <v>4.5703839122486288E-2</v>
      </c>
      <c r="AH115" s="140">
        <f t="shared" si="42"/>
        <v>4.3986482743338322E-2</v>
      </c>
      <c r="AI115" s="140">
        <f t="shared" si="43"/>
        <v>0.211631041787021</v>
      </c>
      <c r="AJ115" s="140">
        <f t="shared" si="44"/>
        <v>0.211631041787021</v>
      </c>
      <c r="AK115" s="140">
        <f t="shared" si="45"/>
        <v>0.211631041787021</v>
      </c>
      <c r="AL115" s="140">
        <f t="shared" si="46"/>
        <v>0.20964118364464984</v>
      </c>
      <c r="AM115" t="str">
        <f t="shared" si="47"/>
        <v>4220-000: FICA Benefits</v>
      </c>
      <c r="AN115" s="140">
        <f t="shared" si="48"/>
        <v>5.12461187360089E-2</v>
      </c>
      <c r="AO115" s="140">
        <f t="shared" si="49"/>
        <v>-5.5422796135226118E-3</v>
      </c>
      <c r="AP115" s="1" t="str">
        <f>IF(AND(AO115&gt;0, _xlfn.XLOOKUP($AM115, Discretionaries!$A$2:'Discretionaries'!$A$150, Discretionaries!$B$2:'Discretionaries'!$B$150)), (1+AN115)*$N115, "")</f>
        <v/>
      </c>
      <c r="AQ115" s="1" t="str">
        <f>IF(AND(AO115&gt;0, _xlfn.XLOOKUP($AM115, Discretionaries!$A$2:'Discretionaries'!$A$150, Discretionaries!$B$2:'Discretionaries'!$B$150)),AP115-$Q115,"")</f>
        <v/>
      </c>
      <c r="AR115" s="140">
        <f>IF(AG115="", 0-CPI!$B$15, AG115-CPI!$B$15)</f>
        <v>6.703839122486295E-3</v>
      </c>
      <c r="AS115" s="1" t="str">
        <f>IF(AND(AR115&gt;0, _xlfn.XLOOKUP($AM115, Discretionaries!$A$2:'Discretionaries'!$A$150, Discretionaries!$B$2:'Discretionaries'!$B$150)), (1+CPI!$B$15)*$N115, "")</f>
        <v/>
      </c>
      <c r="AT115" s="1" t="str">
        <f>IF(AND(AR115&gt;0, _xlfn.XLOOKUP($AM115, Discretionaries!$A$2:'Discretionaries'!$A$150, Discretionaries!$B$2:'Discretionaries'!$B$150)),AS115-$Q115,"")</f>
        <v/>
      </c>
    </row>
    <row r="116" spans="1:46" x14ac:dyDescent="0.3">
      <c r="A116" t="s">
        <v>417</v>
      </c>
      <c r="B116" t="str">
        <f t="shared" si="25"/>
        <v>09</v>
      </c>
      <c r="C116" t="s">
        <v>408</v>
      </c>
      <c r="D116" t="str">
        <f t="shared" si="26"/>
        <v>00</v>
      </c>
      <c r="E116" t="s">
        <v>14</v>
      </c>
      <c r="F116" s="139" t="s">
        <v>17</v>
      </c>
      <c r="G116" t="s">
        <v>18</v>
      </c>
      <c r="H116" s="156">
        <v>3644</v>
      </c>
      <c r="I116" s="156">
        <v>2470.42</v>
      </c>
      <c r="J116" s="156">
        <v>4051</v>
      </c>
      <c r="K116" s="156">
        <v>2425.4</v>
      </c>
      <c r="L116" s="156">
        <v>4077</v>
      </c>
      <c r="M116" s="156">
        <v>2193.6999999999998</v>
      </c>
      <c r="N116" s="156">
        <v>4222</v>
      </c>
      <c r="O116" s="156">
        <v>4415</v>
      </c>
      <c r="P116" s="156">
        <v>4415</v>
      </c>
      <c r="Q116" s="156">
        <v>4415</v>
      </c>
      <c r="R116" s="156">
        <v>4408</v>
      </c>
      <c r="S116" s="156">
        <f t="shared" si="27"/>
        <v>193</v>
      </c>
      <c r="T116" s="156">
        <f t="shared" si="28"/>
        <v>7</v>
      </c>
      <c r="U116" s="140">
        <f t="shared" si="29"/>
        <v>4.5712932259592609E-2</v>
      </c>
      <c r="V116" s="140">
        <f t="shared" si="30"/>
        <v>-0.32205817782656421</v>
      </c>
      <c r="W116" s="140">
        <f t="shared" si="31"/>
        <v>-0.40128363367069858</v>
      </c>
      <c r="X116" s="140">
        <f t="shared" si="32"/>
        <v>-0.46193279372087326</v>
      </c>
      <c r="Y116" s="140">
        <f t="shared" si="33"/>
        <v>0.11169045005488475</v>
      </c>
      <c r="Z116" s="140">
        <f t="shared" si="34"/>
        <v>-1.8223621894252792E-2</v>
      </c>
      <c r="AA116" s="140">
        <f t="shared" si="35"/>
        <v>6.4181683534929651E-3</v>
      </c>
      <c r="AB116" s="140">
        <f t="shared" si="36"/>
        <v>-9.5530634122206762E-2</v>
      </c>
      <c r="AC116" s="140">
        <f t="shared" si="37"/>
        <v>3.5565366691194505E-2</v>
      </c>
      <c r="AD116" s="140">
        <f t="shared" si="38"/>
        <v>0.15861690450054886</v>
      </c>
      <c r="AE116" s="140">
        <f t="shared" si="39"/>
        <v>4.5712932259592609E-2</v>
      </c>
      <c r="AF116" s="140">
        <f t="shared" si="40"/>
        <v>4.5712932259592609E-2</v>
      </c>
      <c r="AG116" s="140">
        <f t="shared" si="41"/>
        <v>4.5712932259592609E-2</v>
      </c>
      <c r="AH116" s="140">
        <f t="shared" si="42"/>
        <v>4.4054950260540029E-2</v>
      </c>
      <c r="AI116" s="140">
        <f t="shared" si="43"/>
        <v>0.21158068057080132</v>
      </c>
      <c r="AJ116" s="140">
        <f t="shared" si="44"/>
        <v>0.21158068057080132</v>
      </c>
      <c r="AK116" s="140">
        <f t="shared" si="45"/>
        <v>0.21158068057080132</v>
      </c>
      <c r="AL116" s="140">
        <f t="shared" si="46"/>
        <v>0.20965971459934138</v>
      </c>
      <c r="AM116" t="str">
        <f t="shared" si="47"/>
        <v>4225-000: Medicare Benefits</v>
      </c>
      <c r="AN116" s="140">
        <f t="shared" si="48"/>
        <v>5.1224661699857399E-2</v>
      </c>
      <c r="AO116" s="140">
        <f t="shared" si="49"/>
        <v>-5.5117294402647898E-3</v>
      </c>
      <c r="AP116" s="1" t="str">
        <f>IF(AND(AO116&gt;0, _xlfn.XLOOKUP($AM116, Discretionaries!$A$2:'Discretionaries'!$A$150, Discretionaries!$B$2:'Discretionaries'!$B$150)), (1+AN116)*$N116, "")</f>
        <v/>
      </c>
      <c r="AQ116" s="1" t="str">
        <f>IF(AND(AO116&gt;0, _xlfn.XLOOKUP($AM116, Discretionaries!$A$2:'Discretionaries'!$A$150, Discretionaries!$B$2:'Discretionaries'!$B$150)),AP116-$Q116,"")</f>
        <v/>
      </c>
      <c r="AR116" s="140">
        <f>IF(AG116="", 0-CPI!$B$15, AG116-CPI!$B$15)</f>
        <v>6.7129322595926161E-3</v>
      </c>
      <c r="AS116" s="1" t="str">
        <f>IF(AND(AR116&gt;0, _xlfn.XLOOKUP($AM116, Discretionaries!$A$2:'Discretionaries'!$A$150, Discretionaries!$B$2:'Discretionaries'!$B$150)), (1+CPI!$B$15)*$N116, "")</f>
        <v/>
      </c>
      <c r="AT116" s="1" t="str">
        <f>IF(AND(AR116&gt;0, _xlfn.XLOOKUP($AM116, Discretionaries!$A$2:'Discretionaries'!$A$150, Discretionaries!$B$2:'Discretionaries'!$B$150)),AS116-$Q116,"")</f>
        <v/>
      </c>
    </row>
    <row r="117" spans="1:46" x14ac:dyDescent="0.3">
      <c r="A117" t="s">
        <v>417</v>
      </c>
      <c r="B117" t="str">
        <f t="shared" si="25"/>
        <v>09</v>
      </c>
      <c r="C117" t="s">
        <v>408</v>
      </c>
      <c r="D117" t="str">
        <f t="shared" si="26"/>
        <v>00</v>
      </c>
      <c r="E117" t="s">
        <v>14</v>
      </c>
      <c r="F117" s="139" t="s">
        <v>43</v>
      </c>
      <c r="G117" t="s">
        <v>44</v>
      </c>
      <c r="H117" s="156">
        <v>30142</v>
      </c>
      <c r="I117" s="156">
        <v>29231.69</v>
      </c>
      <c r="J117" s="156">
        <v>37799</v>
      </c>
      <c r="K117" s="156">
        <v>23577.72</v>
      </c>
      <c r="L117" s="156">
        <v>38036</v>
      </c>
      <c r="M117" s="156">
        <v>21113.93</v>
      </c>
      <c r="N117" s="156">
        <v>37119</v>
      </c>
      <c r="O117" s="156">
        <v>38817</v>
      </c>
      <c r="P117" s="156">
        <v>38817</v>
      </c>
      <c r="Q117" s="156">
        <v>38817</v>
      </c>
      <c r="R117" s="156">
        <v>38753</v>
      </c>
      <c r="S117" s="156">
        <f t="shared" si="27"/>
        <v>1698</v>
      </c>
      <c r="T117" s="156">
        <f t="shared" si="28"/>
        <v>64</v>
      </c>
      <c r="U117" s="140">
        <f t="shared" si="29"/>
        <v>4.5744766831002988E-2</v>
      </c>
      <c r="V117" s="140">
        <f t="shared" si="30"/>
        <v>-3.0200716608055247E-2</v>
      </c>
      <c r="W117" s="140">
        <f t="shared" si="31"/>
        <v>-0.37623429191248442</v>
      </c>
      <c r="X117" s="140">
        <f t="shared" si="32"/>
        <v>-0.44489615101482805</v>
      </c>
      <c r="Y117" s="140">
        <f t="shared" si="33"/>
        <v>0.25403092031053015</v>
      </c>
      <c r="Z117" s="140">
        <f t="shared" si="34"/>
        <v>-0.19341919676898592</v>
      </c>
      <c r="AA117" s="140">
        <f t="shared" si="35"/>
        <v>6.2700071430461125E-3</v>
      </c>
      <c r="AB117" s="140">
        <f t="shared" si="36"/>
        <v>-0.10449653316775331</v>
      </c>
      <c r="AC117" s="140">
        <f t="shared" si="37"/>
        <v>-2.4108739089283838E-2</v>
      </c>
      <c r="AD117" s="140">
        <f t="shared" si="38"/>
        <v>0.23147103709110212</v>
      </c>
      <c r="AE117" s="140">
        <f t="shared" si="39"/>
        <v>4.5744766831002988E-2</v>
      </c>
      <c r="AF117" s="140">
        <f t="shared" si="40"/>
        <v>4.5744766831002988E-2</v>
      </c>
      <c r="AG117" s="140">
        <f t="shared" si="41"/>
        <v>4.5744766831002988E-2</v>
      </c>
      <c r="AH117" s="140">
        <f t="shared" si="42"/>
        <v>4.4020582451035857E-2</v>
      </c>
      <c r="AI117" s="140">
        <f t="shared" si="43"/>
        <v>0.28780439254196799</v>
      </c>
      <c r="AJ117" s="140">
        <f t="shared" si="44"/>
        <v>0.28780439254196799</v>
      </c>
      <c r="AK117" s="140">
        <f t="shared" si="45"/>
        <v>0.28780439254196799</v>
      </c>
      <c r="AL117" s="140">
        <f t="shared" si="46"/>
        <v>0.28568110941543362</v>
      </c>
      <c r="AM117" t="str">
        <f t="shared" si="47"/>
        <v>4230-000: Retirement Benefits</v>
      </c>
      <c r="AN117" s="140">
        <f t="shared" si="48"/>
        <v>7.8730729454764128E-2</v>
      </c>
      <c r="AO117" s="140">
        <f t="shared" si="49"/>
        <v>-3.2985962623761141E-2</v>
      </c>
      <c r="AP117" s="1" t="str">
        <f>IF(AND(AO117&gt;0, _xlfn.XLOOKUP($AM117, Discretionaries!$A$2:'Discretionaries'!$A$150, Discretionaries!$B$2:'Discretionaries'!$B$150)), (1+AN117)*$N117, "")</f>
        <v/>
      </c>
      <c r="AQ117" s="1" t="str">
        <f>IF(AND(AO117&gt;0, _xlfn.XLOOKUP($AM117, Discretionaries!$A$2:'Discretionaries'!$A$150, Discretionaries!$B$2:'Discretionaries'!$B$150)),AP117-$Q117,"")</f>
        <v/>
      </c>
      <c r="AR117" s="140">
        <f>IF(AG117="", 0-CPI!$B$15, AG117-CPI!$B$15)</f>
        <v>6.7447668310029948E-3</v>
      </c>
      <c r="AS117" s="1" t="str">
        <f>IF(AND(AR117&gt;0, _xlfn.XLOOKUP($AM117, Discretionaries!$A$2:'Discretionaries'!$A$150, Discretionaries!$B$2:'Discretionaries'!$B$150)), (1+CPI!$B$15)*$N117, "")</f>
        <v/>
      </c>
      <c r="AT117" s="1" t="str">
        <f>IF(AND(AR117&gt;0, _xlfn.XLOOKUP($AM117, Discretionaries!$A$2:'Discretionaries'!$A$150, Discretionaries!$B$2:'Discretionaries'!$B$150)),AS117-$Q117,"")</f>
        <v/>
      </c>
    </row>
    <row r="118" spans="1:46" x14ac:dyDescent="0.3">
      <c r="A118" t="s">
        <v>417</v>
      </c>
      <c r="B118" t="str">
        <f t="shared" si="25"/>
        <v>09</v>
      </c>
      <c r="C118" t="s">
        <v>408</v>
      </c>
      <c r="D118" t="str">
        <f t="shared" si="26"/>
        <v>00</v>
      </c>
      <c r="E118" t="s">
        <v>14</v>
      </c>
      <c r="F118" s="139" t="s">
        <v>19</v>
      </c>
      <c r="G118" t="s">
        <v>20</v>
      </c>
      <c r="H118" s="156">
        <v>6052</v>
      </c>
      <c r="I118" s="156">
        <v>5767.8</v>
      </c>
      <c r="J118" s="156">
        <v>6406</v>
      </c>
      <c r="K118" s="156">
        <v>6824.3</v>
      </c>
      <c r="L118" s="156">
        <v>7648</v>
      </c>
      <c r="M118" s="156">
        <v>7647.53</v>
      </c>
      <c r="N118" s="156">
        <v>9036</v>
      </c>
      <c r="O118" s="156">
        <v>8901</v>
      </c>
      <c r="P118" s="156">
        <v>8901</v>
      </c>
      <c r="Q118" s="156">
        <v>8901</v>
      </c>
      <c r="R118" s="156">
        <v>8901</v>
      </c>
      <c r="S118" s="156">
        <f t="shared" si="27"/>
        <v>-135</v>
      </c>
      <c r="T118" s="156">
        <f t="shared" si="28"/>
        <v>0</v>
      </c>
      <c r="U118" s="140">
        <f t="shared" si="29"/>
        <v>-1.4940239043824702E-2</v>
      </c>
      <c r="V118" s="140">
        <f t="shared" si="30"/>
        <v>-4.6959682749504267E-2</v>
      </c>
      <c r="W118" s="140">
        <f t="shared" si="31"/>
        <v>6.5298157976896684E-2</v>
      </c>
      <c r="X118" s="140">
        <f t="shared" si="32"/>
        <v>-6.1453974895430791E-5</v>
      </c>
      <c r="Y118" s="140">
        <f t="shared" si="33"/>
        <v>5.8493060145406478E-2</v>
      </c>
      <c r="Z118" s="140">
        <f t="shared" si="34"/>
        <v>0.18317209334581641</v>
      </c>
      <c r="AA118" s="140">
        <f t="shared" si="35"/>
        <v>0.19388073680924134</v>
      </c>
      <c r="AB118" s="140">
        <f t="shared" si="36"/>
        <v>0.12063215274826715</v>
      </c>
      <c r="AC118" s="140">
        <f t="shared" si="37"/>
        <v>0.18148535564853557</v>
      </c>
      <c r="AD118" s="140">
        <f t="shared" si="38"/>
        <v>0.49306014540647719</v>
      </c>
      <c r="AE118" s="140">
        <f t="shared" si="39"/>
        <v>-1.4940239043824702E-2</v>
      </c>
      <c r="AF118" s="140">
        <f t="shared" si="40"/>
        <v>-1.4940239043824702E-2</v>
      </c>
      <c r="AG118" s="140">
        <f t="shared" si="41"/>
        <v>-1.4940239043824702E-2</v>
      </c>
      <c r="AH118" s="140">
        <f t="shared" si="42"/>
        <v>-1.4940239043824702E-2</v>
      </c>
      <c r="AI118" s="140">
        <f t="shared" si="43"/>
        <v>0.47075346992729677</v>
      </c>
      <c r="AJ118" s="140">
        <f t="shared" si="44"/>
        <v>0.47075346992729677</v>
      </c>
      <c r="AK118" s="140">
        <f t="shared" si="45"/>
        <v>0.47075346992729677</v>
      </c>
      <c r="AL118" s="140">
        <f t="shared" si="46"/>
        <v>0.47075346992729677</v>
      </c>
      <c r="AM118" t="str">
        <f t="shared" si="47"/>
        <v>4260-000: Workers' comp Benefits</v>
      </c>
      <c r="AN118" s="140">
        <f t="shared" si="48"/>
        <v>0.14461971753439445</v>
      </c>
      <c r="AO118" s="140">
        <f t="shared" si="49"/>
        <v>-0.15955995657821914</v>
      </c>
      <c r="AP118" s="1" t="str">
        <f>IF(AND(AO118&gt;0, _xlfn.XLOOKUP($AM118, Discretionaries!$A$2:'Discretionaries'!$A$150, Discretionaries!$B$2:'Discretionaries'!$B$150)), (1+AN118)*$N118, "")</f>
        <v/>
      </c>
      <c r="AQ118" s="1" t="str">
        <f>IF(AND(AO118&gt;0, _xlfn.XLOOKUP($AM118, Discretionaries!$A$2:'Discretionaries'!$A$150, Discretionaries!$B$2:'Discretionaries'!$B$150)),AP118-$Q118,"")</f>
        <v/>
      </c>
      <c r="AR118" s="140">
        <f>IF(AG118="", 0-CPI!$B$15, AG118-CPI!$B$15)</f>
        <v>-5.3940239043824695E-2</v>
      </c>
      <c r="AS118" s="1" t="str">
        <f>IF(AND(AR118&gt;0, _xlfn.XLOOKUP($AM118, Discretionaries!$A$2:'Discretionaries'!$A$150, Discretionaries!$B$2:'Discretionaries'!$B$150)), (1+CPI!$B$15)*$N118, "")</f>
        <v/>
      </c>
      <c r="AT118" s="1" t="str">
        <f>IF(AND(AR118&gt;0, _xlfn.XLOOKUP($AM118, Discretionaries!$A$2:'Discretionaries'!$A$150, Discretionaries!$B$2:'Discretionaries'!$B$150)),AS118-$Q118,"")</f>
        <v/>
      </c>
    </row>
    <row r="119" spans="1:46" x14ac:dyDescent="0.3">
      <c r="A119" t="s">
        <v>417</v>
      </c>
      <c r="B119" t="str">
        <f t="shared" si="25"/>
        <v>09</v>
      </c>
      <c r="C119" t="s">
        <v>408</v>
      </c>
      <c r="D119" t="str">
        <f t="shared" si="26"/>
        <v>00</v>
      </c>
      <c r="E119" t="s">
        <v>21</v>
      </c>
      <c r="F119" s="139" t="s">
        <v>131</v>
      </c>
      <c r="G119" t="s">
        <v>132</v>
      </c>
      <c r="H119" s="156">
        <v>2100</v>
      </c>
      <c r="I119" s="156">
        <v>0</v>
      </c>
      <c r="J119" s="156">
        <v>2100</v>
      </c>
      <c r="K119" s="156">
        <v>0</v>
      </c>
      <c r="L119" s="156">
        <v>2100</v>
      </c>
      <c r="M119" s="156">
        <v>0</v>
      </c>
      <c r="N119" s="156">
        <v>1250</v>
      </c>
      <c r="O119" s="156">
        <v>0</v>
      </c>
      <c r="P119" s="156">
        <v>0</v>
      </c>
      <c r="Q119" s="156">
        <v>0</v>
      </c>
      <c r="R119" s="156">
        <v>1250</v>
      </c>
      <c r="S119" s="156">
        <f t="shared" si="27"/>
        <v>-1250</v>
      </c>
      <c r="T119" s="156">
        <f t="shared" si="28"/>
        <v>-1250</v>
      </c>
      <c r="U119" s="140">
        <f t="shared" si="29"/>
        <v>-1</v>
      </c>
      <c r="V119" s="140">
        <f t="shared" si="30"/>
        <v>-1</v>
      </c>
      <c r="W119" s="140">
        <f t="shared" si="31"/>
        <v>-1</v>
      </c>
      <c r="X119" s="140">
        <f t="shared" si="32"/>
        <v>-1</v>
      </c>
      <c r="Y119" s="140">
        <f t="shared" si="33"/>
        <v>0</v>
      </c>
      <c r="Z119" s="140" t="str">
        <f t="shared" si="34"/>
        <v/>
      </c>
      <c r="AA119" s="140">
        <f t="shared" si="35"/>
        <v>0</v>
      </c>
      <c r="AB119" s="140" t="str">
        <f t="shared" si="36"/>
        <v/>
      </c>
      <c r="AC119" s="140">
        <f t="shared" si="37"/>
        <v>-0.40476190476190477</v>
      </c>
      <c r="AD119" s="140">
        <f t="shared" si="38"/>
        <v>-0.40476190476190477</v>
      </c>
      <c r="AE119" s="140">
        <f t="shared" si="39"/>
        <v>-1</v>
      </c>
      <c r="AF119" s="140">
        <f t="shared" si="40"/>
        <v>-1</v>
      </c>
      <c r="AG119" s="140">
        <f t="shared" si="41"/>
        <v>-1</v>
      </c>
      <c r="AH119" s="140">
        <f t="shared" si="42"/>
        <v>0</v>
      </c>
      <c r="AI119" s="140">
        <f t="shared" si="43"/>
        <v>-1</v>
      </c>
      <c r="AJ119" s="140">
        <f t="shared" si="44"/>
        <v>-1</v>
      </c>
      <c r="AK119" s="140">
        <f t="shared" si="45"/>
        <v>-1</v>
      </c>
      <c r="AL119" s="140">
        <f t="shared" si="46"/>
        <v>-0.40476190476190477</v>
      </c>
      <c r="AM119" t="str">
        <f t="shared" si="47"/>
        <v>4241-000: Training Benefits</v>
      </c>
      <c r="AN119" s="140">
        <f t="shared" si="48"/>
        <v>-0.13492063492063491</v>
      </c>
      <c r="AO119" s="140">
        <f t="shared" si="49"/>
        <v>-0.86507936507936511</v>
      </c>
      <c r="AP119" s="1" t="str">
        <f>IF(AND(AO119&gt;0, _xlfn.XLOOKUP($AM119, Discretionaries!$A$2:'Discretionaries'!$A$150, Discretionaries!$B$2:'Discretionaries'!$B$150)), (1+AN119)*$N119, "")</f>
        <v/>
      </c>
      <c r="AQ119" s="1" t="str">
        <f>IF(AND(AO119&gt;0, _xlfn.XLOOKUP($AM119, Discretionaries!$A$2:'Discretionaries'!$A$150, Discretionaries!$B$2:'Discretionaries'!$B$150)),AP119-$Q119,"")</f>
        <v/>
      </c>
      <c r="AR119" s="140">
        <f>IF(AG119="", 0-CPI!$B$15, AG119-CPI!$B$15)</f>
        <v>-1.0389999999999999</v>
      </c>
      <c r="AS119" s="1" t="str">
        <f>IF(AND(AR119&gt;0, _xlfn.XLOOKUP($AM119, Discretionaries!$A$2:'Discretionaries'!$A$150, Discretionaries!$B$2:'Discretionaries'!$B$150)), (1+CPI!$B$15)*$N119, "")</f>
        <v/>
      </c>
      <c r="AT119" s="1" t="str">
        <f>IF(AND(AR119&gt;0, _xlfn.XLOOKUP($AM119, Discretionaries!$A$2:'Discretionaries'!$A$150, Discretionaries!$B$2:'Discretionaries'!$B$150)),AS119-$Q119,"")</f>
        <v/>
      </c>
    </row>
    <row r="120" spans="1:46" x14ac:dyDescent="0.3">
      <c r="A120" t="s">
        <v>417</v>
      </c>
      <c r="B120" t="str">
        <f t="shared" si="25"/>
        <v>09</v>
      </c>
      <c r="C120" t="s">
        <v>408</v>
      </c>
      <c r="D120" t="str">
        <f t="shared" si="26"/>
        <v>00</v>
      </c>
      <c r="E120" t="s">
        <v>21</v>
      </c>
      <c r="F120" s="139" t="s">
        <v>28</v>
      </c>
      <c r="G120" t="s">
        <v>29</v>
      </c>
      <c r="H120" s="156">
        <v>90000</v>
      </c>
      <c r="I120" s="156">
        <v>76942</v>
      </c>
      <c r="J120" s="156">
        <v>80000</v>
      </c>
      <c r="K120" s="156">
        <v>57551.6</v>
      </c>
      <c r="L120" s="156">
        <v>80000</v>
      </c>
      <c r="M120" s="156">
        <v>84793.82</v>
      </c>
      <c r="N120" s="156">
        <v>77000</v>
      </c>
      <c r="O120" s="156">
        <v>77000</v>
      </c>
      <c r="P120" s="156">
        <v>77000</v>
      </c>
      <c r="Q120" s="156">
        <v>77000</v>
      </c>
      <c r="R120" s="156">
        <v>77000</v>
      </c>
      <c r="S120" s="156">
        <f t="shared" si="27"/>
        <v>0</v>
      </c>
      <c r="T120" s="156">
        <f t="shared" si="28"/>
        <v>0</v>
      </c>
      <c r="U120" s="140">
        <f t="shared" si="29"/>
        <v>0</v>
      </c>
      <c r="V120" s="140">
        <f t="shared" si="30"/>
        <v>-0.14508888888888888</v>
      </c>
      <c r="W120" s="140">
        <f t="shared" si="31"/>
        <v>-0.28060499999999999</v>
      </c>
      <c r="X120" s="140">
        <f t="shared" si="32"/>
        <v>5.9922750000000087E-2</v>
      </c>
      <c r="Y120" s="140">
        <f t="shared" si="33"/>
        <v>-0.1111111111111111</v>
      </c>
      <c r="Z120" s="140">
        <f t="shared" si="34"/>
        <v>-0.25201320475163114</v>
      </c>
      <c r="AA120" s="140">
        <f t="shared" si="35"/>
        <v>0</v>
      </c>
      <c r="AB120" s="140">
        <f t="shared" si="36"/>
        <v>0.47335295630356078</v>
      </c>
      <c r="AC120" s="140">
        <f t="shared" si="37"/>
        <v>-3.7499999999999999E-2</v>
      </c>
      <c r="AD120" s="140">
        <f t="shared" si="38"/>
        <v>-0.14444444444444443</v>
      </c>
      <c r="AE120" s="140">
        <f t="shared" si="39"/>
        <v>0</v>
      </c>
      <c r="AF120" s="140">
        <f t="shared" si="40"/>
        <v>0</v>
      </c>
      <c r="AG120" s="140">
        <f t="shared" si="41"/>
        <v>0</v>
      </c>
      <c r="AH120" s="140">
        <f t="shared" si="42"/>
        <v>0</v>
      </c>
      <c r="AI120" s="140">
        <f t="shared" si="43"/>
        <v>-0.14444444444444443</v>
      </c>
      <c r="AJ120" s="140">
        <f t="shared" si="44"/>
        <v>-0.14444444444444443</v>
      </c>
      <c r="AK120" s="140">
        <f t="shared" si="45"/>
        <v>-0.14444444444444443</v>
      </c>
      <c r="AL120" s="140">
        <f t="shared" si="46"/>
        <v>-0.14444444444444443</v>
      </c>
      <c r="AM120" t="str">
        <f t="shared" si="47"/>
        <v>4330-000: MGMT services Services</v>
      </c>
      <c r="AN120" s="140">
        <f t="shared" si="48"/>
        <v>-4.9537037037037039E-2</v>
      </c>
      <c r="AO120" s="140">
        <f t="shared" si="49"/>
        <v>4.9537037037037039E-2</v>
      </c>
      <c r="AP120" s="1">
        <f>IF(AND(AO120&gt;0, _xlfn.XLOOKUP($AM120, Discretionaries!$A$2:'Discretionaries'!$A$150, Discretionaries!$B$2:'Discretionaries'!$B$150)), (1+AN120)*$N120, "")</f>
        <v>73185.648148148146</v>
      </c>
      <c r="AQ120" s="1">
        <f>IF(AND(AO120&gt;0, _xlfn.XLOOKUP($AM120, Discretionaries!$A$2:'Discretionaries'!$A$150, Discretionaries!$B$2:'Discretionaries'!$B$150)),AP120-$Q120,"")</f>
        <v>-3814.351851851854</v>
      </c>
      <c r="AR120" s="140">
        <f>IF(AG120="", 0-CPI!$B$15, AG120-CPI!$B$15)</f>
        <v>-3.8999999999999993E-2</v>
      </c>
      <c r="AS120" s="1" t="str">
        <f>IF(AND(AR120&gt;0, _xlfn.XLOOKUP($AM120, Discretionaries!$A$2:'Discretionaries'!$A$150, Discretionaries!$B$2:'Discretionaries'!$B$150)), (1+CPI!$B$15)*$N120, "")</f>
        <v/>
      </c>
      <c r="AT120" s="1" t="str">
        <f>IF(AND(AR120&gt;0, _xlfn.XLOOKUP($AM120, Discretionaries!$A$2:'Discretionaries'!$A$150, Discretionaries!$B$2:'Discretionaries'!$B$150)),AS120-$Q120,"")</f>
        <v/>
      </c>
    </row>
    <row r="121" spans="1:46" x14ac:dyDescent="0.3">
      <c r="A121" t="s">
        <v>417</v>
      </c>
      <c r="B121" t="str">
        <f t="shared" si="25"/>
        <v>09</v>
      </c>
      <c r="C121" t="s">
        <v>408</v>
      </c>
      <c r="D121" t="str">
        <f t="shared" si="26"/>
        <v>00</v>
      </c>
      <c r="E121" t="s">
        <v>133</v>
      </c>
      <c r="F121" s="139" t="s">
        <v>134</v>
      </c>
      <c r="G121" t="s">
        <v>135</v>
      </c>
      <c r="H121" s="156">
        <v>200</v>
      </c>
      <c r="I121" s="156">
        <v>0</v>
      </c>
      <c r="J121" s="156">
        <v>0</v>
      </c>
      <c r="K121" s="156">
        <v>0</v>
      </c>
      <c r="L121" s="156">
        <v>0</v>
      </c>
      <c r="M121" s="156">
        <v>0</v>
      </c>
      <c r="N121" s="156">
        <v>0</v>
      </c>
      <c r="O121" s="156">
        <v>0</v>
      </c>
      <c r="P121" s="156">
        <v>0</v>
      </c>
      <c r="Q121" s="156">
        <v>0</v>
      </c>
      <c r="R121" s="156">
        <v>0</v>
      </c>
      <c r="S121" s="156">
        <f t="shared" si="27"/>
        <v>0</v>
      </c>
      <c r="T121" s="156">
        <f t="shared" si="28"/>
        <v>0</v>
      </c>
      <c r="U121" s="140" t="str">
        <f t="shared" si="29"/>
        <v/>
      </c>
      <c r="V121" s="140">
        <f t="shared" si="30"/>
        <v>-1</v>
      </c>
      <c r="W121" s="140" t="str">
        <f t="shared" si="31"/>
        <v/>
      </c>
      <c r="X121" s="140" t="str">
        <f t="shared" si="32"/>
        <v/>
      </c>
      <c r="Y121" s="140">
        <f t="shared" si="33"/>
        <v>-1</v>
      </c>
      <c r="Z121" s="140" t="str">
        <f t="shared" si="34"/>
        <v/>
      </c>
      <c r="AA121" s="140" t="str">
        <f t="shared" si="35"/>
        <v/>
      </c>
      <c r="AB121" s="140" t="str">
        <f t="shared" si="36"/>
        <v/>
      </c>
      <c r="AC121" s="140" t="str">
        <f t="shared" si="37"/>
        <v/>
      </c>
      <c r="AD121" s="140">
        <f t="shared" si="38"/>
        <v>-1</v>
      </c>
      <c r="AE121" s="140" t="str">
        <f t="shared" si="39"/>
        <v/>
      </c>
      <c r="AF121" s="140" t="str">
        <f t="shared" si="40"/>
        <v/>
      </c>
      <c r="AG121" s="140" t="str">
        <f t="shared" si="41"/>
        <v/>
      </c>
      <c r="AH121" s="140" t="str">
        <f t="shared" si="42"/>
        <v/>
      </c>
      <c r="AI121" s="140">
        <f t="shared" si="43"/>
        <v>-1</v>
      </c>
      <c r="AJ121" s="140">
        <f t="shared" si="44"/>
        <v>-1</v>
      </c>
      <c r="AK121" s="140">
        <f t="shared" si="45"/>
        <v>-1</v>
      </c>
      <c r="AL121" s="140">
        <f t="shared" si="46"/>
        <v>-1</v>
      </c>
      <c r="AM121" t="str">
        <f t="shared" si="47"/>
        <v>4490-000: Clothing allowance Services</v>
      </c>
      <c r="AN121" s="140">
        <f t="shared" si="48"/>
        <v>-1</v>
      </c>
      <c r="AO121" s="140">
        <f t="shared" si="49"/>
        <v>1</v>
      </c>
      <c r="AP121" s="1">
        <f>IF(AND(AO121&gt;0, _xlfn.XLOOKUP($AM121, Discretionaries!$A$2:'Discretionaries'!$A$150, Discretionaries!$B$2:'Discretionaries'!$B$150)), (1+AN121)*$N121, "")</f>
        <v>0</v>
      </c>
      <c r="AQ121" s="1">
        <f>IF(AND(AO121&gt;0, _xlfn.XLOOKUP($AM121, Discretionaries!$A$2:'Discretionaries'!$A$150, Discretionaries!$B$2:'Discretionaries'!$B$150)),AP121-$Q121,"")</f>
        <v>0</v>
      </c>
      <c r="AR121" s="140">
        <f>IF(AG121="", 0-CPI!$B$15, AG121-CPI!$B$15)</f>
        <v>-3.8999999999999993E-2</v>
      </c>
      <c r="AS121" s="1" t="str">
        <f>IF(AND(AR121&gt;0, _xlfn.XLOOKUP($AM121, Discretionaries!$A$2:'Discretionaries'!$A$150, Discretionaries!$B$2:'Discretionaries'!$B$150)), (1+CPI!$B$15)*$N121, "")</f>
        <v/>
      </c>
      <c r="AT121" s="1" t="str">
        <f>IF(AND(AR121&gt;0, _xlfn.XLOOKUP($AM121, Discretionaries!$A$2:'Discretionaries'!$A$150, Discretionaries!$B$2:'Discretionaries'!$B$150)),AS121-$Q121,"")</f>
        <v/>
      </c>
    </row>
    <row r="122" spans="1:46" x14ac:dyDescent="0.3">
      <c r="A122" t="s">
        <v>417</v>
      </c>
      <c r="B122" t="str">
        <f t="shared" si="25"/>
        <v>09</v>
      </c>
      <c r="C122" t="s">
        <v>408</v>
      </c>
      <c r="D122" t="str">
        <f t="shared" si="26"/>
        <v>00</v>
      </c>
      <c r="E122" t="s">
        <v>45</v>
      </c>
      <c r="F122" s="139" t="s">
        <v>22</v>
      </c>
      <c r="G122" t="s">
        <v>23</v>
      </c>
      <c r="H122" s="156">
        <v>250</v>
      </c>
      <c r="I122" s="156">
        <v>0</v>
      </c>
      <c r="J122" s="156">
        <v>250</v>
      </c>
      <c r="K122" s="156">
        <v>4338.28</v>
      </c>
      <c r="L122" s="156">
        <v>250</v>
      </c>
      <c r="M122" s="156">
        <v>519.79999999999995</v>
      </c>
      <c r="N122" s="156">
        <v>1250</v>
      </c>
      <c r="O122" s="156">
        <v>1250</v>
      </c>
      <c r="P122" s="156">
        <v>1250</v>
      </c>
      <c r="Q122" s="156">
        <v>1250</v>
      </c>
      <c r="R122" s="156">
        <v>1250</v>
      </c>
      <c r="S122" s="156">
        <f t="shared" si="27"/>
        <v>0</v>
      </c>
      <c r="T122" s="156">
        <f t="shared" si="28"/>
        <v>0</v>
      </c>
      <c r="U122" s="140">
        <f t="shared" si="29"/>
        <v>0</v>
      </c>
      <c r="V122" s="140">
        <f t="shared" si="30"/>
        <v>-1</v>
      </c>
      <c r="W122" s="140">
        <f t="shared" si="31"/>
        <v>16.353120000000001</v>
      </c>
      <c r="X122" s="140">
        <f t="shared" si="32"/>
        <v>1.0791999999999997</v>
      </c>
      <c r="Y122" s="140">
        <f t="shared" si="33"/>
        <v>0</v>
      </c>
      <c r="Z122" s="140" t="str">
        <f t="shared" si="34"/>
        <v/>
      </c>
      <c r="AA122" s="140">
        <f t="shared" si="35"/>
        <v>0</v>
      </c>
      <c r="AB122" s="140">
        <f t="shared" si="36"/>
        <v>-0.88018292964031819</v>
      </c>
      <c r="AC122" s="140">
        <f t="shared" si="37"/>
        <v>4</v>
      </c>
      <c r="AD122" s="140">
        <f t="shared" si="38"/>
        <v>4</v>
      </c>
      <c r="AE122" s="140">
        <f t="shared" si="39"/>
        <v>0</v>
      </c>
      <c r="AF122" s="140">
        <f t="shared" si="40"/>
        <v>0</v>
      </c>
      <c r="AG122" s="140">
        <f t="shared" si="41"/>
        <v>0</v>
      </c>
      <c r="AH122" s="140">
        <f t="shared" si="42"/>
        <v>0</v>
      </c>
      <c r="AI122" s="140">
        <f t="shared" si="43"/>
        <v>4</v>
      </c>
      <c r="AJ122" s="140">
        <f t="shared" si="44"/>
        <v>4</v>
      </c>
      <c r="AK122" s="140">
        <f t="shared" si="45"/>
        <v>4</v>
      </c>
      <c r="AL122" s="140">
        <f t="shared" si="46"/>
        <v>4</v>
      </c>
      <c r="AM122" t="str">
        <f t="shared" si="47"/>
        <v>4550-000: Printing Services</v>
      </c>
      <c r="AN122" s="140">
        <f t="shared" si="48"/>
        <v>1.3333333333333333</v>
      </c>
      <c r="AO122" s="140">
        <f t="shared" si="49"/>
        <v>-1.3333333333333333</v>
      </c>
      <c r="AP122" s="1" t="str">
        <f>IF(AND(AO122&gt;0, _xlfn.XLOOKUP($AM122, Discretionaries!$A$2:'Discretionaries'!$A$150, Discretionaries!$B$2:'Discretionaries'!$B$150)), (1+AN122)*$N122, "")</f>
        <v/>
      </c>
      <c r="AQ122" s="1" t="str">
        <f>IF(AND(AO122&gt;0, _xlfn.XLOOKUP($AM122, Discretionaries!$A$2:'Discretionaries'!$A$150, Discretionaries!$B$2:'Discretionaries'!$B$150)),AP122-$Q122,"")</f>
        <v/>
      </c>
      <c r="AR122" s="140">
        <f>IF(AG122="", 0-CPI!$B$15, AG122-CPI!$B$15)</f>
        <v>-3.8999999999999993E-2</v>
      </c>
      <c r="AS122" s="1" t="str">
        <f>IF(AND(AR122&gt;0, _xlfn.XLOOKUP($AM122, Discretionaries!$A$2:'Discretionaries'!$A$150, Discretionaries!$B$2:'Discretionaries'!$B$150)), (1+CPI!$B$15)*$N122, "")</f>
        <v/>
      </c>
      <c r="AT122" s="1" t="str">
        <f>IF(AND(AR122&gt;0, _xlfn.XLOOKUP($AM122, Discretionaries!$A$2:'Discretionaries'!$A$150, Discretionaries!$B$2:'Discretionaries'!$B$150)),AS122-$Q122,"")</f>
        <v/>
      </c>
    </row>
    <row r="123" spans="1:46" x14ac:dyDescent="0.3">
      <c r="A123" t="s">
        <v>417</v>
      </c>
      <c r="B123" t="str">
        <f t="shared" si="25"/>
        <v>09</v>
      </c>
      <c r="C123" t="s">
        <v>408</v>
      </c>
      <c r="D123" t="str">
        <f t="shared" si="26"/>
        <v>00</v>
      </c>
      <c r="E123" t="s">
        <v>45</v>
      </c>
      <c r="F123" s="139" t="s">
        <v>46</v>
      </c>
      <c r="G123" t="s">
        <v>47</v>
      </c>
      <c r="H123" s="156">
        <v>640</v>
      </c>
      <c r="I123" s="156">
        <v>3561.56</v>
      </c>
      <c r="J123" s="156">
        <v>640</v>
      </c>
      <c r="K123" s="156">
        <v>911</v>
      </c>
      <c r="L123" s="156">
        <v>640</v>
      </c>
      <c r="M123" s="156">
        <v>2036.2</v>
      </c>
      <c r="N123" s="156">
        <v>1140</v>
      </c>
      <c r="O123" s="156">
        <v>2000</v>
      </c>
      <c r="P123" s="156">
        <v>2000</v>
      </c>
      <c r="Q123" s="156">
        <v>2000</v>
      </c>
      <c r="R123" s="156">
        <v>1140</v>
      </c>
      <c r="S123" s="156">
        <f t="shared" si="27"/>
        <v>860</v>
      </c>
      <c r="T123" s="156">
        <f t="shared" si="28"/>
        <v>860</v>
      </c>
      <c r="U123" s="140">
        <f t="shared" si="29"/>
        <v>0.75438596491228072</v>
      </c>
      <c r="V123" s="140">
        <f t="shared" si="30"/>
        <v>4.5649375000000001</v>
      </c>
      <c r="W123" s="140">
        <f t="shared" si="31"/>
        <v>0.42343750000000002</v>
      </c>
      <c r="X123" s="140">
        <f t="shared" si="32"/>
        <v>2.1815625000000001</v>
      </c>
      <c r="Y123" s="140">
        <f t="shared" si="33"/>
        <v>0</v>
      </c>
      <c r="Z123" s="140">
        <f t="shared" si="34"/>
        <v>-0.74421320994171092</v>
      </c>
      <c r="AA123" s="140">
        <f t="shared" si="35"/>
        <v>0</v>
      </c>
      <c r="AB123" s="140">
        <f t="shared" si="36"/>
        <v>1.235126234906696</v>
      </c>
      <c r="AC123" s="140">
        <f t="shared" si="37"/>
        <v>0.78125</v>
      </c>
      <c r="AD123" s="140">
        <f t="shared" si="38"/>
        <v>0.78125</v>
      </c>
      <c r="AE123" s="140">
        <f t="shared" si="39"/>
        <v>0.75438596491228072</v>
      </c>
      <c r="AF123" s="140">
        <f t="shared" si="40"/>
        <v>0.75438596491228072</v>
      </c>
      <c r="AG123" s="140">
        <f t="shared" si="41"/>
        <v>0.75438596491228072</v>
      </c>
      <c r="AH123" s="140">
        <f t="shared" si="42"/>
        <v>0</v>
      </c>
      <c r="AI123" s="140">
        <f t="shared" si="43"/>
        <v>2.125</v>
      </c>
      <c r="AJ123" s="140">
        <f t="shared" si="44"/>
        <v>2.125</v>
      </c>
      <c r="AK123" s="140">
        <f t="shared" si="45"/>
        <v>2.125</v>
      </c>
      <c r="AL123" s="140">
        <f t="shared" si="46"/>
        <v>0.78125</v>
      </c>
      <c r="AM123" t="str">
        <f t="shared" si="47"/>
        <v>4560-000: Dues &amp; subs Services</v>
      </c>
      <c r="AN123" s="140">
        <f t="shared" si="48"/>
        <v>0.26041666666666669</v>
      </c>
      <c r="AO123" s="140">
        <f t="shared" si="49"/>
        <v>0.49396929824561403</v>
      </c>
      <c r="AP123" s="1">
        <f>IF(AND(AO123&gt;0, _xlfn.XLOOKUP($AM123, Discretionaries!$A$2:'Discretionaries'!$A$150, Discretionaries!$B$2:'Discretionaries'!$B$150)), (1+AN123)*$N123, "")</f>
        <v>1436.875</v>
      </c>
      <c r="AQ123" s="1">
        <f>IF(AND(AO123&gt;0, _xlfn.XLOOKUP($AM123, Discretionaries!$A$2:'Discretionaries'!$A$150, Discretionaries!$B$2:'Discretionaries'!$B$150)),AP123-$Q123,"")</f>
        <v>-563.125</v>
      </c>
      <c r="AR123" s="140">
        <f>IF(AG123="", 0-CPI!$B$15, AG123-CPI!$B$15)</f>
        <v>0.71538596491228068</v>
      </c>
      <c r="AS123" s="1">
        <f>IF(AND(AR123&gt;0, _xlfn.XLOOKUP($AM123, Discretionaries!$A$2:'Discretionaries'!$A$150, Discretionaries!$B$2:'Discretionaries'!$B$150)), (1+CPI!$B$15)*$N123, "")</f>
        <v>1184.4599999999998</v>
      </c>
      <c r="AT123" s="1">
        <f>IF(AND(AR123&gt;0, _xlfn.XLOOKUP($AM123, Discretionaries!$A$2:'Discretionaries'!$A$150, Discretionaries!$B$2:'Discretionaries'!$B$150)),AS123-$Q123,"")</f>
        <v>-815.54000000000019</v>
      </c>
    </row>
    <row r="124" spans="1:46" x14ac:dyDescent="0.3">
      <c r="A124" t="s">
        <v>417</v>
      </c>
      <c r="B124" t="str">
        <f t="shared" si="25"/>
        <v>09</v>
      </c>
      <c r="C124" t="s">
        <v>408</v>
      </c>
      <c r="D124" t="str">
        <f t="shared" si="26"/>
        <v>00</v>
      </c>
      <c r="E124" t="s">
        <v>45</v>
      </c>
      <c r="F124" s="139" t="s">
        <v>24</v>
      </c>
      <c r="G124" t="s">
        <v>25</v>
      </c>
      <c r="H124" s="156">
        <v>3800</v>
      </c>
      <c r="I124" s="156">
        <v>2694.09</v>
      </c>
      <c r="J124" s="156">
        <v>3800</v>
      </c>
      <c r="K124" s="156">
        <v>1831.2</v>
      </c>
      <c r="L124" s="156">
        <v>3800</v>
      </c>
      <c r="M124" s="156">
        <v>2139.8200000000002</v>
      </c>
      <c r="N124" s="156">
        <v>3600</v>
      </c>
      <c r="O124" s="156">
        <v>3600</v>
      </c>
      <c r="P124" s="156">
        <v>3600</v>
      </c>
      <c r="Q124" s="156">
        <v>3600</v>
      </c>
      <c r="R124" s="156">
        <v>3600</v>
      </c>
      <c r="S124" s="156">
        <f t="shared" si="27"/>
        <v>0</v>
      </c>
      <c r="T124" s="156">
        <f t="shared" si="28"/>
        <v>0</v>
      </c>
      <c r="U124" s="140">
        <f t="shared" si="29"/>
        <v>0</v>
      </c>
      <c r="V124" s="140">
        <f t="shared" si="30"/>
        <v>-0.291028947368421</v>
      </c>
      <c r="W124" s="140">
        <f t="shared" si="31"/>
        <v>-0.51810526315789474</v>
      </c>
      <c r="X124" s="140">
        <f t="shared" si="32"/>
        <v>-0.43688947368421049</v>
      </c>
      <c r="Y124" s="140">
        <f t="shared" si="33"/>
        <v>0</v>
      </c>
      <c r="Z124" s="140">
        <f t="shared" si="34"/>
        <v>-0.32028996804115678</v>
      </c>
      <c r="AA124" s="140">
        <f t="shared" si="35"/>
        <v>0</v>
      </c>
      <c r="AB124" s="140">
        <f t="shared" si="36"/>
        <v>0.16853429445172571</v>
      </c>
      <c r="AC124" s="140">
        <f t="shared" si="37"/>
        <v>-5.2631578947368418E-2</v>
      </c>
      <c r="AD124" s="140">
        <f t="shared" si="38"/>
        <v>-5.2631578947368418E-2</v>
      </c>
      <c r="AE124" s="140">
        <f t="shared" si="39"/>
        <v>0</v>
      </c>
      <c r="AF124" s="140">
        <f t="shared" si="40"/>
        <v>0</v>
      </c>
      <c r="AG124" s="140">
        <f t="shared" si="41"/>
        <v>0</v>
      </c>
      <c r="AH124" s="140">
        <f t="shared" si="42"/>
        <v>0</v>
      </c>
      <c r="AI124" s="140">
        <f t="shared" si="43"/>
        <v>-5.2631578947368418E-2</v>
      </c>
      <c r="AJ124" s="140">
        <f t="shared" si="44"/>
        <v>-5.2631578947368418E-2</v>
      </c>
      <c r="AK124" s="140">
        <f t="shared" si="45"/>
        <v>-5.2631578947368418E-2</v>
      </c>
      <c r="AL124" s="140">
        <f t="shared" si="46"/>
        <v>-5.2631578947368418E-2</v>
      </c>
      <c r="AM124" t="str">
        <f t="shared" si="47"/>
        <v>4570-000: Sem &amp; workshops Services</v>
      </c>
      <c r="AN124" s="140">
        <f t="shared" si="48"/>
        <v>-1.7543859649122806E-2</v>
      </c>
      <c r="AO124" s="140">
        <f t="shared" si="49"/>
        <v>1.7543859649122806E-2</v>
      </c>
      <c r="AP124" s="1">
        <f>IF(AND(AO124&gt;0, _xlfn.XLOOKUP($AM124, Discretionaries!$A$2:'Discretionaries'!$A$150, Discretionaries!$B$2:'Discretionaries'!$B$150)), (1+AN124)*$N124, "")</f>
        <v>3536.8421052631579</v>
      </c>
      <c r="AQ124" s="1">
        <f>IF(AND(AO124&gt;0, _xlfn.XLOOKUP($AM124, Discretionaries!$A$2:'Discretionaries'!$A$150, Discretionaries!$B$2:'Discretionaries'!$B$150)),AP124-$Q124,"")</f>
        <v>-63.157894736842081</v>
      </c>
      <c r="AR124" s="140">
        <f>IF(AG124="", 0-CPI!$B$15, AG124-CPI!$B$15)</f>
        <v>-3.8999999999999993E-2</v>
      </c>
      <c r="AS124" s="1" t="str">
        <f>IF(AND(AR124&gt;0, _xlfn.XLOOKUP($AM124, Discretionaries!$A$2:'Discretionaries'!$A$150, Discretionaries!$B$2:'Discretionaries'!$B$150)), (1+CPI!$B$15)*$N124, "")</f>
        <v/>
      </c>
      <c r="AT124" s="1" t="str">
        <f>IF(AND(AR124&gt;0, _xlfn.XLOOKUP($AM124, Discretionaries!$A$2:'Discretionaries'!$A$150, Discretionaries!$B$2:'Discretionaries'!$B$150)),AS124-$Q124,"")</f>
        <v/>
      </c>
    </row>
    <row r="125" spans="1:46" x14ac:dyDescent="0.3">
      <c r="A125" t="s">
        <v>417</v>
      </c>
      <c r="B125" t="str">
        <f t="shared" si="25"/>
        <v>09</v>
      </c>
      <c r="C125" t="s">
        <v>408</v>
      </c>
      <c r="D125" t="str">
        <f t="shared" si="26"/>
        <v>00</v>
      </c>
      <c r="E125" t="s">
        <v>45</v>
      </c>
      <c r="F125" s="139" t="s">
        <v>26</v>
      </c>
      <c r="G125" t="s">
        <v>27</v>
      </c>
      <c r="H125" s="156">
        <v>350</v>
      </c>
      <c r="I125" s="156">
        <v>129.28</v>
      </c>
      <c r="J125" s="156">
        <v>350</v>
      </c>
      <c r="K125" s="156">
        <v>1481.18</v>
      </c>
      <c r="L125" s="156">
        <v>350</v>
      </c>
      <c r="M125" s="156">
        <v>542.99</v>
      </c>
      <c r="N125" s="156">
        <v>350</v>
      </c>
      <c r="O125" s="156">
        <v>500</v>
      </c>
      <c r="P125" s="156">
        <v>500</v>
      </c>
      <c r="Q125" s="156">
        <v>500</v>
      </c>
      <c r="R125" s="156">
        <v>350</v>
      </c>
      <c r="S125" s="156">
        <f t="shared" si="27"/>
        <v>150</v>
      </c>
      <c r="T125" s="156">
        <f t="shared" si="28"/>
        <v>150</v>
      </c>
      <c r="U125" s="140">
        <f t="shared" si="29"/>
        <v>0.42857142857142855</v>
      </c>
      <c r="V125" s="140">
        <f t="shared" si="30"/>
        <v>-0.63062857142857143</v>
      </c>
      <c r="W125" s="140">
        <f t="shared" si="31"/>
        <v>3.2319428571428572</v>
      </c>
      <c r="X125" s="140">
        <f t="shared" si="32"/>
        <v>0.5514</v>
      </c>
      <c r="Y125" s="140">
        <f t="shared" si="33"/>
        <v>0</v>
      </c>
      <c r="Z125" s="140">
        <f t="shared" si="34"/>
        <v>10.457147277227723</v>
      </c>
      <c r="AA125" s="140">
        <f t="shared" si="35"/>
        <v>0</v>
      </c>
      <c r="AB125" s="140">
        <f t="shared" si="36"/>
        <v>-0.63340714835469014</v>
      </c>
      <c r="AC125" s="140">
        <f t="shared" si="37"/>
        <v>0</v>
      </c>
      <c r="AD125" s="140">
        <f t="shared" si="38"/>
        <v>0</v>
      </c>
      <c r="AE125" s="140">
        <f t="shared" si="39"/>
        <v>0.42857142857142855</v>
      </c>
      <c r="AF125" s="140">
        <f t="shared" si="40"/>
        <v>0.42857142857142855</v>
      </c>
      <c r="AG125" s="140">
        <f t="shared" si="41"/>
        <v>0.42857142857142855</v>
      </c>
      <c r="AH125" s="140">
        <f t="shared" si="42"/>
        <v>0</v>
      </c>
      <c r="AI125" s="140">
        <f t="shared" si="43"/>
        <v>0.42857142857142855</v>
      </c>
      <c r="AJ125" s="140">
        <f t="shared" si="44"/>
        <v>0.42857142857142855</v>
      </c>
      <c r="AK125" s="140">
        <f t="shared" si="45"/>
        <v>0.42857142857142855</v>
      </c>
      <c r="AL125" s="140">
        <f t="shared" si="46"/>
        <v>0</v>
      </c>
      <c r="AM125" t="str">
        <f t="shared" si="47"/>
        <v>4575-000: Travel &amp; mileage Services</v>
      </c>
      <c r="AN125" s="140">
        <f t="shared" si="48"/>
        <v>0</v>
      </c>
      <c r="AO125" s="140">
        <f t="shared" si="49"/>
        <v>0.42857142857142855</v>
      </c>
      <c r="AP125" s="1">
        <f>IF(AND(AO125&gt;0, _xlfn.XLOOKUP($AM125, Discretionaries!$A$2:'Discretionaries'!$A$150, Discretionaries!$B$2:'Discretionaries'!$B$150)), (1+AN125)*$N125, "")</f>
        <v>350</v>
      </c>
      <c r="AQ125" s="1">
        <f>IF(AND(AO125&gt;0, _xlfn.XLOOKUP($AM125, Discretionaries!$A$2:'Discretionaries'!$A$150, Discretionaries!$B$2:'Discretionaries'!$B$150)),AP125-$Q125,"")</f>
        <v>-150</v>
      </c>
      <c r="AR125" s="140">
        <f>IF(AG125="", 0-CPI!$B$15, AG125-CPI!$B$15)</f>
        <v>0.38957142857142857</v>
      </c>
      <c r="AS125" s="1">
        <f>IF(AND(AR125&gt;0, _xlfn.XLOOKUP($AM125, Discretionaries!$A$2:'Discretionaries'!$A$150, Discretionaries!$B$2:'Discretionaries'!$B$150)), (1+CPI!$B$15)*$N125, "")</f>
        <v>363.65</v>
      </c>
      <c r="AT125" s="1">
        <f>IF(AND(AR125&gt;0, _xlfn.XLOOKUP($AM125, Discretionaries!$A$2:'Discretionaries'!$A$150, Discretionaries!$B$2:'Discretionaries'!$B$150)),AS125-$Q125,"")</f>
        <v>-136.35000000000002</v>
      </c>
    </row>
    <row r="126" spans="1:46" x14ac:dyDescent="0.3">
      <c r="A126" t="s">
        <v>417</v>
      </c>
      <c r="B126" t="str">
        <f t="shared" si="25"/>
        <v>09</v>
      </c>
      <c r="C126" t="s">
        <v>408</v>
      </c>
      <c r="D126" t="str">
        <f t="shared" si="26"/>
        <v>00</v>
      </c>
      <c r="E126" t="s">
        <v>30</v>
      </c>
      <c r="F126" s="139" t="s">
        <v>31</v>
      </c>
      <c r="G126" t="s">
        <v>32</v>
      </c>
      <c r="H126" s="156">
        <v>0</v>
      </c>
      <c r="I126" s="156">
        <v>0</v>
      </c>
      <c r="J126" s="156">
        <v>0</v>
      </c>
      <c r="K126" s="156">
        <v>0</v>
      </c>
      <c r="L126" s="156">
        <v>0</v>
      </c>
      <c r="M126" s="156">
        <v>0</v>
      </c>
      <c r="N126" s="156">
        <v>0</v>
      </c>
      <c r="O126" s="156">
        <v>1150</v>
      </c>
      <c r="P126" s="156">
        <v>1150</v>
      </c>
      <c r="Q126" s="156">
        <v>1150</v>
      </c>
      <c r="R126" s="156">
        <v>0</v>
      </c>
      <c r="S126" s="156">
        <f t="shared" si="27"/>
        <v>1150</v>
      </c>
      <c r="T126" s="156">
        <f t="shared" si="28"/>
        <v>1150</v>
      </c>
      <c r="U126" s="140" t="str">
        <f t="shared" si="29"/>
        <v/>
      </c>
      <c r="V126" s="140" t="str">
        <f t="shared" si="30"/>
        <v/>
      </c>
      <c r="W126" s="140" t="str">
        <f t="shared" si="31"/>
        <v/>
      </c>
      <c r="X126" s="140" t="str">
        <f t="shared" si="32"/>
        <v/>
      </c>
      <c r="Y126" s="140" t="str">
        <f t="shared" si="33"/>
        <v/>
      </c>
      <c r="Z126" s="140" t="str">
        <f t="shared" si="34"/>
        <v/>
      </c>
      <c r="AA126" s="140" t="str">
        <f t="shared" si="35"/>
        <v/>
      </c>
      <c r="AB126" s="140" t="str">
        <f t="shared" si="36"/>
        <v/>
      </c>
      <c r="AC126" s="140" t="str">
        <f t="shared" si="37"/>
        <v/>
      </c>
      <c r="AD126" s="140" t="str">
        <f t="shared" si="38"/>
        <v/>
      </c>
      <c r="AE126" s="140" t="str">
        <f t="shared" si="39"/>
        <v/>
      </c>
      <c r="AF126" s="140" t="str">
        <f t="shared" si="40"/>
        <v/>
      </c>
      <c r="AG126" s="140" t="str">
        <f t="shared" si="41"/>
        <v/>
      </c>
      <c r="AH126" s="140" t="str">
        <f t="shared" si="42"/>
        <v/>
      </c>
      <c r="AI126" s="140" t="str">
        <f t="shared" si="43"/>
        <v/>
      </c>
      <c r="AJ126" s="140" t="str">
        <f t="shared" si="44"/>
        <v/>
      </c>
      <c r="AK126" s="140" t="str">
        <f t="shared" si="45"/>
        <v/>
      </c>
      <c r="AL126" s="140" t="str">
        <f t="shared" si="46"/>
        <v/>
      </c>
      <c r="AM126" t="str">
        <f t="shared" si="47"/>
        <v>4610-000: General expenses Supplies</v>
      </c>
      <c r="AN126" s="140">
        <f t="shared" si="48"/>
        <v>0</v>
      </c>
      <c r="AO126" s="140">
        <f t="shared" si="49"/>
        <v>0</v>
      </c>
      <c r="AP126" s="1" t="str">
        <f>IF(AND(AO126&gt;0, _xlfn.XLOOKUP($AM126, Discretionaries!$A$2:'Discretionaries'!$A$150, Discretionaries!$B$2:'Discretionaries'!$B$150)), (1+AN126)*$N126, "")</f>
        <v/>
      </c>
      <c r="AQ126" s="1" t="str">
        <f>IF(AND(AO126&gt;0, _xlfn.XLOOKUP($AM126, Discretionaries!$A$2:'Discretionaries'!$A$150, Discretionaries!$B$2:'Discretionaries'!$B$150)),AP126-$Q126,"")</f>
        <v/>
      </c>
      <c r="AR126" s="140">
        <f>IF(AG126="", 0-CPI!$B$15, AG126-CPI!$B$15)</f>
        <v>-3.8999999999999993E-2</v>
      </c>
      <c r="AS126" s="1" t="str">
        <f>IF(AND(AR126&gt;0, _xlfn.XLOOKUP($AM126, Discretionaries!$A$2:'Discretionaries'!$A$150, Discretionaries!$B$2:'Discretionaries'!$B$150)), (1+CPI!$B$15)*$N126, "")</f>
        <v/>
      </c>
      <c r="AT126" s="1" t="str">
        <f>IF(AND(AR126&gt;0, _xlfn.XLOOKUP($AM126, Discretionaries!$A$2:'Discretionaries'!$A$150, Discretionaries!$B$2:'Discretionaries'!$B$150)),AS126-$Q126,"")</f>
        <v/>
      </c>
    </row>
    <row r="127" spans="1:46" x14ac:dyDescent="0.3">
      <c r="A127" t="s">
        <v>417</v>
      </c>
      <c r="B127" t="str">
        <f t="shared" si="25"/>
        <v>09</v>
      </c>
      <c r="C127" t="s">
        <v>408</v>
      </c>
      <c r="D127" t="str">
        <f t="shared" si="26"/>
        <v>00</v>
      </c>
      <c r="E127" t="s">
        <v>30</v>
      </c>
      <c r="F127" s="139" t="s">
        <v>51</v>
      </c>
      <c r="G127" t="s">
        <v>48</v>
      </c>
      <c r="H127" s="156">
        <v>685</v>
      </c>
      <c r="I127" s="156">
        <v>1402.57</v>
      </c>
      <c r="J127" s="156">
        <v>685</v>
      </c>
      <c r="K127" s="156">
        <v>593.36</v>
      </c>
      <c r="L127" s="156">
        <v>685</v>
      </c>
      <c r="M127" s="156">
        <v>1161.7</v>
      </c>
      <c r="N127" s="156">
        <v>685</v>
      </c>
      <c r="O127" s="156">
        <v>0</v>
      </c>
      <c r="P127" s="156">
        <v>0</v>
      </c>
      <c r="Q127" s="156">
        <v>0</v>
      </c>
      <c r="R127" s="156">
        <v>685</v>
      </c>
      <c r="S127" s="156">
        <f t="shared" si="27"/>
        <v>-685</v>
      </c>
      <c r="T127" s="156">
        <f t="shared" si="28"/>
        <v>-685</v>
      </c>
      <c r="U127" s="140">
        <f t="shared" si="29"/>
        <v>-1</v>
      </c>
      <c r="V127" s="140">
        <f t="shared" si="30"/>
        <v>1.0475474452554743</v>
      </c>
      <c r="W127" s="140">
        <f t="shared" si="31"/>
        <v>-0.13378102189781019</v>
      </c>
      <c r="X127" s="140">
        <f t="shared" si="32"/>
        <v>0.69591240875912419</v>
      </c>
      <c r="Y127" s="140">
        <f t="shared" si="33"/>
        <v>0</v>
      </c>
      <c r="Z127" s="140">
        <f t="shared" si="34"/>
        <v>-0.57694803111431159</v>
      </c>
      <c r="AA127" s="140">
        <f t="shared" si="35"/>
        <v>0</v>
      </c>
      <c r="AB127" s="140">
        <f t="shared" si="36"/>
        <v>0.95783335580423357</v>
      </c>
      <c r="AC127" s="140">
        <f t="shared" si="37"/>
        <v>0</v>
      </c>
      <c r="AD127" s="140">
        <f t="shared" si="38"/>
        <v>0</v>
      </c>
      <c r="AE127" s="140">
        <f t="shared" si="39"/>
        <v>-1</v>
      </c>
      <c r="AF127" s="140">
        <f t="shared" si="40"/>
        <v>-1</v>
      </c>
      <c r="AG127" s="140">
        <f t="shared" si="41"/>
        <v>-1</v>
      </c>
      <c r="AH127" s="140">
        <f t="shared" si="42"/>
        <v>0</v>
      </c>
      <c r="AI127" s="140">
        <f t="shared" si="43"/>
        <v>-1</v>
      </c>
      <c r="AJ127" s="140">
        <f t="shared" si="44"/>
        <v>-1</v>
      </c>
      <c r="AK127" s="140">
        <f t="shared" si="45"/>
        <v>-1</v>
      </c>
      <c r="AL127" s="140">
        <f t="shared" si="46"/>
        <v>0</v>
      </c>
      <c r="AM127" t="str">
        <f t="shared" si="47"/>
        <v>4620-000: Office supplies Supplies</v>
      </c>
      <c r="AN127" s="140">
        <f t="shared" si="48"/>
        <v>0</v>
      </c>
      <c r="AO127" s="140">
        <f t="shared" si="49"/>
        <v>-1</v>
      </c>
      <c r="AP127" s="1" t="str">
        <f>IF(AND(AO127&gt;0, _xlfn.XLOOKUP($AM127, Discretionaries!$A$2:'Discretionaries'!$A$150, Discretionaries!$B$2:'Discretionaries'!$B$150)), (1+AN127)*$N127, "")</f>
        <v/>
      </c>
      <c r="AQ127" s="1" t="str">
        <f>IF(AND(AO127&gt;0, _xlfn.XLOOKUP($AM127, Discretionaries!$A$2:'Discretionaries'!$A$150, Discretionaries!$B$2:'Discretionaries'!$B$150)),AP127-$Q127,"")</f>
        <v/>
      </c>
      <c r="AR127" s="140">
        <f>IF(AG127="", 0-CPI!$B$15, AG127-CPI!$B$15)</f>
        <v>-1.0389999999999999</v>
      </c>
      <c r="AS127" s="1" t="str">
        <f>IF(AND(AR127&gt;0, _xlfn.XLOOKUP($AM127, Discretionaries!$A$2:'Discretionaries'!$A$150, Discretionaries!$B$2:'Discretionaries'!$B$150)), (1+CPI!$B$15)*$N127, "")</f>
        <v/>
      </c>
      <c r="AT127" s="1" t="str">
        <f>IF(AND(AR127&gt;0, _xlfn.XLOOKUP($AM127, Discretionaries!$A$2:'Discretionaries'!$A$150, Discretionaries!$B$2:'Discretionaries'!$B$150)),AS127-$Q127,"")</f>
        <v/>
      </c>
    </row>
    <row r="128" spans="1:46" x14ac:dyDescent="0.3">
      <c r="A128" t="s">
        <v>417</v>
      </c>
      <c r="B128" t="str">
        <f t="shared" si="25"/>
        <v>09</v>
      </c>
      <c r="C128" t="s">
        <v>408</v>
      </c>
      <c r="D128" t="str">
        <f t="shared" si="26"/>
        <v>00</v>
      </c>
      <c r="E128" t="s">
        <v>30</v>
      </c>
      <c r="F128" s="139" t="s">
        <v>52</v>
      </c>
      <c r="G128" t="s">
        <v>49</v>
      </c>
      <c r="H128" s="156">
        <v>1000</v>
      </c>
      <c r="I128" s="156">
        <v>1103.03</v>
      </c>
      <c r="J128" s="156">
        <v>1000</v>
      </c>
      <c r="K128" s="156">
        <v>4456.6400000000003</v>
      </c>
      <c r="L128" s="156">
        <v>1000</v>
      </c>
      <c r="M128" s="156">
        <v>1385.06</v>
      </c>
      <c r="N128" s="156">
        <v>1250</v>
      </c>
      <c r="O128" s="156">
        <v>1250</v>
      </c>
      <c r="P128" s="156">
        <v>1250</v>
      </c>
      <c r="Q128" s="156">
        <v>1250</v>
      </c>
      <c r="R128" s="156">
        <v>1250</v>
      </c>
      <c r="S128" s="156">
        <f t="shared" si="27"/>
        <v>0</v>
      </c>
      <c r="T128" s="156">
        <f t="shared" si="28"/>
        <v>0</v>
      </c>
      <c r="U128" s="140">
        <f t="shared" si="29"/>
        <v>0</v>
      </c>
      <c r="V128" s="140">
        <f t="shared" si="30"/>
        <v>0.10302999999999997</v>
      </c>
      <c r="W128" s="140">
        <f t="shared" si="31"/>
        <v>3.4566400000000002</v>
      </c>
      <c r="X128" s="140">
        <f t="shared" si="32"/>
        <v>0.38505999999999996</v>
      </c>
      <c r="Y128" s="140">
        <f t="shared" si="33"/>
        <v>0</v>
      </c>
      <c r="Z128" s="140">
        <f t="shared" si="34"/>
        <v>3.040361549549877</v>
      </c>
      <c r="AA128" s="140">
        <f t="shared" si="35"/>
        <v>0</v>
      </c>
      <c r="AB128" s="140">
        <f t="shared" si="36"/>
        <v>-0.68921429597185324</v>
      </c>
      <c r="AC128" s="140">
        <f t="shared" si="37"/>
        <v>0.25</v>
      </c>
      <c r="AD128" s="140">
        <f t="shared" si="38"/>
        <v>0.25</v>
      </c>
      <c r="AE128" s="140">
        <f t="shared" si="39"/>
        <v>0</v>
      </c>
      <c r="AF128" s="140">
        <f t="shared" si="40"/>
        <v>0</v>
      </c>
      <c r="AG128" s="140">
        <f t="shared" si="41"/>
        <v>0</v>
      </c>
      <c r="AH128" s="140">
        <f t="shared" si="42"/>
        <v>0</v>
      </c>
      <c r="AI128" s="140">
        <f t="shared" si="43"/>
        <v>0.25</v>
      </c>
      <c r="AJ128" s="140">
        <f t="shared" si="44"/>
        <v>0.25</v>
      </c>
      <c r="AK128" s="140">
        <f t="shared" si="45"/>
        <v>0.25</v>
      </c>
      <c r="AL128" s="140">
        <f t="shared" si="46"/>
        <v>0.25</v>
      </c>
      <c r="AM128" t="str">
        <f t="shared" si="47"/>
        <v>4625-000: Postage Supplies</v>
      </c>
      <c r="AN128" s="140">
        <f t="shared" si="48"/>
        <v>8.3333333333333329E-2</v>
      </c>
      <c r="AO128" s="140">
        <f t="shared" si="49"/>
        <v>-8.3333333333333329E-2</v>
      </c>
      <c r="AP128" s="1" t="str">
        <f>IF(AND(AO128&gt;0, _xlfn.XLOOKUP($AM128, Discretionaries!$A$2:'Discretionaries'!$A$150, Discretionaries!$B$2:'Discretionaries'!$B$150)), (1+AN128)*$N128, "")</f>
        <v/>
      </c>
      <c r="AQ128" s="1" t="str">
        <f>IF(AND(AO128&gt;0, _xlfn.XLOOKUP($AM128, Discretionaries!$A$2:'Discretionaries'!$A$150, Discretionaries!$B$2:'Discretionaries'!$B$150)),AP128-$Q128,"")</f>
        <v/>
      </c>
      <c r="AR128" s="140">
        <f>IF(AG128="", 0-CPI!$B$15, AG128-CPI!$B$15)</f>
        <v>-3.8999999999999993E-2</v>
      </c>
      <c r="AS128" s="1" t="str">
        <f>IF(AND(AR128&gt;0, _xlfn.XLOOKUP($AM128, Discretionaries!$A$2:'Discretionaries'!$A$150, Discretionaries!$B$2:'Discretionaries'!$B$150)), (1+CPI!$B$15)*$N128, "")</f>
        <v/>
      </c>
      <c r="AT128" s="1" t="str">
        <f>IF(AND(AR128&gt;0, _xlfn.XLOOKUP($AM128, Discretionaries!$A$2:'Discretionaries'!$A$150, Discretionaries!$B$2:'Discretionaries'!$B$150)),AS128-$Q128,"")</f>
        <v/>
      </c>
    </row>
    <row r="129" spans="1:46" x14ac:dyDescent="0.3">
      <c r="A129" t="s">
        <v>417</v>
      </c>
      <c r="B129" t="str">
        <f t="shared" si="25"/>
        <v>09</v>
      </c>
      <c r="C129" t="s">
        <v>408</v>
      </c>
      <c r="D129" t="str">
        <f t="shared" si="26"/>
        <v>00</v>
      </c>
      <c r="E129" t="s">
        <v>30</v>
      </c>
      <c r="F129" s="139" t="s">
        <v>137</v>
      </c>
      <c r="G129" t="s">
        <v>138</v>
      </c>
      <c r="H129" s="156">
        <v>100</v>
      </c>
      <c r="I129" s="156">
        <v>0</v>
      </c>
      <c r="J129" s="156">
        <v>100</v>
      </c>
      <c r="K129" s="156">
        <v>0</v>
      </c>
      <c r="L129" s="156">
        <v>100</v>
      </c>
      <c r="M129" s="156">
        <v>0</v>
      </c>
      <c r="N129" s="156">
        <v>0</v>
      </c>
      <c r="O129" s="156">
        <v>0</v>
      </c>
      <c r="P129" s="156">
        <v>0</v>
      </c>
      <c r="Q129" s="156">
        <v>0</v>
      </c>
      <c r="R129" s="156">
        <v>0</v>
      </c>
      <c r="S129" s="156">
        <f t="shared" si="27"/>
        <v>0</v>
      </c>
      <c r="T129" s="156">
        <f t="shared" si="28"/>
        <v>0</v>
      </c>
      <c r="U129" s="140" t="str">
        <f t="shared" si="29"/>
        <v/>
      </c>
      <c r="V129" s="140">
        <f t="shared" si="30"/>
        <v>-1</v>
      </c>
      <c r="W129" s="140">
        <f t="shared" si="31"/>
        <v>-1</v>
      </c>
      <c r="X129" s="140">
        <f t="shared" si="32"/>
        <v>-1</v>
      </c>
      <c r="Y129" s="140">
        <f t="shared" si="33"/>
        <v>0</v>
      </c>
      <c r="Z129" s="140" t="str">
        <f t="shared" si="34"/>
        <v/>
      </c>
      <c r="AA129" s="140">
        <f t="shared" si="35"/>
        <v>0</v>
      </c>
      <c r="AB129" s="140" t="str">
        <f t="shared" si="36"/>
        <v/>
      </c>
      <c r="AC129" s="140">
        <f t="shared" si="37"/>
        <v>-1</v>
      </c>
      <c r="AD129" s="140">
        <f t="shared" si="38"/>
        <v>-1</v>
      </c>
      <c r="AE129" s="140" t="str">
        <f t="shared" si="39"/>
        <v/>
      </c>
      <c r="AF129" s="140" t="str">
        <f t="shared" si="40"/>
        <v/>
      </c>
      <c r="AG129" s="140" t="str">
        <f t="shared" si="41"/>
        <v/>
      </c>
      <c r="AH129" s="140" t="str">
        <f t="shared" si="42"/>
        <v/>
      </c>
      <c r="AI129" s="140">
        <f t="shared" si="43"/>
        <v>-1</v>
      </c>
      <c r="AJ129" s="140">
        <f t="shared" si="44"/>
        <v>-1</v>
      </c>
      <c r="AK129" s="140">
        <f t="shared" si="45"/>
        <v>-1</v>
      </c>
      <c r="AL129" s="140">
        <f t="shared" si="46"/>
        <v>-1</v>
      </c>
      <c r="AM129" t="str">
        <f t="shared" si="47"/>
        <v>4630-000: Maint &amp; repairs Supplies</v>
      </c>
      <c r="AN129" s="140">
        <f t="shared" si="48"/>
        <v>-0.33333333333333331</v>
      </c>
      <c r="AO129" s="140">
        <f t="shared" si="49"/>
        <v>0.33333333333333331</v>
      </c>
      <c r="AP129" s="1">
        <f>IF(AND(AO129&gt;0, _xlfn.XLOOKUP($AM129, Discretionaries!$A$2:'Discretionaries'!$A$150, Discretionaries!$B$2:'Discretionaries'!$B$150)), (1+AN129)*$N129, "")</f>
        <v>0</v>
      </c>
      <c r="AQ129" s="1">
        <f>IF(AND(AO129&gt;0, _xlfn.XLOOKUP($AM129, Discretionaries!$A$2:'Discretionaries'!$A$150, Discretionaries!$B$2:'Discretionaries'!$B$150)),AP129-$Q129,"")</f>
        <v>0</v>
      </c>
      <c r="AR129" s="140">
        <f>IF(AG129="", 0-CPI!$B$15, AG129-CPI!$B$15)</f>
        <v>-3.8999999999999993E-2</v>
      </c>
      <c r="AS129" s="1" t="str">
        <f>IF(AND(AR129&gt;0, _xlfn.XLOOKUP($AM129, Discretionaries!$A$2:'Discretionaries'!$A$150, Discretionaries!$B$2:'Discretionaries'!$B$150)), (1+CPI!$B$15)*$N129, "")</f>
        <v/>
      </c>
      <c r="AT129" s="1" t="str">
        <f>IF(AND(AR129&gt;0, _xlfn.XLOOKUP($AM129, Discretionaries!$A$2:'Discretionaries'!$A$150, Discretionaries!$B$2:'Discretionaries'!$B$150)),AS129-$Q129,"")</f>
        <v/>
      </c>
    </row>
    <row r="130" spans="1:46" x14ac:dyDescent="0.3">
      <c r="A130" t="s">
        <v>418</v>
      </c>
      <c r="B130" t="str">
        <f t="shared" ref="B130:B193" si="50">LEFT(A130, 2)</f>
        <v>10</v>
      </c>
      <c r="C130" t="s">
        <v>408</v>
      </c>
      <c r="D130" t="str">
        <f t="shared" ref="D130:D193" si="51">LEFT(C130, 2)</f>
        <v>00</v>
      </c>
      <c r="E130" t="s">
        <v>11</v>
      </c>
      <c r="F130" s="139" t="s">
        <v>35</v>
      </c>
      <c r="G130" t="s">
        <v>36</v>
      </c>
      <c r="H130" s="156">
        <v>0</v>
      </c>
      <c r="I130" s="156">
        <v>0</v>
      </c>
      <c r="J130" s="156">
        <v>0</v>
      </c>
      <c r="K130" s="156">
        <v>0</v>
      </c>
      <c r="L130" s="156">
        <v>0</v>
      </c>
      <c r="M130" s="156">
        <v>0</v>
      </c>
      <c r="N130" s="156">
        <v>0</v>
      </c>
      <c r="O130" s="156">
        <v>267500</v>
      </c>
      <c r="P130" s="156">
        <v>267500</v>
      </c>
      <c r="Q130" s="156">
        <v>241007</v>
      </c>
      <c r="R130" s="156">
        <v>0</v>
      </c>
      <c r="S130" s="156">
        <f t="shared" ref="S130:S193" si="52">Q130 - N130</f>
        <v>241007</v>
      </c>
      <c r="T130" s="156">
        <f t="shared" ref="T130:T193" si="53">Q130 - R130</f>
        <v>241007</v>
      </c>
      <c r="U130" s="140" t="str">
        <f t="shared" ref="U130:U193" si="54">IFERROR((Q130 - N130) / N130, "")</f>
        <v/>
      </c>
      <c r="V130" s="140" t="str">
        <f t="shared" ref="V130:V193" si="55">IFERROR((I130 - H130) / H130, "")</f>
        <v/>
      </c>
      <c r="W130" s="140" t="str">
        <f t="shared" ref="W130:W193" si="56">IFERROR((K130 - J130) / J130, "")</f>
        <v/>
      </c>
      <c r="X130" s="140" t="str">
        <f t="shared" ref="X130:X193" si="57">IFERROR((M130 - L130) / L130, "")</f>
        <v/>
      </c>
      <c r="Y130" s="140" t="str">
        <f t="shared" ref="Y130:Y193" si="58">IFERROR((J130 - H130) / H130, "")</f>
        <v/>
      </c>
      <c r="Z130" s="140" t="str">
        <f t="shared" ref="Z130:Z193" si="59">IFERROR((K130 - I130) / I130, "")</f>
        <v/>
      </c>
      <c r="AA130" s="140" t="str">
        <f t="shared" ref="AA130:AA193" si="60">IFERROR((L130 - J130) / J130, "")</f>
        <v/>
      </c>
      <c r="AB130" s="140" t="str">
        <f t="shared" ref="AB130:AB193" si="61">IFERROR((M130 - K130) / K130, "")</f>
        <v/>
      </c>
      <c r="AC130" s="140" t="str">
        <f t="shared" ref="AC130:AC193" si="62">IFERROR((N130 - L130) / L130, "")</f>
        <v/>
      </c>
      <c r="AD130" s="140" t="str">
        <f t="shared" ref="AD130:AD193" si="63">IFERROR((N130 - H130) / H130, "")</f>
        <v/>
      </c>
      <c r="AE130" s="140" t="str">
        <f t="shared" ref="AE130:AE193" si="64">IFERROR((O130 - N130) / N130, "")</f>
        <v/>
      </c>
      <c r="AF130" s="140" t="str">
        <f t="shared" ref="AF130:AF193" si="65">IFERROR((P130 - N130) / N130, "")</f>
        <v/>
      </c>
      <c r="AG130" s="140" t="str">
        <f t="shared" ref="AG130:AG193" si="66">IFERROR((Q130 - N130) / N130, "")</f>
        <v/>
      </c>
      <c r="AH130" s="140" t="str">
        <f t="shared" ref="AH130:AH193" si="67">IFERROR((R130 - N130) / N130, "")</f>
        <v/>
      </c>
      <c r="AI130" s="140" t="str">
        <f t="shared" ref="AI130:AI193" si="68">IFERROR((O130 - H130) / H130, "")</f>
        <v/>
      </c>
      <c r="AJ130" s="140" t="str">
        <f t="shared" ref="AJ130:AJ193" si="69">IFERROR((P130 - H130) / H130, "")</f>
        <v/>
      </c>
      <c r="AK130" s="140" t="str">
        <f t="shared" ref="AK130:AK193" si="70">IFERROR((Q130 - H130) / H130, "")</f>
        <v/>
      </c>
      <c r="AL130" s="140" t="str">
        <f t="shared" ref="AL130:AL193" si="71">IFERROR((R130 - H130) / H130, "")</f>
        <v/>
      </c>
      <c r="AM130" t="str">
        <f t="shared" ref="AM130:AM193" si="72">_xlfn.CONCAT(TRIM(F130), ": ", TRIM(G130))</f>
        <v>4110-000: Regular Salaries</v>
      </c>
      <c r="AN130" s="140">
        <f t="shared" si="48"/>
        <v>0</v>
      </c>
      <c r="AO130" s="140">
        <f t="shared" si="49"/>
        <v>0</v>
      </c>
      <c r="AP130" s="1" t="str">
        <f>IF(AND(AO130&gt;0, _xlfn.XLOOKUP($AM130, Discretionaries!$A$2:'Discretionaries'!$A$150, Discretionaries!$B$2:'Discretionaries'!$B$150)), (1+AN130)*$N130, "")</f>
        <v/>
      </c>
      <c r="AQ130" s="1" t="str">
        <f>IF(AND(AO130&gt;0, _xlfn.XLOOKUP($AM130, Discretionaries!$A$2:'Discretionaries'!$A$150, Discretionaries!$B$2:'Discretionaries'!$B$150)),AP130-$Q130,"")</f>
        <v/>
      </c>
      <c r="AR130" s="140">
        <f>IF(AG130="", 0-CPI!$B$15, AG130-CPI!$B$15)</f>
        <v>-3.8999999999999993E-2</v>
      </c>
      <c r="AS130" s="1" t="str">
        <f>IF(AND(AR130&gt;0, _xlfn.XLOOKUP($AM130, Discretionaries!$A$2:'Discretionaries'!$A$150, Discretionaries!$B$2:'Discretionaries'!$B$150)), (1+CPI!$B$15)*$N130, "")</f>
        <v/>
      </c>
      <c r="AT130" s="1" t="str">
        <f>IF(AND(AR130&gt;0, _xlfn.XLOOKUP($AM130, Discretionaries!$A$2:'Discretionaries'!$A$150, Discretionaries!$B$2:'Discretionaries'!$B$150)),AS130-$Q130,"")</f>
        <v/>
      </c>
    </row>
    <row r="131" spans="1:46" x14ac:dyDescent="0.3">
      <c r="A131" t="s">
        <v>418</v>
      </c>
      <c r="B131" t="str">
        <f t="shared" si="50"/>
        <v>10</v>
      </c>
      <c r="C131" t="s">
        <v>408</v>
      </c>
      <c r="D131" t="str">
        <f t="shared" si="51"/>
        <v>00</v>
      </c>
      <c r="E131" t="s">
        <v>14</v>
      </c>
      <c r="F131" s="139" t="s">
        <v>41</v>
      </c>
      <c r="G131" t="s">
        <v>42</v>
      </c>
      <c r="H131" s="156">
        <v>0</v>
      </c>
      <c r="I131" s="156">
        <v>0</v>
      </c>
      <c r="J131" s="156">
        <v>0</v>
      </c>
      <c r="K131" s="156">
        <v>0</v>
      </c>
      <c r="L131" s="156">
        <v>0</v>
      </c>
      <c r="M131" s="156">
        <v>0</v>
      </c>
      <c r="N131" s="156">
        <v>0</v>
      </c>
      <c r="O131" s="156">
        <v>2142</v>
      </c>
      <c r="P131" s="156">
        <v>2142</v>
      </c>
      <c r="Q131" s="156">
        <v>2142</v>
      </c>
      <c r="R131" s="156">
        <v>0</v>
      </c>
      <c r="S131" s="156">
        <f t="shared" si="52"/>
        <v>2142</v>
      </c>
      <c r="T131" s="156">
        <f t="shared" si="53"/>
        <v>2142</v>
      </c>
      <c r="U131" s="140" t="str">
        <f t="shared" si="54"/>
        <v/>
      </c>
      <c r="V131" s="140" t="str">
        <f t="shared" si="55"/>
        <v/>
      </c>
      <c r="W131" s="140" t="str">
        <f t="shared" si="56"/>
        <v/>
      </c>
      <c r="X131" s="140" t="str">
        <f t="shared" si="57"/>
        <v/>
      </c>
      <c r="Y131" s="140" t="str">
        <f t="shared" si="58"/>
        <v/>
      </c>
      <c r="Z131" s="140" t="str">
        <f t="shared" si="59"/>
        <v/>
      </c>
      <c r="AA131" s="140" t="str">
        <f t="shared" si="60"/>
        <v/>
      </c>
      <c r="AB131" s="140" t="str">
        <f t="shared" si="61"/>
        <v/>
      </c>
      <c r="AC131" s="140" t="str">
        <f t="shared" si="62"/>
        <v/>
      </c>
      <c r="AD131" s="140" t="str">
        <f t="shared" si="63"/>
        <v/>
      </c>
      <c r="AE131" s="140" t="str">
        <f t="shared" si="64"/>
        <v/>
      </c>
      <c r="AF131" s="140" t="str">
        <f t="shared" si="65"/>
        <v/>
      </c>
      <c r="AG131" s="140" t="str">
        <f t="shared" si="66"/>
        <v/>
      </c>
      <c r="AH131" s="140" t="str">
        <f t="shared" si="67"/>
        <v/>
      </c>
      <c r="AI131" s="140" t="str">
        <f t="shared" si="68"/>
        <v/>
      </c>
      <c r="AJ131" s="140" t="str">
        <f t="shared" si="69"/>
        <v/>
      </c>
      <c r="AK131" s="140" t="str">
        <f t="shared" si="70"/>
        <v/>
      </c>
      <c r="AL131" s="140" t="str">
        <f t="shared" si="71"/>
        <v/>
      </c>
      <c r="AM131" t="str">
        <f t="shared" si="72"/>
        <v>4215-000: STD, LTD, &amp; Life Benefits</v>
      </c>
      <c r="AN131" s="140">
        <f t="shared" ref="AN131:AN194" si="73">IFERROR(AVERAGE(Y131, AA131, AC131), 0)</f>
        <v>0</v>
      </c>
      <c r="AO131" s="140">
        <f t="shared" ref="AO131:AO194" si="74">IF($AG131="", 0-AN131, $AG131-AN131)</f>
        <v>0</v>
      </c>
      <c r="AP131" s="1" t="str">
        <f>IF(AND(AO131&gt;0, _xlfn.XLOOKUP($AM131, Discretionaries!$A$2:'Discretionaries'!$A$150, Discretionaries!$B$2:'Discretionaries'!$B$150)), (1+AN131)*$N131, "")</f>
        <v/>
      </c>
      <c r="AQ131" s="1" t="str">
        <f>IF(AND(AO131&gt;0, _xlfn.XLOOKUP($AM131, Discretionaries!$A$2:'Discretionaries'!$A$150, Discretionaries!$B$2:'Discretionaries'!$B$150)),AP131-$Q131,"")</f>
        <v/>
      </c>
      <c r="AR131" s="140">
        <f>IF(AG131="", 0-CPI!$B$15, AG131-CPI!$B$15)</f>
        <v>-3.8999999999999993E-2</v>
      </c>
      <c r="AS131" s="1" t="str">
        <f>IF(AND(AR131&gt;0, _xlfn.XLOOKUP($AM131, Discretionaries!$A$2:'Discretionaries'!$A$150, Discretionaries!$B$2:'Discretionaries'!$B$150)), (1+CPI!$B$15)*$N131, "")</f>
        <v/>
      </c>
      <c r="AT131" s="1" t="str">
        <f>IF(AND(AR131&gt;0, _xlfn.XLOOKUP($AM131, Discretionaries!$A$2:'Discretionaries'!$A$150, Discretionaries!$B$2:'Discretionaries'!$B$150)),AS131-$Q131,"")</f>
        <v/>
      </c>
    </row>
    <row r="132" spans="1:46" x14ac:dyDescent="0.3">
      <c r="A132" t="s">
        <v>418</v>
      </c>
      <c r="B132" t="str">
        <f t="shared" si="50"/>
        <v>10</v>
      </c>
      <c r="C132" t="s">
        <v>408</v>
      </c>
      <c r="D132" t="str">
        <f t="shared" si="51"/>
        <v>00</v>
      </c>
      <c r="E132" t="s">
        <v>14</v>
      </c>
      <c r="F132" s="139" t="s">
        <v>15</v>
      </c>
      <c r="G132" t="s">
        <v>16</v>
      </c>
      <c r="H132" s="156">
        <v>0</v>
      </c>
      <c r="I132" s="156">
        <v>0</v>
      </c>
      <c r="J132" s="156">
        <v>0</v>
      </c>
      <c r="K132" s="156">
        <v>0</v>
      </c>
      <c r="L132" s="156">
        <v>0</v>
      </c>
      <c r="M132" s="156">
        <v>0</v>
      </c>
      <c r="N132" s="156">
        <v>0</v>
      </c>
      <c r="O132" s="156">
        <v>16585</v>
      </c>
      <c r="P132" s="156">
        <v>16585</v>
      </c>
      <c r="Q132" s="156">
        <v>14943</v>
      </c>
      <c r="R132" s="156">
        <v>0</v>
      </c>
      <c r="S132" s="156">
        <f t="shared" si="52"/>
        <v>14943</v>
      </c>
      <c r="T132" s="156">
        <f t="shared" si="53"/>
        <v>14943</v>
      </c>
      <c r="U132" s="140" t="str">
        <f t="shared" si="54"/>
        <v/>
      </c>
      <c r="V132" s="140" t="str">
        <f t="shared" si="55"/>
        <v/>
      </c>
      <c r="W132" s="140" t="str">
        <f t="shared" si="56"/>
        <v/>
      </c>
      <c r="X132" s="140" t="str">
        <f t="shared" si="57"/>
        <v/>
      </c>
      <c r="Y132" s="140" t="str">
        <f t="shared" si="58"/>
        <v/>
      </c>
      <c r="Z132" s="140" t="str">
        <f t="shared" si="59"/>
        <v/>
      </c>
      <c r="AA132" s="140" t="str">
        <f t="shared" si="60"/>
        <v/>
      </c>
      <c r="AB132" s="140" t="str">
        <f t="shared" si="61"/>
        <v/>
      </c>
      <c r="AC132" s="140" t="str">
        <f t="shared" si="62"/>
        <v/>
      </c>
      <c r="AD132" s="140" t="str">
        <f t="shared" si="63"/>
        <v/>
      </c>
      <c r="AE132" s="140" t="str">
        <f t="shared" si="64"/>
        <v/>
      </c>
      <c r="AF132" s="140" t="str">
        <f t="shared" si="65"/>
        <v/>
      </c>
      <c r="AG132" s="140" t="str">
        <f t="shared" si="66"/>
        <v/>
      </c>
      <c r="AH132" s="140" t="str">
        <f t="shared" si="67"/>
        <v/>
      </c>
      <c r="AI132" s="140" t="str">
        <f t="shared" si="68"/>
        <v/>
      </c>
      <c r="AJ132" s="140" t="str">
        <f t="shared" si="69"/>
        <v/>
      </c>
      <c r="AK132" s="140" t="str">
        <f t="shared" si="70"/>
        <v/>
      </c>
      <c r="AL132" s="140" t="str">
        <f t="shared" si="71"/>
        <v/>
      </c>
      <c r="AM132" t="str">
        <f t="shared" si="72"/>
        <v>4220-000: FICA Benefits</v>
      </c>
      <c r="AN132" s="140">
        <f t="shared" si="73"/>
        <v>0</v>
      </c>
      <c r="AO132" s="140">
        <f t="shared" si="74"/>
        <v>0</v>
      </c>
      <c r="AP132" s="1" t="str">
        <f>IF(AND(AO132&gt;0, _xlfn.XLOOKUP($AM132, Discretionaries!$A$2:'Discretionaries'!$A$150, Discretionaries!$B$2:'Discretionaries'!$B$150)), (1+AN132)*$N132, "")</f>
        <v/>
      </c>
      <c r="AQ132" s="1" t="str">
        <f>IF(AND(AO132&gt;0, _xlfn.XLOOKUP($AM132, Discretionaries!$A$2:'Discretionaries'!$A$150, Discretionaries!$B$2:'Discretionaries'!$B$150)),AP132-$Q132,"")</f>
        <v/>
      </c>
      <c r="AR132" s="140">
        <f>IF(AG132="", 0-CPI!$B$15, AG132-CPI!$B$15)</f>
        <v>-3.8999999999999993E-2</v>
      </c>
      <c r="AS132" s="1" t="str">
        <f>IF(AND(AR132&gt;0, _xlfn.XLOOKUP($AM132, Discretionaries!$A$2:'Discretionaries'!$A$150, Discretionaries!$B$2:'Discretionaries'!$B$150)), (1+CPI!$B$15)*$N132, "")</f>
        <v/>
      </c>
      <c r="AT132" s="1" t="str">
        <f>IF(AND(AR132&gt;0, _xlfn.XLOOKUP($AM132, Discretionaries!$A$2:'Discretionaries'!$A$150, Discretionaries!$B$2:'Discretionaries'!$B$150)),AS132-$Q132,"")</f>
        <v/>
      </c>
    </row>
    <row r="133" spans="1:46" x14ac:dyDescent="0.3">
      <c r="A133" t="s">
        <v>418</v>
      </c>
      <c r="B133" t="str">
        <f t="shared" si="50"/>
        <v>10</v>
      </c>
      <c r="C133" t="s">
        <v>408</v>
      </c>
      <c r="D133" t="str">
        <f t="shared" si="51"/>
        <v>00</v>
      </c>
      <c r="E133" t="s">
        <v>14</v>
      </c>
      <c r="F133" s="139" t="s">
        <v>17</v>
      </c>
      <c r="G133" t="s">
        <v>18</v>
      </c>
      <c r="H133" s="156">
        <v>0</v>
      </c>
      <c r="I133" s="156">
        <v>0</v>
      </c>
      <c r="J133" s="156">
        <v>0</v>
      </c>
      <c r="K133" s="156">
        <v>0</v>
      </c>
      <c r="L133" s="156">
        <v>0</v>
      </c>
      <c r="M133" s="156">
        <v>0</v>
      </c>
      <c r="N133" s="156">
        <v>0</v>
      </c>
      <c r="O133" s="156">
        <v>3879</v>
      </c>
      <c r="P133" s="156">
        <v>3879</v>
      </c>
      <c r="Q133" s="156">
        <v>3495</v>
      </c>
      <c r="R133" s="156">
        <v>0</v>
      </c>
      <c r="S133" s="156">
        <f t="shared" si="52"/>
        <v>3495</v>
      </c>
      <c r="T133" s="156">
        <f t="shared" si="53"/>
        <v>3495</v>
      </c>
      <c r="U133" s="140" t="str">
        <f t="shared" si="54"/>
        <v/>
      </c>
      <c r="V133" s="140" t="str">
        <f t="shared" si="55"/>
        <v/>
      </c>
      <c r="W133" s="140" t="str">
        <f t="shared" si="56"/>
        <v/>
      </c>
      <c r="X133" s="140" t="str">
        <f t="shared" si="57"/>
        <v/>
      </c>
      <c r="Y133" s="140" t="str">
        <f t="shared" si="58"/>
        <v/>
      </c>
      <c r="Z133" s="140" t="str">
        <f t="shared" si="59"/>
        <v/>
      </c>
      <c r="AA133" s="140" t="str">
        <f t="shared" si="60"/>
        <v/>
      </c>
      <c r="AB133" s="140" t="str">
        <f t="shared" si="61"/>
        <v/>
      </c>
      <c r="AC133" s="140" t="str">
        <f t="shared" si="62"/>
        <v/>
      </c>
      <c r="AD133" s="140" t="str">
        <f t="shared" si="63"/>
        <v/>
      </c>
      <c r="AE133" s="140" t="str">
        <f t="shared" si="64"/>
        <v/>
      </c>
      <c r="AF133" s="140" t="str">
        <f t="shared" si="65"/>
        <v/>
      </c>
      <c r="AG133" s="140" t="str">
        <f t="shared" si="66"/>
        <v/>
      </c>
      <c r="AH133" s="140" t="str">
        <f t="shared" si="67"/>
        <v/>
      </c>
      <c r="AI133" s="140" t="str">
        <f t="shared" si="68"/>
        <v/>
      </c>
      <c r="AJ133" s="140" t="str">
        <f t="shared" si="69"/>
        <v/>
      </c>
      <c r="AK133" s="140" t="str">
        <f t="shared" si="70"/>
        <v/>
      </c>
      <c r="AL133" s="140" t="str">
        <f t="shared" si="71"/>
        <v/>
      </c>
      <c r="AM133" t="str">
        <f t="shared" si="72"/>
        <v>4225-000: Medicare Benefits</v>
      </c>
      <c r="AN133" s="140">
        <f t="shared" si="73"/>
        <v>0</v>
      </c>
      <c r="AO133" s="140">
        <f t="shared" si="74"/>
        <v>0</v>
      </c>
      <c r="AP133" s="1" t="str">
        <f>IF(AND(AO133&gt;0, _xlfn.XLOOKUP($AM133, Discretionaries!$A$2:'Discretionaries'!$A$150, Discretionaries!$B$2:'Discretionaries'!$B$150)), (1+AN133)*$N133, "")</f>
        <v/>
      </c>
      <c r="AQ133" s="1" t="str">
        <f>IF(AND(AO133&gt;0, _xlfn.XLOOKUP($AM133, Discretionaries!$A$2:'Discretionaries'!$A$150, Discretionaries!$B$2:'Discretionaries'!$B$150)),AP133-$Q133,"")</f>
        <v/>
      </c>
      <c r="AR133" s="140">
        <f>IF(AG133="", 0-CPI!$B$15, AG133-CPI!$B$15)</f>
        <v>-3.8999999999999993E-2</v>
      </c>
      <c r="AS133" s="1" t="str">
        <f>IF(AND(AR133&gt;0, _xlfn.XLOOKUP($AM133, Discretionaries!$A$2:'Discretionaries'!$A$150, Discretionaries!$B$2:'Discretionaries'!$B$150)), (1+CPI!$B$15)*$N133, "")</f>
        <v/>
      </c>
      <c r="AT133" s="1" t="str">
        <f>IF(AND(AR133&gt;0, _xlfn.XLOOKUP($AM133, Discretionaries!$A$2:'Discretionaries'!$A$150, Discretionaries!$B$2:'Discretionaries'!$B$150)),AS133-$Q133,"")</f>
        <v/>
      </c>
    </row>
    <row r="134" spans="1:46" x14ac:dyDescent="0.3">
      <c r="A134" t="s">
        <v>418</v>
      </c>
      <c r="B134" t="str">
        <f t="shared" si="50"/>
        <v>10</v>
      </c>
      <c r="C134" t="s">
        <v>408</v>
      </c>
      <c r="D134" t="str">
        <f t="shared" si="51"/>
        <v>00</v>
      </c>
      <c r="E134" t="s">
        <v>14</v>
      </c>
      <c r="F134" s="139" t="s">
        <v>43</v>
      </c>
      <c r="G134" t="s">
        <v>44</v>
      </c>
      <c r="H134" s="156">
        <v>0</v>
      </c>
      <c r="I134" s="156">
        <v>0</v>
      </c>
      <c r="J134" s="156">
        <v>0</v>
      </c>
      <c r="K134" s="156">
        <v>0</v>
      </c>
      <c r="L134" s="156">
        <v>0</v>
      </c>
      <c r="M134" s="156">
        <v>0</v>
      </c>
      <c r="N134" s="156">
        <v>0</v>
      </c>
      <c r="O134" s="156">
        <v>34107</v>
      </c>
      <c r="P134" s="156">
        <v>34107</v>
      </c>
      <c r="Q134" s="156">
        <v>30729</v>
      </c>
      <c r="R134" s="156">
        <v>0</v>
      </c>
      <c r="S134" s="156">
        <f t="shared" si="52"/>
        <v>30729</v>
      </c>
      <c r="T134" s="156">
        <f t="shared" si="53"/>
        <v>30729</v>
      </c>
      <c r="U134" s="140" t="str">
        <f t="shared" si="54"/>
        <v/>
      </c>
      <c r="V134" s="140" t="str">
        <f t="shared" si="55"/>
        <v/>
      </c>
      <c r="W134" s="140" t="str">
        <f t="shared" si="56"/>
        <v/>
      </c>
      <c r="X134" s="140" t="str">
        <f t="shared" si="57"/>
        <v/>
      </c>
      <c r="Y134" s="140" t="str">
        <f t="shared" si="58"/>
        <v/>
      </c>
      <c r="Z134" s="140" t="str">
        <f t="shared" si="59"/>
        <v/>
      </c>
      <c r="AA134" s="140" t="str">
        <f t="shared" si="60"/>
        <v/>
      </c>
      <c r="AB134" s="140" t="str">
        <f t="shared" si="61"/>
        <v/>
      </c>
      <c r="AC134" s="140" t="str">
        <f t="shared" si="62"/>
        <v/>
      </c>
      <c r="AD134" s="140" t="str">
        <f t="shared" si="63"/>
        <v/>
      </c>
      <c r="AE134" s="140" t="str">
        <f t="shared" si="64"/>
        <v/>
      </c>
      <c r="AF134" s="140" t="str">
        <f t="shared" si="65"/>
        <v/>
      </c>
      <c r="AG134" s="140" t="str">
        <f t="shared" si="66"/>
        <v/>
      </c>
      <c r="AH134" s="140" t="str">
        <f t="shared" si="67"/>
        <v/>
      </c>
      <c r="AI134" s="140" t="str">
        <f t="shared" si="68"/>
        <v/>
      </c>
      <c r="AJ134" s="140" t="str">
        <f t="shared" si="69"/>
        <v/>
      </c>
      <c r="AK134" s="140" t="str">
        <f t="shared" si="70"/>
        <v/>
      </c>
      <c r="AL134" s="140" t="str">
        <f t="shared" si="71"/>
        <v/>
      </c>
      <c r="AM134" t="str">
        <f t="shared" si="72"/>
        <v>4230-000: Retirement Benefits</v>
      </c>
      <c r="AN134" s="140">
        <f t="shared" si="73"/>
        <v>0</v>
      </c>
      <c r="AO134" s="140">
        <f t="shared" si="74"/>
        <v>0</v>
      </c>
      <c r="AP134" s="1" t="str">
        <f>IF(AND(AO134&gt;0, _xlfn.XLOOKUP($AM134, Discretionaries!$A$2:'Discretionaries'!$A$150, Discretionaries!$B$2:'Discretionaries'!$B$150)), (1+AN134)*$N134, "")</f>
        <v/>
      </c>
      <c r="AQ134" s="1" t="str">
        <f>IF(AND(AO134&gt;0, _xlfn.XLOOKUP($AM134, Discretionaries!$A$2:'Discretionaries'!$A$150, Discretionaries!$B$2:'Discretionaries'!$B$150)),AP134-$Q134,"")</f>
        <v/>
      </c>
      <c r="AR134" s="140">
        <f>IF(AG134="", 0-CPI!$B$15, AG134-CPI!$B$15)</f>
        <v>-3.8999999999999993E-2</v>
      </c>
      <c r="AS134" s="1" t="str">
        <f>IF(AND(AR134&gt;0, _xlfn.XLOOKUP($AM134, Discretionaries!$A$2:'Discretionaries'!$A$150, Discretionaries!$B$2:'Discretionaries'!$B$150)), (1+CPI!$B$15)*$N134, "")</f>
        <v/>
      </c>
      <c r="AT134" s="1" t="str">
        <f>IF(AND(AR134&gt;0, _xlfn.XLOOKUP($AM134, Discretionaries!$A$2:'Discretionaries'!$A$150, Discretionaries!$B$2:'Discretionaries'!$B$150)),AS134-$Q134,"")</f>
        <v/>
      </c>
    </row>
    <row r="135" spans="1:46" x14ac:dyDescent="0.3">
      <c r="A135" t="s">
        <v>418</v>
      </c>
      <c r="B135" t="str">
        <f t="shared" si="50"/>
        <v>10</v>
      </c>
      <c r="C135" t="s">
        <v>408</v>
      </c>
      <c r="D135" t="str">
        <f t="shared" si="51"/>
        <v>00</v>
      </c>
      <c r="E135" t="s">
        <v>14</v>
      </c>
      <c r="F135" s="139" t="s">
        <v>19</v>
      </c>
      <c r="G135" t="s">
        <v>20</v>
      </c>
      <c r="L135" s="156">
        <v>0</v>
      </c>
      <c r="M135" s="156">
        <v>0</v>
      </c>
      <c r="N135" s="156">
        <v>0</v>
      </c>
      <c r="O135" s="156">
        <v>335</v>
      </c>
      <c r="P135" s="156">
        <v>335</v>
      </c>
      <c r="Q135" s="156">
        <v>335</v>
      </c>
      <c r="R135" s="156">
        <v>0</v>
      </c>
      <c r="S135" s="156">
        <f t="shared" si="52"/>
        <v>335</v>
      </c>
      <c r="T135" s="156">
        <f t="shared" si="53"/>
        <v>335</v>
      </c>
      <c r="U135" s="140" t="str">
        <f t="shared" si="54"/>
        <v/>
      </c>
      <c r="V135" s="140" t="str">
        <f t="shared" si="55"/>
        <v/>
      </c>
      <c r="W135" s="140" t="str">
        <f t="shared" si="56"/>
        <v/>
      </c>
      <c r="X135" s="140" t="str">
        <f t="shared" si="57"/>
        <v/>
      </c>
      <c r="Y135" s="140" t="str">
        <f t="shared" si="58"/>
        <v/>
      </c>
      <c r="Z135" s="140" t="str">
        <f t="shared" si="59"/>
        <v/>
      </c>
      <c r="AA135" s="140" t="str">
        <f t="shared" si="60"/>
        <v/>
      </c>
      <c r="AB135" s="140" t="str">
        <f t="shared" si="61"/>
        <v/>
      </c>
      <c r="AC135" s="140" t="str">
        <f t="shared" si="62"/>
        <v/>
      </c>
      <c r="AD135" s="140" t="str">
        <f t="shared" si="63"/>
        <v/>
      </c>
      <c r="AE135" s="140" t="str">
        <f t="shared" si="64"/>
        <v/>
      </c>
      <c r="AF135" s="140" t="str">
        <f t="shared" si="65"/>
        <v/>
      </c>
      <c r="AG135" s="140" t="str">
        <f t="shared" si="66"/>
        <v/>
      </c>
      <c r="AH135" s="140" t="str">
        <f t="shared" si="67"/>
        <v/>
      </c>
      <c r="AI135" s="140" t="str">
        <f t="shared" si="68"/>
        <v/>
      </c>
      <c r="AJ135" s="140" t="str">
        <f t="shared" si="69"/>
        <v/>
      </c>
      <c r="AK135" s="140" t="str">
        <f t="shared" si="70"/>
        <v/>
      </c>
      <c r="AL135" s="140" t="str">
        <f t="shared" si="71"/>
        <v/>
      </c>
      <c r="AM135" t="str">
        <f t="shared" si="72"/>
        <v>4260-000: Workers' comp Benefits</v>
      </c>
      <c r="AN135" s="140">
        <f t="shared" si="73"/>
        <v>0</v>
      </c>
      <c r="AO135" s="140">
        <f t="shared" si="74"/>
        <v>0</v>
      </c>
      <c r="AP135" s="1" t="str">
        <f>IF(AND(AO135&gt;0, _xlfn.XLOOKUP($AM135, Discretionaries!$A$2:'Discretionaries'!$A$150, Discretionaries!$B$2:'Discretionaries'!$B$150)), (1+AN135)*$N135, "")</f>
        <v/>
      </c>
      <c r="AQ135" s="1" t="str">
        <f>IF(AND(AO135&gt;0, _xlfn.XLOOKUP($AM135, Discretionaries!$A$2:'Discretionaries'!$A$150, Discretionaries!$B$2:'Discretionaries'!$B$150)),AP135-$Q135,"")</f>
        <v/>
      </c>
      <c r="AR135" s="140">
        <f>IF(AG135="", 0-CPI!$B$15, AG135-CPI!$B$15)</f>
        <v>-3.8999999999999993E-2</v>
      </c>
      <c r="AS135" s="1" t="str">
        <f>IF(AND(AR135&gt;0, _xlfn.XLOOKUP($AM135, Discretionaries!$A$2:'Discretionaries'!$A$150, Discretionaries!$B$2:'Discretionaries'!$B$150)), (1+CPI!$B$15)*$N135, "")</f>
        <v/>
      </c>
      <c r="AT135" s="1" t="str">
        <f>IF(AND(AR135&gt;0, _xlfn.XLOOKUP($AM135, Discretionaries!$A$2:'Discretionaries'!$A$150, Discretionaries!$B$2:'Discretionaries'!$B$150)),AS135-$Q135,"")</f>
        <v/>
      </c>
    </row>
    <row r="136" spans="1:46" x14ac:dyDescent="0.3">
      <c r="A136" t="s">
        <v>418</v>
      </c>
      <c r="B136" t="str">
        <f t="shared" si="50"/>
        <v>10</v>
      </c>
      <c r="C136" t="s">
        <v>408</v>
      </c>
      <c r="D136" t="str">
        <f t="shared" si="51"/>
        <v>00</v>
      </c>
      <c r="E136" t="s">
        <v>21</v>
      </c>
      <c r="F136" s="139" t="s">
        <v>28</v>
      </c>
      <c r="G136" t="s">
        <v>29</v>
      </c>
      <c r="H136" s="156">
        <v>281859</v>
      </c>
      <c r="I136" s="156">
        <v>260034.02</v>
      </c>
      <c r="J136" s="156">
        <v>303721</v>
      </c>
      <c r="K136" s="156">
        <v>300167.69</v>
      </c>
      <c r="L136" s="156">
        <v>342116</v>
      </c>
      <c r="M136" s="156">
        <v>351836.84</v>
      </c>
      <c r="N136" s="156">
        <v>339120</v>
      </c>
      <c r="O136" s="156">
        <v>630131</v>
      </c>
      <c r="P136" s="156">
        <v>630131</v>
      </c>
      <c r="Q136" s="156">
        <v>630131</v>
      </c>
      <c r="R136" s="156">
        <v>585500</v>
      </c>
      <c r="S136" s="156">
        <f t="shared" si="52"/>
        <v>291011</v>
      </c>
      <c r="T136" s="156">
        <f t="shared" si="53"/>
        <v>44631</v>
      </c>
      <c r="U136" s="140">
        <f t="shared" si="54"/>
        <v>0.85813576315168671</v>
      </c>
      <c r="V136" s="140">
        <f t="shared" si="55"/>
        <v>-7.7432262230406015E-2</v>
      </c>
      <c r="W136" s="140">
        <f t="shared" si="56"/>
        <v>-1.1699256883784781E-2</v>
      </c>
      <c r="X136" s="140">
        <f t="shared" si="57"/>
        <v>2.8413871318500233E-2</v>
      </c>
      <c r="Y136" s="140">
        <f t="shared" si="58"/>
        <v>7.7563604497284097E-2</v>
      </c>
      <c r="Z136" s="140">
        <f t="shared" si="59"/>
        <v>0.15434007442564637</v>
      </c>
      <c r="AA136" s="140">
        <f t="shared" si="60"/>
        <v>0.12641536146660914</v>
      </c>
      <c r="AB136" s="140">
        <f t="shared" si="61"/>
        <v>0.17213428267379485</v>
      </c>
      <c r="AC136" s="140">
        <f t="shared" si="62"/>
        <v>-8.7572636181879829E-3</v>
      </c>
      <c r="AD136" s="140">
        <f t="shared" si="63"/>
        <v>0.2031547688737986</v>
      </c>
      <c r="AE136" s="140">
        <f t="shared" si="64"/>
        <v>0.85813576315168671</v>
      </c>
      <c r="AF136" s="140">
        <f t="shared" si="65"/>
        <v>0.85813576315168671</v>
      </c>
      <c r="AG136" s="140">
        <f t="shared" si="66"/>
        <v>0.85813576315168671</v>
      </c>
      <c r="AH136" s="140">
        <f t="shared" si="67"/>
        <v>0.7265274828969096</v>
      </c>
      <c r="AI136" s="140">
        <f t="shared" si="68"/>
        <v>1.2356249046509069</v>
      </c>
      <c r="AJ136" s="140">
        <f t="shared" si="69"/>
        <v>1.2356249046509069</v>
      </c>
      <c r="AK136" s="140">
        <f t="shared" si="70"/>
        <v>1.2356249046509069</v>
      </c>
      <c r="AL136" s="140">
        <f t="shared" si="71"/>
        <v>1.0772797746390925</v>
      </c>
      <c r="AM136" t="str">
        <f t="shared" si="72"/>
        <v>4330-000: MGMT services Services</v>
      </c>
      <c r="AN136" s="140">
        <f t="shared" si="73"/>
        <v>6.5073900781901756E-2</v>
      </c>
      <c r="AO136" s="140">
        <f t="shared" si="74"/>
        <v>0.79306186236978493</v>
      </c>
      <c r="AP136" s="1">
        <f>IF(AND(AO136&gt;0, _xlfn.XLOOKUP($AM136, Discretionaries!$A$2:'Discretionaries'!$A$150, Discretionaries!$B$2:'Discretionaries'!$B$150)), (1+AN136)*$N136, "")</f>
        <v>361187.8612331585</v>
      </c>
      <c r="AQ136" s="1">
        <f>IF(AND(AO136&gt;0, _xlfn.XLOOKUP($AM136, Discretionaries!$A$2:'Discretionaries'!$A$150, Discretionaries!$B$2:'Discretionaries'!$B$150)),AP136-$Q136,"")</f>
        <v>-268943.1387668415</v>
      </c>
      <c r="AR136" s="140">
        <f>IF(AG136="", 0-CPI!$B$15, AG136-CPI!$B$15)</f>
        <v>0.81913576315168668</v>
      </c>
      <c r="AS136" s="1">
        <f>IF(AND(AR136&gt;0, _xlfn.XLOOKUP($AM136, Discretionaries!$A$2:'Discretionaries'!$A$150, Discretionaries!$B$2:'Discretionaries'!$B$150)), (1+CPI!$B$15)*$N136, "")</f>
        <v>352345.68</v>
      </c>
      <c r="AT136" s="1">
        <f>IF(AND(AR136&gt;0, _xlfn.XLOOKUP($AM136, Discretionaries!$A$2:'Discretionaries'!$A$150, Discretionaries!$B$2:'Discretionaries'!$B$150)),AS136-$Q136,"")</f>
        <v>-277785.32</v>
      </c>
    </row>
    <row r="137" spans="1:46" x14ac:dyDescent="0.3">
      <c r="A137" t="s">
        <v>418</v>
      </c>
      <c r="B137" t="str">
        <f t="shared" si="50"/>
        <v>10</v>
      </c>
      <c r="C137" t="s">
        <v>408</v>
      </c>
      <c r="D137" t="str">
        <f t="shared" si="51"/>
        <v>00</v>
      </c>
      <c r="E137" t="s">
        <v>21</v>
      </c>
      <c r="F137" s="139" t="s">
        <v>142</v>
      </c>
      <c r="G137" t="s">
        <v>143</v>
      </c>
      <c r="H137" s="156">
        <v>200000</v>
      </c>
      <c r="I137" s="156">
        <v>219999.96</v>
      </c>
      <c r="J137" s="156">
        <v>231000</v>
      </c>
      <c r="K137" s="156">
        <v>231000</v>
      </c>
      <c r="L137" s="156">
        <v>242550</v>
      </c>
      <c r="M137" s="156">
        <v>242550</v>
      </c>
      <c r="N137" s="156">
        <v>254678</v>
      </c>
      <c r="O137" s="156">
        <v>0</v>
      </c>
      <c r="P137" s="156">
        <v>0</v>
      </c>
      <c r="Q137" s="156">
        <v>0</v>
      </c>
      <c r="R137" s="156">
        <v>262319</v>
      </c>
      <c r="S137" s="156">
        <f t="shared" si="52"/>
        <v>-254678</v>
      </c>
      <c r="T137" s="156">
        <f t="shared" si="53"/>
        <v>-262319</v>
      </c>
      <c r="U137" s="140">
        <f t="shared" si="54"/>
        <v>-1</v>
      </c>
      <c r="V137" s="140">
        <f t="shared" si="55"/>
        <v>9.9999799999999958E-2</v>
      </c>
      <c r="W137" s="140">
        <f t="shared" si="56"/>
        <v>0</v>
      </c>
      <c r="X137" s="140">
        <f t="shared" si="57"/>
        <v>0</v>
      </c>
      <c r="Y137" s="140">
        <f t="shared" si="58"/>
        <v>0.155</v>
      </c>
      <c r="Z137" s="140">
        <f t="shared" si="59"/>
        <v>5.0000190909125657E-2</v>
      </c>
      <c r="AA137" s="140">
        <f t="shared" si="60"/>
        <v>0.05</v>
      </c>
      <c r="AB137" s="140">
        <f t="shared" si="61"/>
        <v>0.05</v>
      </c>
      <c r="AC137" s="140">
        <f t="shared" si="62"/>
        <v>5.0002061430632856E-2</v>
      </c>
      <c r="AD137" s="140">
        <f t="shared" si="63"/>
        <v>0.27339000000000002</v>
      </c>
      <c r="AE137" s="140">
        <f t="shared" si="64"/>
        <v>-1</v>
      </c>
      <c r="AF137" s="140">
        <f t="shared" si="65"/>
        <v>-1</v>
      </c>
      <c r="AG137" s="140">
        <f t="shared" si="66"/>
        <v>-1</v>
      </c>
      <c r="AH137" s="140">
        <f t="shared" si="67"/>
        <v>3.0002591507707774E-2</v>
      </c>
      <c r="AI137" s="140">
        <f t="shared" si="68"/>
        <v>-1</v>
      </c>
      <c r="AJ137" s="140">
        <f t="shared" si="69"/>
        <v>-1</v>
      </c>
      <c r="AK137" s="140">
        <f t="shared" si="70"/>
        <v>-1</v>
      </c>
      <c r="AL137" s="140">
        <f t="shared" si="71"/>
        <v>0.31159500000000001</v>
      </c>
      <c r="AM137" t="str">
        <f t="shared" si="72"/>
        <v>4332-000: Contracted services Services</v>
      </c>
      <c r="AN137" s="140">
        <f t="shared" si="73"/>
        <v>8.5000687143544293E-2</v>
      </c>
      <c r="AO137" s="140">
        <f t="shared" si="74"/>
        <v>-1.0850006871435443</v>
      </c>
      <c r="AP137" s="1" t="str">
        <f>IF(AND(AO137&gt;0, _xlfn.XLOOKUP($AM137, Discretionaries!$A$2:'Discretionaries'!$A$150, Discretionaries!$B$2:'Discretionaries'!$B$150)), (1+AN137)*$N137, "")</f>
        <v/>
      </c>
      <c r="AQ137" s="1" t="str">
        <f>IF(AND(AO137&gt;0, _xlfn.XLOOKUP($AM137, Discretionaries!$A$2:'Discretionaries'!$A$150, Discretionaries!$B$2:'Discretionaries'!$B$150)),AP137-$Q137,"")</f>
        <v/>
      </c>
      <c r="AR137" s="140">
        <f>IF(AG137="", 0-CPI!$B$15, AG137-CPI!$B$15)</f>
        <v>-1.0389999999999999</v>
      </c>
      <c r="AS137" s="1" t="str">
        <f>IF(AND(AR137&gt;0, _xlfn.XLOOKUP($AM137, Discretionaries!$A$2:'Discretionaries'!$A$150, Discretionaries!$B$2:'Discretionaries'!$B$150)), (1+CPI!$B$15)*$N137, "")</f>
        <v/>
      </c>
      <c r="AT137" s="1" t="str">
        <f>IF(AND(AR137&gt;0, _xlfn.XLOOKUP($AM137, Discretionaries!$A$2:'Discretionaries'!$A$150, Discretionaries!$B$2:'Discretionaries'!$B$150)),AS137-$Q137,"")</f>
        <v/>
      </c>
    </row>
    <row r="138" spans="1:46" x14ac:dyDescent="0.3">
      <c r="A138" t="s">
        <v>418</v>
      </c>
      <c r="B138" t="str">
        <f t="shared" si="50"/>
        <v>10</v>
      </c>
      <c r="C138" t="s">
        <v>408</v>
      </c>
      <c r="D138" t="str">
        <f t="shared" si="51"/>
        <v>00</v>
      </c>
      <c r="E138" t="s">
        <v>21</v>
      </c>
      <c r="F138" s="139" t="s">
        <v>144</v>
      </c>
      <c r="G138" t="s">
        <v>145</v>
      </c>
      <c r="H138" s="156">
        <v>0</v>
      </c>
      <c r="J138" s="156">
        <v>0</v>
      </c>
      <c r="K138" s="156">
        <v>0</v>
      </c>
      <c r="L138" s="156">
        <v>0</v>
      </c>
      <c r="M138" s="156">
        <v>0</v>
      </c>
      <c r="N138" s="156">
        <v>46250</v>
      </c>
      <c r="O138" s="156">
        <v>46250</v>
      </c>
      <c r="P138" s="156">
        <v>46250</v>
      </c>
      <c r="Q138" s="156">
        <v>46250</v>
      </c>
      <c r="R138" s="156">
        <v>46250</v>
      </c>
      <c r="S138" s="156">
        <f t="shared" si="52"/>
        <v>0</v>
      </c>
      <c r="T138" s="156">
        <f t="shared" si="53"/>
        <v>0</v>
      </c>
      <c r="U138" s="140">
        <f t="shared" si="54"/>
        <v>0</v>
      </c>
      <c r="V138" s="140" t="str">
        <f t="shared" si="55"/>
        <v/>
      </c>
      <c r="W138" s="140" t="str">
        <f t="shared" si="56"/>
        <v/>
      </c>
      <c r="X138" s="140" t="str">
        <f t="shared" si="57"/>
        <v/>
      </c>
      <c r="Y138" s="140" t="str">
        <f t="shared" si="58"/>
        <v/>
      </c>
      <c r="Z138" s="140" t="str">
        <f t="shared" si="59"/>
        <v/>
      </c>
      <c r="AA138" s="140" t="str">
        <f t="shared" si="60"/>
        <v/>
      </c>
      <c r="AB138" s="140" t="str">
        <f t="shared" si="61"/>
        <v/>
      </c>
      <c r="AC138" s="140" t="str">
        <f t="shared" si="62"/>
        <v/>
      </c>
      <c r="AD138" s="140" t="str">
        <f t="shared" si="63"/>
        <v/>
      </c>
      <c r="AE138" s="140">
        <f t="shared" si="64"/>
        <v>0</v>
      </c>
      <c r="AF138" s="140">
        <f t="shared" si="65"/>
        <v>0</v>
      </c>
      <c r="AG138" s="140">
        <f t="shared" si="66"/>
        <v>0</v>
      </c>
      <c r="AH138" s="140">
        <f t="shared" si="67"/>
        <v>0</v>
      </c>
      <c r="AI138" s="140" t="str">
        <f t="shared" si="68"/>
        <v/>
      </c>
      <c r="AJ138" s="140" t="str">
        <f t="shared" si="69"/>
        <v/>
      </c>
      <c r="AK138" s="140" t="str">
        <f t="shared" si="70"/>
        <v/>
      </c>
      <c r="AL138" s="140" t="str">
        <f t="shared" si="71"/>
        <v/>
      </c>
      <c r="AM138" t="str">
        <f t="shared" si="72"/>
        <v>4341-000: Telephone Services</v>
      </c>
      <c r="AN138" s="140">
        <f t="shared" si="73"/>
        <v>0</v>
      </c>
      <c r="AO138" s="140">
        <f t="shared" si="74"/>
        <v>0</v>
      </c>
      <c r="AP138" s="1" t="str">
        <f>IF(AND(AO138&gt;0, _xlfn.XLOOKUP($AM138, Discretionaries!$A$2:'Discretionaries'!$A$150, Discretionaries!$B$2:'Discretionaries'!$B$150)), (1+AN138)*$N138, "")</f>
        <v/>
      </c>
      <c r="AQ138" s="1" t="str">
        <f>IF(AND(AO138&gt;0, _xlfn.XLOOKUP($AM138, Discretionaries!$A$2:'Discretionaries'!$A$150, Discretionaries!$B$2:'Discretionaries'!$B$150)),AP138-$Q138,"")</f>
        <v/>
      </c>
      <c r="AR138" s="140">
        <f>IF(AG138="", 0-CPI!$B$15, AG138-CPI!$B$15)</f>
        <v>-3.8999999999999993E-2</v>
      </c>
      <c r="AS138" s="1" t="str">
        <f>IF(AND(AR138&gt;0, _xlfn.XLOOKUP($AM138, Discretionaries!$A$2:'Discretionaries'!$A$150, Discretionaries!$B$2:'Discretionaries'!$B$150)), (1+CPI!$B$15)*$N138, "")</f>
        <v/>
      </c>
      <c r="AT138" s="1" t="str">
        <f>IF(AND(AR138&gt;0, _xlfn.XLOOKUP($AM138, Discretionaries!$A$2:'Discretionaries'!$A$150, Discretionaries!$B$2:'Discretionaries'!$B$150)),AS138-$Q138,"")</f>
        <v/>
      </c>
    </row>
    <row r="139" spans="1:46" x14ac:dyDescent="0.3">
      <c r="A139" t="s">
        <v>418</v>
      </c>
      <c r="B139" t="str">
        <f t="shared" si="50"/>
        <v>10</v>
      </c>
      <c r="C139" t="s">
        <v>408</v>
      </c>
      <c r="D139" t="str">
        <f t="shared" si="51"/>
        <v>00</v>
      </c>
      <c r="E139" t="s">
        <v>133</v>
      </c>
      <c r="F139" s="139" t="s">
        <v>146</v>
      </c>
      <c r="G139" t="s">
        <v>147</v>
      </c>
      <c r="H139" s="156">
        <v>1300</v>
      </c>
      <c r="I139" s="156">
        <v>0</v>
      </c>
      <c r="J139" s="156">
        <v>0</v>
      </c>
      <c r="K139" s="156">
        <v>0</v>
      </c>
      <c r="L139" s="156">
        <v>0</v>
      </c>
      <c r="M139" s="156">
        <v>0</v>
      </c>
      <c r="N139" s="156">
        <v>0</v>
      </c>
      <c r="O139" s="156">
        <v>0</v>
      </c>
      <c r="P139" s="156">
        <v>0</v>
      </c>
      <c r="Q139" s="156">
        <v>0</v>
      </c>
      <c r="R139" s="156">
        <v>0</v>
      </c>
      <c r="S139" s="156">
        <f t="shared" si="52"/>
        <v>0</v>
      </c>
      <c r="T139" s="156">
        <f t="shared" si="53"/>
        <v>0</v>
      </c>
      <c r="U139" s="140" t="str">
        <f t="shared" si="54"/>
        <v/>
      </c>
      <c r="V139" s="140">
        <f t="shared" si="55"/>
        <v>-1</v>
      </c>
      <c r="W139" s="140" t="str">
        <f t="shared" si="56"/>
        <v/>
      </c>
      <c r="X139" s="140" t="str">
        <f t="shared" si="57"/>
        <v/>
      </c>
      <c r="Y139" s="140">
        <f t="shared" si="58"/>
        <v>-1</v>
      </c>
      <c r="Z139" s="140" t="str">
        <f t="shared" si="59"/>
        <v/>
      </c>
      <c r="AA139" s="140" t="str">
        <f t="shared" si="60"/>
        <v/>
      </c>
      <c r="AB139" s="140" t="str">
        <f t="shared" si="61"/>
        <v/>
      </c>
      <c r="AC139" s="140" t="str">
        <f t="shared" si="62"/>
        <v/>
      </c>
      <c r="AD139" s="140">
        <f t="shared" si="63"/>
        <v>-1</v>
      </c>
      <c r="AE139" s="140" t="str">
        <f t="shared" si="64"/>
        <v/>
      </c>
      <c r="AF139" s="140" t="str">
        <f t="shared" si="65"/>
        <v/>
      </c>
      <c r="AG139" s="140" t="str">
        <f t="shared" si="66"/>
        <v/>
      </c>
      <c r="AH139" s="140" t="str">
        <f t="shared" si="67"/>
        <v/>
      </c>
      <c r="AI139" s="140">
        <f t="shared" si="68"/>
        <v>-1</v>
      </c>
      <c r="AJ139" s="140">
        <f t="shared" si="69"/>
        <v>-1</v>
      </c>
      <c r="AK139" s="140">
        <f t="shared" si="70"/>
        <v>-1</v>
      </c>
      <c r="AL139" s="140">
        <f t="shared" si="71"/>
        <v>-1</v>
      </c>
      <c r="AM139" t="str">
        <f t="shared" si="72"/>
        <v>4430-000: Repairs &amp; maint Service</v>
      </c>
      <c r="AN139" s="140">
        <f t="shared" si="73"/>
        <v>-1</v>
      </c>
      <c r="AO139" s="140">
        <f t="shared" si="74"/>
        <v>1</v>
      </c>
      <c r="AP139" s="1">
        <f>IF(AND(AO139&gt;0, _xlfn.XLOOKUP($AM139, Discretionaries!$A$2:'Discretionaries'!$A$150, Discretionaries!$B$2:'Discretionaries'!$B$150)), (1+AN139)*$N139, "")</f>
        <v>0</v>
      </c>
      <c r="AQ139" s="1">
        <f>IF(AND(AO139&gt;0, _xlfn.XLOOKUP($AM139, Discretionaries!$A$2:'Discretionaries'!$A$150, Discretionaries!$B$2:'Discretionaries'!$B$150)),AP139-$Q139,"")</f>
        <v>0</v>
      </c>
      <c r="AR139" s="140">
        <f>IF(AG139="", 0-CPI!$B$15, AG139-CPI!$B$15)</f>
        <v>-3.8999999999999993E-2</v>
      </c>
      <c r="AS139" s="1" t="str">
        <f>IF(AND(AR139&gt;0, _xlfn.XLOOKUP($AM139, Discretionaries!$A$2:'Discretionaries'!$A$150, Discretionaries!$B$2:'Discretionaries'!$B$150)), (1+CPI!$B$15)*$N139, "")</f>
        <v/>
      </c>
      <c r="AT139" s="1" t="str">
        <f>IF(AND(AR139&gt;0, _xlfn.XLOOKUP($AM139, Discretionaries!$A$2:'Discretionaries'!$A$150, Discretionaries!$B$2:'Discretionaries'!$B$150)),AS139-$Q139,"")</f>
        <v/>
      </c>
    </row>
    <row r="140" spans="1:46" x14ac:dyDescent="0.3">
      <c r="A140" t="s">
        <v>418</v>
      </c>
      <c r="B140" t="str">
        <f t="shared" si="50"/>
        <v>10</v>
      </c>
      <c r="C140" t="s">
        <v>408</v>
      </c>
      <c r="D140" t="str">
        <f t="shared" si="51"/>
        <v>00</v>
      </c>
      <c r="E140" t="s">
        <v>45</v>
      </c>
      <c r="F140" s="139" t="s">
        <v>46</v>
      </c>
      <c r="G140" t="s">
        <v>47</v>
      </c>
      <c r="H140" s="156">
        <v>500</v>
      </c>
      <c r="I140" s="156">
        <v>0</v>
      </c>
      <c r="J140" s="156">
        <v>0</v>
      </c>
      <c r="K140" s="156">
        <v>0</v>
      </c>
      <c r="L140" s="156">
        <v>0</v>
      </c>
      <c r="M140" s="156">
        <v>0</v>
      </c>
      <c r="N140" s="156">
        <v>0</v>
      </c>
      <c r="O140" s="156">
        <v>0</v>
      </c>
      <c r="P140" s="156">
        <v>0</v>
      </c>
      <c r="Q140" s="156">
        <v>0</v>
      </c>
      <c r="R140" s="156">
        <v>0</v>
      </c>
      <c r="S140" s="156">
        <f t="shared" si="52"/>
        <v>0</v>
      </c>
      <c r="T140" s="156">
        <f t="shared" si="53"/>
        <v>0</v>
      </c>
      <c r="U140" s="140" t="str">
        <f t="shared" si="54"/>
        <v/>
      </c>
      <c r="V140" s="140">
        <f t="shared" si="55"/>
        <v>-1</v>
      </c>
      <c r="W140" s="140" t="str">
        <f t="shared" si="56"/>
        <v/>
      </c>
      <c r="X140" s="140" t="str">
        <f t="shared" si="57"/>
        <v/>
      </c>
      <c r="Y140" s="140">
        <f t="shared" si="58"/>
        <v>-1</v>
      </c>
      <c r="Z140" s="140" t="str">
        <f t="shared" si="59"/>
        <v/>
      </c>
      <c r="AA140" s="140" t="str">
        <f t="shared" si="60"/>
        <v/>
      </c>
      <c r="AB140" s="140" t="str">
        <f t="shared" si="61"/>
        <v/>
      </c>
      <c r="AC140" s="140" t="str">
        <f t="shared" si="62"/>
        <v/>
      </c>
      <c r="AD140" s="140">
        <f t="shared" si="63"/>
        <v>-1</v>
      </c>
      <c r="AE140" s="140" t="str">
        <f t="shared" si="64"/>
        <v/>
      </c>
      <c r="AF140" s="140" t="str">
        <f t="shared" si="65"/>
        <v/>
      </c>
      <c r="AG140" s="140" t="str">
        <f t="shared" si="66"/>
        <v/>
      </c>
      <c r="AH140" s="140" t="str">
        <f t="shared" si="67"/>
        <v/>
      </c>
      <c r="AI140" s="140">
        <f t="shared" si="68"/>
        <v>-1</v>
      </c>
      <c r="AJ140" s="140">
        <f t="shared" si="69"/>
        <v>-1</v>
      </c>
      <c r="AK140" s="140">
        <f t="shared" si="70"/>
        <v>-1</v>
      </c>
      <c r="AL140" s="140">
        <f t="shared" si="71"/>
        <v>-1</v>
      </c>
      <c r="AM140" t="str">
        <f t="shared" si="72"/>
        <v>4560-000: Dues &amp; subs Services</v>
      </c>
      <c r="AN140" s="140">
        <f t="shared" si="73"/>
        <v>-1</v>
      </c>
      <c r="AO140" s="140">
        <f t="shared" si="74"/>
        <v>1</v>
      </c>
      <c r="AP140" s="1">
        <f>IF(AND(AO140&gt;0, _xlfn.XLOOKUP($AM140, Discretionaries!$A$2:'Discretionaries'!$A$150, Discretionaries!$B$2:'Discretionaries'!$B$150)), (1+AN140)*$N140, "")</f>
        <v>0</v>
      </c>
      <c r="AQ140" s="1">
        <f>IF(AND(AO140&gt;0, _xlfn.XLOOKUP($AM140, Discretionaries!$A$2:'Discretionaries'!$A$150, Discretionaries!$B$2:'Discretionaries'!$B$150)),AP140-$Q140,"")</f>
        <v>0</v>
      </c>
      <c r="AR140" s="140">
        <f>IF(AG140="", 0-CPI!$B$15, AG140-CPI!$B$15)</f>
        <v>-3.8999999999999993E-2</v>
      </c>
      <c r="AS140" s="1" t="str">
        <f>IF(AND(AR140&gt;0, _xlfn.XLOOKUP($AM140, Discretionaries!$A$2:'Discretionaries'!$A$150, Discretionaries!$B$2:'Discretionaries'!$B$150)), (1+CPI!$B$15)*$N140, "")</f>
        <v/>
      </c>
      <c r="AT140" s="1" t="str">
        <f>IF(AND(AR140&gt;0, _xlfn.XLOOKUP($AM140, Discretionaries!$A$2:'Discretionaries'!$A$150, Discretionaries!$B$2:'Discretionaries'!$B$150)),AS140-$Q140,"")</f>
        <v/>
      </c>
    </row>
    <row r="141" spans="1:46" x14ac:dyDescent="0.3">
      <c r="A141" t="s">
        <v>418</v>
      </c>
      <c r="B141" t="str">
        <f t="shared" si="50"/>
        <v>10</v>
      </c>
      <c r="C141" t="s">
        <v>408</v>
      </c>
      <c r="D141" t="str">
        <f t="shared" si="51"/>
        <v>00</v>
      </c>
      <c r="E141" t="s">
        <v>45</v>
      </c>
      <c r="F141" s="139" t="s">
        <v>24</v>
      </c>
      <c r="G141" t="s">
        <v>25</v>
      </c>
      <c r="H141" s="156">
        <v>1200</v>
      </c>
      <c r="I141" s="156">
        <v>0</v>
      </c>
      <c r="J141" s="156">
        <v>0</v>
      </c>
      <c r="K141" s="156">
        <v>0</v>
      </c>
      <c r="L141" s="156">
        <v>0</v>
      </c>
      <c r="M141" s="156">
        <v>0</v>
      </c>
      <c r="N141" s="156">
        <v>0</v>
      </c>
      <c r="O141" s="156">
        <v>0</v>
      </c>
      <c r="P141" s="156">
        <v>0</v>
      </c>
      <c r="Q141" s="156">
        <v>0</v>
      </c>
      <c r="R141" s="156">
        <v>0</v>
      </c>
      <c r="S141" s="156">
        <f t="shared" si="52"/>
        <v>0</v>
      </c>
      <c r="T141" s="156">
        <f t="shared" si="53"/>
        <v>0</v>
      </c>
      <c r="U141" s="140" t="str">
        <f t="shared" si="54"/>
        <v/>
      </c>
      <c r="V141" s="140">
        <f t="shared" si="55"/>
        <v>-1</v>
      </c>
      <c r="W141" s="140" t="str">
        <f t="shared" si="56"/>
        <v/>
      </c>
      <c r="X141" s="140" t="str">
        <f t="shared" si="57"/>
        <v/>
      </c>
      <c r="Y141" s="140">
        <f t="shared" si="58"/>
        <v>-1</v>
      </c>
      <c r="Z141" s="140" t="str">
        <f t="shared" si="59"/>
        <v/>
      </c>
      <c r="AA141" s="140" t="str">
        <f t="shared" si="60"/>
        <v/>
      </c>
      <c r="AB141" s="140" t="str">
        <f t="shared" si="61"/>
        <v/>
      </c>
      <c r="AC141" s="140" t="str">
        <f t="shared" si="62"/>
        <v/>
      </c>
      <c r="AD141" s="140">
        <f t="shared" si="63"/>
        <v>-1</v>
      </c>
      <c r="AE141" s="140" t="str">
        <f t="shared" si="64"/>
        <v/>
      </c>
      <c r="AF141" s="140" t="str">
        <f t="shared" si="65"/>
        <v/>
      </c>
      <c r="AG141" s="140" t="str">
        <f t="shared" si="66"/>
        <v/>
      </c>
      <c r="AH141" s="140" t="str">
        <f t="shared" si="67"/>
        <v/>
      </c>
      <c r="AI141" s="140">
        <f t="shared" si="68"/>
        <v>-1</v>
      </c>
      <c r="AJ141" s="140">
        <f t="shared" si="69"/>
        <v>-1</v>
      </c>
      <c r="AK141" s="140">
        <f t="shared" si="70"/>
        <v>-1</v>
      </c>
      <c r="AL141" s="140">
        <f t="shared" si="71"/>
        <v>-1</v>
      </c>
      <c r="AM141" t="str">
        <f t="shared" si="72"/>
        <v>4570-000: Sem &amp; workshops Services</v>
      </c>
      <c r="AN141" s="140">
        <f t="shared" si="73"/>
        <v>-1</v>
      </c>
      <c r="AO141" s="140">
        <f t="shared" si="74"/>
        <v>1</v>
      </c>
      <c r="AP141" s="1">
        <f>IF(AND(AO141&gt;0, _xlfn.XLOOKUP($AM141, Discretionaries!$A$2:'Discretionaries'!$A$150, Discretionaries!$B$2:'Discretionaries'!$B$150)), (1+AN141)*$N141, "")</f>
        <v>0</v>
      </c>
      <c r="AQ141" s="1">
        <f>IF(AND(AO141&gt;0, _xlfn.XLOOKUP($AM141, Discretionaries!$A$2:'Discretionaries'!$A$150, Discretionaries!$B$2:'Discretionaries'!$B$150)),AP141-$Q141,"")</f>
        <v>0</v>
      </c>
      <c r="AR141" s="140">
        <f>IF(AG141="", 0-CPI!$B$15, AG141-CPI!$B$15)</f>
        <v>-3.8999999999999993E-2</v>
      </c>
      <c r="AS141" s="1" t="str">
        <f>IF(AND(AR141&gt;0, _xlfn.XLOOKUP($AM141, Discretionaries!$A$2:'Discretionaries'!$A$150, Discretionaries!$B$2:'Discretionaries'!$B$150)), (1+CPI!$B$15)*$N141, "")</f>
        <v/>
      </c>
      <c r="AT141" s="1" t="str">
        <f>IF(AND(AR141&gt;0, _xlfn.XLOOKUP($AM141, Discretionaries!$A$2:'Discretionaries'!$A$150, Discretionaries!$B$2:'Discretionaries'!$B$150)),AS141-$Q141,"")</f>
        <v/>
      </c>
    </row>
    <row r="142" spans="1:46" x14ac:dyDescent="0.3">
      <c r="A142" t="s">
        <v>418</v>
      </c>
      <c r="B142" t="str">
        <f t="shared" si="50"/>
        <v>10</v>
      </c>
      <c r="C142" t="s">
        <v>408</v>
      </c>
      <c r="D142" t="str">
        <f t="shared" si="51"/>
        <v>00</v>
      </c>
      <c r="E142" t="s">
        <v>30</v>
      </c>
      <c r="F142" s="139" t="s">
        <v>31</v>
      </c>
      <c r="G142" t="s">
        <v>32</v>
      </c>
      <c r="H142" s="156">
        <v>33000</v>
      </c>
      <c r="I142" s="156">
        <v>38411.93</v>
      </c>
      <c r="J142" s="156">
        <v>34000</v>
      </c>
      <c r="K142" s="156">
        <v>35868.99</v>
      </c>
      <c r="L142" s="156">
        <v>34000</v>
      </c>
      <c r="M142" s="156">
        <v>50351.82</v>
      </c>
      <c r="N142" s="156">
        <v>34000</v>
      </c>
      <c r="O142" s="156">
        <v>44000</v>
      </c>
      <c r="P142" s="156">
        <v>44000</v>
      </c>
      <c r="Q142" s="156">
        <v>44000</v>
      </c>
      <c r="R142" s="156">
        <v>34000</v>
      </c>
      <c r="S142" s="156">
        <f t="shared" si="52"/>
        <v>10000</v>
      </c>
      <c r="T142" s="156">
        <f t="shared" si="53"/>
        <v>10000</v>
      </c>
      <c r="U142" s="140">
        <f t="shared" si="54"/>
        <v>0.29411764705882354</v>
      </c>
      <c r="V142" s="140">
        <f t="shared" si="55"/>
        <v>0.1639978787878788</v>
      </c>
      <c r="W142" s="140">
        <f t="shared" si="56"/>
        <v>5.4970294117646999E-2</v>
      </c>
      <c r="X142" s="140">
        <f t="shared" si="57"/>
        <v>0.48093588235294116</v>
      </c>
      <c r="Y142" s="140">
        <f t="shared" si="58"/>
        <v>3.0303030303030304E-2</v>
      </c>
      <c r="Z142" s="140">
        <f t="shared" si="59"/>
        <v>-6.6201828442361582E-2</v>
      </c>
      <c r="AA142" s="140">
        <f t="shared" si="60"/>
        <v>0</v>
      </c>
      <c r="AB142" s="140">
        <f t="shared" si="61"/>
        <v>0.40377022046062638</v>
      </c>
      <c r="AC142" s="140">
        <f t="shared" si="62"/>
        <v>0</v>
      </c>
      <c r="AD142" s="140">
        <f t="shared" si="63"/>
        <v>3.0303030303030304E-2</v>
      </c>
      <c r="AE142" s="140">
        <f t="shared" si="64"/>
        <v>0.29411764705882354</v>
      </c>
      <c r="AF142" s="140">
        <f t="shared" si="65"/>
        <v>0.29411764705882354</v>
      </c>
      <c r="AG142" s="140">
        <f t="shared" si="66"/>
        <v>0.29411764705882354</v>
      </c>
      <c r="AH142" s="140">
        <f t="shared" si="67"/>
        <v>0</v>
      </c>
      <c r="AI142" s="140">
        <f t="shared" si="68"/>
        <v>0.33333333333333331</v>
      </c>
      <c r="AJ142" s="140">
        <f t="shared" si="69"/>
        <v>0.33333333333333331</v>
      </c>
      <c r="AK142" s="140">
        <f t="shared" si="70"/>
        <v>0.33333333333333331</v>
      </c>
      <c r="AL142" s="140">
        <f t="shared" si="71"/>
        <v>3.0303030303030304E-2</v>
      </c>
      <c r="AM142" t="str">
        <f t="shared" si="72"/>
        <v>4610-000: General expenses Supplies</v>
      </c>
      <c r="AN142" s="140">
        <f t="shared" si="73"/>
        <v>1.0101010101010102E-2</v>
      </c>
      <c r="AO142" s="140">
        <f t="shared" si="74"/>
        <v>0.28401663695781343</v>
      </c>
      <c r="AP142" s="1">
        <f>IF(AND(AO142&gt;0, _xlfn.XLOOKUP($AM142, Discretionaries!$A$2:'Discretionaries'!$A$150, Discretionaries!$B$2:'Discretionaries'!$B$150)), (1+AN142)*$N142, "")</f>
        <v>34343.434343434346</v>
      </c>
      <c r="AQ142" s="1">
        <f>IF(AND(AO142&gt;0, _xlfn.XLOOKUP($AM142, Discretionaries!$A$2:'Discretionaries'!$A$150, Discretionaries!$B$2:'Discretionaries'!$B$150)),AP142-$Q142,"")</f>
        <v>-9656.5656565656536</v>
      </c>
      <c r="AR142" s="140">
        <f>IF(AG142="", 0-CPI!$B$15, AG142-CPI!$B$15)</f>
        <v>0.25511764705882356</v>
      </c>
      <c r="AS142" s="1">
        <f>IF(AND(AR142&gt;0, _xlfn.XLOOKUP($AM142, Discretionaries!$A$2:'Discretionaries'!$A$150, Discretionaries!$B$2:'Discretionaries'!$B$150)), (1+CPI!$B$15)*$N142, "")</f>
        <v>35326</v>
      </c>
      <c r="AT142" s="1">
        <f>IF(AND(AR142&gt;0, _xlfn.XLOOKUP($AM142, Discretionaries!$A$2:'Discretionaries'!$A$150, Discretionaries!$B$2:'Discretionaries'!$B$150)),AS142-$Q142,"")</f>
        <v>-8674</v>
      </c>
    </row>
    <row r="143" spans="1:46" x14ac:dyDescent="0.3">
      <c r="A143" t="s">
        <v>418</v>
      </c>
      <c r="B143" t="str">
        <f t="shared" si="50"/>
        <v>10</v>
      </c>
      <c r="C143" t="s">
        <v>408</v>
      </c>
      <c r="D143" t="str">
        <f t="shared" si="51"/>
        <v>00</v>
      </c>
      <c r="E143" t="s">
        <v>30</v>
      </c>
      <c r="F143" s="139" t="s">
        <v>51</v>
      </c>
      <c r="G143" t="s">
        <v>48</v>
      </c>
      <c r="H143" s="156">
        <v>500</v>
      </c>
      <c r="I143" s="156">
        <v>8.99</v>
      </c>
      <c r="J143" s="156">
        <v>500</v>
      </c>
      <c r="K143" s="156">
        <v>1365</v>
      </c>
      <c r="L143" s="156">
        <v>500</v>
      </c>
      <c r="M143" s="156">
        <v>88</v>
      </c>
      <c r="N143" s="156">
        <v>500</v>
      </c>
      <c r="O143" s="156">
        <v>500</v>
      </c>
      <c r="P143" s="156">
        <v>500</v>
      </c>
      <c r="Q143" s="156">
        <v>500</v>
      </c>
      <c r="R143" s="156">
        <v>500</v>
      </c>
      <c r="S143" s="156">
        <f t="shared" si="52"/>
        <v>0</v>
      </c>
      <c r="T143" s="156">
        <f t="shared" si="53"/>
        <v>0</v>
      </c>
      <c r="U143" s="140">
        <f t="shared" si="54"/>
        <v>0</v>
      </c>
      <c r="V143" s="140">
        <f t="shared" si="55"/>
        <v>-0.98202</v>
      </c>
      <c r="W143" s="140">
        <f t="shared" si="56"/>
        <v>1.73</v>
      </c>
      <c r="X143" s="140">
        <f t="shared" si="57"/>
        <v>-0.82399999999999995</v>
      </c>
      <c r="Y143" s="140">
        <f t="shared" si="58"/>
        <v>0</v>
      </c>
      <c r="Z143" s="140">
        <f>IFERROR((K143 - I143) / I143, "")</f>
        <v>150.83537263626252</v>
      </c>
      <c r="AA143" s="140">
        <f t="shared" si="60"/>
        <v>0</v>
      </c>
      <c r="AB143" s="140">
        <f t="shared" si="61"/>
        <v>-0.93553113553113554</v>
      </c>
      <c r="AC143" s="140">
        <f t="shared" si="62"/>
        <v>0</v>
      </c>
      <c r="AD143" s="140">
        <f t="shared" si="63"/>
        <v>0</v>
      </c>
      <c r="AE143" s="140">
        <f t="shared" si="64"/>
        <v>0</v>
      </c>
      <c r="AF143" s="140">
        <f t="shared" si="65"/>
        <v>0</v>
      </c>
      <c r="AG143" s="140">
        <f t="shared" si="66"/>
        <v>0</v>
      </c>
      <c r="AH143" s="140">
        <f t="shared" si="67"/>
        <v>0</v>
      </c>
      <c r="AI143" s="140">
        <f t="shared" si="68"/>
        <v>0</v>
      </c>
      <c r="AJ143" s="140">
        <f t="shared" si="69"/>
        <v>0</v>
      </c>
      <c r="AK143" s="140">
        <f t="shared" si="70"/>
        <v>0</v>
      </c>
      <c r="AL143" s="140">
        <f t="shared" si="71"/>
        <v>0</v>
      </c>
      <c r="AM143" t="str">
        <f t="shared" si="72"/>
        <v>4620-000: Office supplies Supplies</v>
      </c>
      <c r="AN143" s="140">
        <f t="shared" si="73"/>
        <v>0</v>
      </c>
      <c r="AO143" s="140">
        <f t="shared" si="74"/>
        <v>0</v>
      </c>
      <c r="AP143" s="1" t="str">
        <f>IF(AND(AO143&gt;0, _xlfn.XLOOKUP($AM143, Discretionaries!$A$2:'Discretionaries'!$A$150, Discretionaries!$B$2:'Discretionaries'!$B$150)), (1+AN143)*$N143, "")</f>
        <v/>
      </c>
      <c r="AQ143" s="1" t="str">
        <f>IF(AND(AO143&gt;0, _xlfn.XLOOKUP($AM143, Discretionaries!$A$2:'Discretionaries'!$A$150, Discretionaries!$B$2:'Discretionaries'!$B$150)),AP143-$Q143,"")</f>
        <v/>
      </c>
      <c r="AR143" s="140">
        <f>IF(AG143="", 0-CPI!$B$15, AG143-CPI!$B$15)</f>
        <v>-3.8999999999999993E-2</v>
      </c>
      <c r="AS143" s="1" t="str">
        <f>IF(AND(AR143&gt;0, _xlfn.XLOOKUP($AM143, Discretionaries!$A$2:'Discretionaries'!$A$150, Discretionaries!$B$2:'Discretionaries'!$B$150)), (1+CPI!$B$15)*$N143, "")</f>
        <v/>
      </c>
      <c r="AT143" s="1" t="str">
        <f>IF(AND(AR143&gt;0, _xlfn.XLOOKUP($AM143, Discretionaries!$A$2:'Discretionaries'!$A$150, Discretionaries!$B$2:'Discretionaries'!$B$150)),AS143-$Q143,"")</f>
        <v/>
      </c>
    </row>
    <row r="144" spans="1:46" x14ac:dyDescent="0.3">
      <c r="A144" t="s">
        <v>418</v>
      </c>
      <c r="B144" t="str">
        <f t="shared" si="50"/>
        <v>10</v>
      </c>
      <c r="C144" t="s">
        <v>408</v>
      </c>
      <c r="D144" t="str">
        <f t="shared" si="51"/>
        <v>00</v>
      </c>
      <c r="E144" t="s">
        <v>30</v>
      </c>
      <c r="F144" s="139" t="s">
        <v>137</v>
      </c>
      <c r="G144" t="s">
        <v>138</v>
      </c>
      <c r="H144" s="156">
        <v>0</v>
      </c>
      <c r="I144" s="156">
        <v>0</v>
      </c>
      <c r="J144" s="156">
        <v>0</v>
      </c>
      <c r="K144" s="156">
        <v>0</v>
      </c>
      <c r="L144" s="156">
        <v>0</v>
      </c>
      <c r="M144" s="156">
        <v>0</v>
      </c>
      <c r="N144" s="156">
        <v>0</v>
      </c>
      <c r="O144" s="156">
        <v>0</v>
      </c>
      <c r="P144" s="156">
        <v>0</v>
      </c>
      <c r="Q144" s="156">
        <v>0</v>
      </c>
      <c r="R144" s="156">
        <v>0</v>
      </c>
      <c r="S144" s="156">
        <f t="shared" si="52"/>
        <v>0</v>
      </c>
      <c r="T144" s="156">
        <f t="shared" si="53"/>
        <v>0</v>
      </c>
      <c r="U144" s="140" t="str">
        <f t="shared" si="54"/>
        <v/>
      </c>
      <c r="V144" s="140" t="str">
        <f t="shared" si="55"/>
        <v/>
      </c>
      <c r="W144" s="140" t="str">
        <f t="shared" si="56"/>
        <v/>
      </c>
      <c r="X144" s="140" t="str">
        <f t="shared" si="57"/>
        <v/>
      </c>
      <c r="Y144" s="140" t="str">
        <f t="shared" si="58"/>
        <v/>
      </c>
      <c r="Z144" s="140" t="str">
        <f t="shared" si="59"/>
        <v/>
      </c>
      <c r="AA144" s="140" t="str">
        <f t="shared" si="60"/>
        <v/>
      </c>
      <c r="AB144" s="140" t="str">
        <f t="shared" si="61"/>
        <v/>
      </c>
      <c r="AC144" s="140" t="str">
        <f t="shared" si="62"/>
        <v/>
      </c>
      <c r="AD144" s="140" t="str">
        <f t="shared" si="63"/>
        <v/>
      </c>
      <c r="AE144" s="140" t="str">
        <f t="shared" si="64"/>
        <v/>
      </c>
      <c r="AF144" s="140" t="str">
        <f t="shared" si="65"/>
        <v/>
      </c>
      <c r="AG144" s="140" t="str">
        <f t="shared" si="66"/>
        <v/>
      </c>
      <c r="AH144" s="140" t="str">
        <f t="shared" si="67"/>
        <v/>
      </c>
      <c r="AI144" s="140" t="str">
        <f t="shared" si="68"/>
        <v/>
      </c>
      <c r="AJ144" s="140" t="str">
        <f t="shared" si="69"/>
        <v/>
      </c>
      <c r="AK144" s="140" t="str">
        <f t="shared" si="70"/>
        <v/>
      </c>
      <c r="AL144" s="140" t="str">
        <f t="shared" si="71"/>
        <v/>
      </c>
      <c r="AM144" t="str">
        <f t="shared" si="72"/>
        <v>4630-000: Maint &amp; repairs Supplies</v>
      </c>
      <c r="AN144" s="140">
        <f t="shared" si="73"/>
        <v>0</v>
      </c>
      <c r="AO144" s="140">
        <f t="shared" si="74"/>
        <v>0</v>
      </c>
      <c r="AP144" s="1" t="str">
        <f>IF(AND(AO144&gt;0, _xlfn.XLOOKUP($AM144, Discretionaries!$A$2:'Discretionaries'!$A$150, Discretionaries!$B$2:'Discretionaries'!$B$150)), (1+AN144)*$N144, "")</f>
        <v/>
      </c>
      <c r="AQ144" s="1" t="str">
        <f>IF(AND(AO144&gt;0, _xlfn.XLOOKUP($AM144, Discretionaries!$A$2:'Discretionaries'!$A$150, Discretionaries!$B$2:'Discretionaries'!$B$150)),AP144-$Q144,"")</f>
        <v/>
      </c>
      <c r="AR144" s="140">
        <f>IF(AG144="", 0-CPI!$B$15, AG144-CPI!$B$15)</f>
        <v>-3.8999999999999993E-2</v>
      </c>
      <c r="AS144" s="1" t="str">
        <f>IF(AND(AR144&gt;0, _xlfn.XLOOKUP($AM144, Discretionaries!$A$2:'Discretionaries'!$A$150, Discretionaries!$B$2:'Discretionaries'!$B$150)), (1+CPI!$B$15)*$N144, "")</f>
        <v/>
      </c>
      <c r="AT144" s="1" t="str">
        <f>IF(AND(AR144&gt;0, _xlfn.XLOOKUP($AM144, Discretionaries!$A$2:'Discretionaries'!$A$150, Discretionaries!$B$2:'Discretionaries'!$B$150)),AS144-$Q144,"")</f>
        <v/>
      </c>
    </row>
    <row r="145" spans="1:46" x14ac:dyDescent="0.3">
      <c r="A145" t="s">
        <v>418</v>
      </c>
      <c r="B145" t="str">
        <f t="shared" si="50"/>
        <v>10</v>
      </c>
      <c r="C145" t="s">
        <v>408</v>
      </c>
      <c r="D145" t="str">
        <f t="shared" si="51"/>
        <v>00</v>
      </c>
      <c r="E145" t="s">
        <v>30</v>
      </c>
      <c r="F145" s="139" t="s">
        <v>53</v>
      </c>
      <c r="G145" t="s">
        <v>50</v>
      </c>
      <c r="H145" s="156">
        <v>100</v>
      </c>
      <c r="J145" s="156">
        <v>0</v>
      </c>
      <c r="K145" s="156">
        <v>0</v>
      </c>
      <c r="L145" s="156">
        <v>0</v>
      </c>
      <c r="M145" s="156">
        <v>0</v>
      </c>
      <c r="N145" s="156">
        <v>0</v>
      </c>
      <c r="O145" s="156">
        <v>0</v>
      </c>
      <c r="P145" s="156">
        <v>0</v>
      </c>
      <c r="Q145" s="156">
        <v>0</v>
      </c>
      <c r="R145" s="156">
        <v>0</v>
      </c>
      <c r="S145" s="156">
        <f t="shared" si="52"/>
        <v>0</v>
      </c>
      <c r="T145" s="156">
        <f t="shared" si="53"/>
        <v>0</v>
      </c>
      <c r="U145" s="140" t="str">
        <f t="shared" si="54"/>
        <v/>
      </c>
      <c r="V145" s="140">
        <f t="shared" si="55"/>
        <v>-1</v>
      </c>
      <c r="W145" s="140" t="str">
        <f t="shared" si="56"/>
        <v/>
      </c>
      <c r="X145" s="140" t="str">
        <f t="shared" si="57"/>
        <v/>
      </c>
      <c r="Y145" s="140">
        <f t="shared" si="58"/>
        <v>-1</v>
      </c>
      <c r="Z145" s="140" t="str">
        <f t="shared" si="59"/>
        <v/>
      </c>
      <c r="AA145" s="140" t="str">
        <f t="shared" si="60"/>
        <v/>
      </c>
      <c r="AB145" s="140" t="str">
        <f t="shared" si="61"/>
        <v/>
      </c>
      <c r="AC145" s="140" t="str">
        <f t="shared" si="62"/>
        <v/>
      </c>
      <c r="AD145" s="140">
        <f t="shared" si="63"/>
        <v>-1</v>
      </c>
      <c r="AE145" s="140" t="str">
        <f t="shared" si="64"/>
        <v/>
      </c>
      <c r="AF145" s="140" t="str">
        <f t="shared" si="65"/>
        <v/>
      </c>
      <c r="AG145" s="140" t="str">
        <f t="shared" si="66"/>
        <v/>
      </c>
      <c r="AH145" s="140" t="str">
        <f t="shared" si="67"/>
        <v/>
      </c>
      <c r="AI145" s="140">
        <f t="shared" si="68"/>
        <v>-1</v>
      </c>
      <c r="AJ145" s="140">
        <f t="shared" si="69"/>
        <v>-1</v>
      </c>
      <c r="AK145" s="140">
        <f t="shared" si="70"/>
        <v>-1</v>
      </c>
      <c r="AL145" s="140">
        <f t="shared" si="71"/>
        <v>-1</v>
      </c>
      <c r="AM145" t="str">
        <f t="shared" si="72"/>
        <v>4670-000: Books &amp; periodicals Supplies</v>
      </c>
      <c r="AN145" s="140">
        <f t="shared" si="73"/>
        <v>-1</v>
      </c>
      <c r="AO145" s="140">
        <f t="shared" si="74"/>
        <v>1</v>
      </c>
      <c r="AP145" s="1">
        <f>IF(AND(AO145&gt;0, _xlfn.XLOOKUP($AM145, Discretionaries!$A$2:'Discretionaries'!$A$150, Discretionaries!$B$2:'Discretionaries'!$B$150)), (1+AN145)*$N145, "")</f>
        <v>0</v>
      </c>
      <c r="AQ145" s="1">
        <f>IF(AND(AO145&gt;0, _xlfn.XLOOKUP($AM145, Discretionaries!$A$2:'Discretionaries'!$A$150, Discretionaries!$B$2:'Discretionaries'!$B$150)),AP145-$Q145,"")</f>
        <v>0</v>
      </c>
      <c r="AR145" s="140">
        <f>IF(AG145="", 0-CPI!$B$15, AG145-CPI!$B$15)</f>
        <v>-3.8999999999999993E-2</v>
      </c>
      <c r="AS145" s="1" t="str">
        <f>IF(AND(AR145&gt;0, _xlfn.XLOOKUP($AM145, Discretionaries!$A$2:'Discretionaries'!$A$150, Discretionaries!$B$2:'Discretionaries'!$B$150)), (1+CPI!$B$15)*$N145, "")</f>
        <v/>
      </c>
      <c r="AT145" s="1" t="str">
        <f>IF(AND(AR145&gt;0, _xlfn.XLOOKUP($AM145, Discretionaries!$A$2:'Discretionaries'!$A$150, Discretionaries!$B$2:'Discretionaries'!$B$150)),AS145-$Q145,"")</f>
        <v/>
      </c>
    </row>
    <row r="146" spans="1:46" x14ac:dyDescent="0.3">
      <c r="A146" t="s">
        <v>418</v>
      </c>
      <c r="B146" t="str">
        <f t="shared" si="50"/>
        <v>10</v>
      </c>
      <c r="C146" t="s">
        <v>408</v>
      </c>
      <c r="D146" t="str">
        <f t="shared" si="51"/>
        <v>00</v>
      </c>
      <c r="E146" t="s">
        <v>54</v>
      </c>
      <c r="F146" s="139" t="s">
        <v>114</v>
      </c>
      <c r="G146" t="s">
        <v>115</v>
      </c>
      <c r="H146" s="156">
        <v>25600</v>
      </c>
      <c r="I146" s="156">
        <v>34233.919999999998</v>
      </c>
      <c r="J146" s="156">
        <v>27700</v>
      </c>
      <c r="K146" s="156">
        <v>34078.959999999999</v>
      </c>
      <c r="L146" s="156">
        <v>27700</v>
      </c>
      <c r="M146" s="156">
        <v>36258.660000000003</v>
      </c>
      <c r="N146" s="156">
        <v>29950</v>
      </c>
      <c r="O146" s="156">
        <v>34800</v>
      </c>
      <c r="P146" s="156">
        <v>34800</v>
      </c>
      <c r="Q146" s="156">
        <v>34800</v>
      </c>
      <c r="R146" s="156">
        <v>29950</v>
      </c>
      <c r="S146" s="156">
        <f t="shared" si="52"/>
        <v>4850</v>
      </c>
      <c r="T146" s="156">
        <f t="shared" si="53"/>
        <v>4850</v>
      </c>
      <c r="U146" s="140">
        <f t="shared" si="54"/>
        <v>0.16193656093489148</v>
      </c>
      <c r="V146" s="140">
        <f t="shared" si="55"/>
        <v>0.33726249999999991</v>
      </c>
      <c r="W146" s="140">
        <f t="shared" si="56"/>
        <v>0.2302873646209386</v>
      </c>
      <c r="X146" s="140">
        <f t="shared" si="57"/>
        <v>0.30897689530685934</v>
      </c>
      <c r="Y146" s="140">
        <f t="shared" si="58"/>
        <v>8.203125E-2</v>
      </c>
      <c r="Z146" s="140">
        <f t="shared" si="59"/>
        <v>-4.5265047064431746E-3</v>
      </c>
      <c r="AA146" s="140">
        <f t="shared" si="60"/>
        <v>0</v>
      </c>
      <c r="AB146" s="140">
        <f t="shared" si="61"/>
        <v>6.3960285173021839E-2</v>
      </c>
      <c r="AC146" s="140">
        <f t="shared" si="62"/>
        <v>8.1227436823104696E-2</v>
      </c>
      <c r="AD146" s="140">
        <f t="shared" si="63"/>
        <v>0.169921875</v>
      </c>
      <c r="AE146" s="140">
        <f t="shared" si="64"/>
        <v>0.16193656093489148</v>
      </c>
      <c r="AF146" s="140">
        <f t="shared" si="65"/>
        <v>0.16193656093489148</v>
      </c>
      <c r="AG146" s="140">
        <f t="shared" si="66"/>
        <v>0.16193656093489148</v>
      </c>
      <c r="AH146" s="140">
        <f t="shared" si="67"/>
        <v>0</v>
      </c>
      <c r="AI146" s="140">
        <f t="shared" si="68"/>
        <v>0.359375</v>
      </c>
      <c r="AJ146" s="140">
        <f t="shared" si="69"/>
        <v>0.359375</v>
      </c>
      <c r="AK146" s="140">
        <f t="shared" si="70"/>
        <v>0.359375</v>
      </c>
      <c r="AL146" s="140">
        <f t="shared" si="71"/>
        <v>0.169921875</v>
      </c>
      <c r="AM146" t="str">
        <f t="shared" si="72"/>
        <v>4740-000: Mach &amp; equip Property</v>
      </c>
      <c r="AN146" s="140">
        <f t="shared" si="73"/>
        <v>5.4419562274368227E-2</v>
      </c>
      <c r="AO146" s="140">
        <f t="shared" si="74"/>
        <v>0.10751699866052325</v>
      </c>
      <c r="AP146" s="1">
        <f>IF(AND(AO146&gt;0, _xlfn.XLOOKUP($AM146, Discretionaries!$A$2:'Discretionaries'!$A$150, Discretionaries!$B$2:'Discretionaries'!$B$150)), (1+AN146)*$N146, "")</f>
        <v>31579.865890117326</v>
      </c>
      <c r="AQ146" s="1">
        <f>IF(AND(AO146&gt;0, _xlfn.XLOOKUP($AM146, Discretionaries!$A$2:'Discretionaries'!$A$150, Discretionaries!$B$2:'Discretionaries'!$B$150)),AP146-$Q146,"")</f>
        <v>-3220.1341098826742</v>
      </c>
      <c r="AR146" s="140">
        <f>IF(AG146="", 0-CPI!$B$15, AG146-CPI!$B$15)</f>
        <v>0.12293656093489148</v>
      </c>
      <c r="AS146" s="1">
        <f>IF(AND(AR146&gt;0, _xlfn.XLOOKUP($AM146, Discretionaries!$A$2:'Discretionaries'!$A$150, Discretionaries!$B$2:'Discretionaries'!$B$150)), (1+CPI!$B$15)*$N146, "")</f>
        <v>31118.05</v>
      </c>
      <c r="AT146" s="1">
        <f>IF(AND(AR146&gt;0, _xlfn.XLOOKUP($AM146, Discretionaries!$A$2:'Discretionaries'!$A$150, Discretionaries!$B$2:'Discretionaries'!$B$150)),AS146-$Q146,"")</f>
        <v>-3681.9500000000007</v>
      </c>
    </row>
    <row r="147" spans="1:46" x14ac:dyDescent="0.3">
      <c r="A147" t="s">
        <v>418</v>
      </c>
      <c r="B147" t="str">
        <f t="shared" si="50"/>
        <v>10</v>
      </c>
      <c r="C147" t="s">
        <v>408</v>
      </c>
      <c r="D147" t="str">
        <f t="shared" si="51"/>
        <v>00</v>
      </c>
      <c r="E147" t="s">
        <v>54</v>
      </c>
      <c r="F147" s="139" t="s">
        <v>55</v>
      </c>
      <c r="G147" t="s">
        <v>56</v>
      </c>
      <c r="H147" s="156">
        <v>500</v>
      </c>
      <c r="I147" s="156">
        <v>0</v>
      </c>
      <c r="J147" s="156">
        <v>500</v>
      </c>
      <c r="K147" s="156">
        <v>1200</v>
      </c>
      <c r="L147" s="156">
        <v>500</v>
      </c>
      <c r="M147" s="156">
        <v>500</v>
      </c>
      <c r="N147" s="156">
        <v>1000</v>
      </c>
      <c r="O147" s="156">
        <v>1000</v>
      </c>
      <c r="P147" s="156">
        <v>1000</v>
      </c>
      <c r="Q147" s="156">
        <v>1000</v>
      </c>
      <c r="R147" s="156">
        <v>1000</v>
      </c>
      <c r="S147" s="156">
        <f t="shared" si="52"/>
        <v>0</v>
      </c>
      <c r="T147" s="156">
        <f t="shared" si="53"/>
        <v>0</v>
      </c>
      <c r="U147" s="140">
        <f t="shared" si="54"/>
        <v>0</v>
      </c>
      <c r="V147" s="140">
        <f t="shared" si="55"/>
        <v>-1</v>
      </c>
      <c r="W147" s="140">
        <f t="shared" si="56"/>
        <v>1.4</v>
      </c>
      <c r="X147" s="140">
        <f t="shared" si="57"/>
        <v>0</v>
      </c>
      <c r="Y147" s="140">
        <f t="shared" si="58"/>
        <v>0</v>
      </c>
      <c r="Z147" s="140" t="str">
        <f t="shared" si="59"/>
        <v/>
      </c>
      <c r="AA147" s="140">
        <f t="shared" si="60"/>
        <v>0</v>
      </c>
      <c r="AB147" s="140">
        <f t="shared" si="61"/>
        <v>-0.58333333333333337</v>
      </c>
      <c r="AC147" s="140">
        <f t="shared" si="62"/>
        <v>1</v>
      </c>
      <c r="AD147" s="140">
        <f t="shared" si="63"/>
        <v>1</v>
      </c>
      <c r="AE147" s="140">
        <f t="shared" si="64"/>
        <v>0</v>
      </c>
      <c r="AF147" s="140">
        <f t="shared" si="65"/>
        <v>0</v>
      </c>
      <c r="AG147" s="140">
        <f t="shared" si="66"/>
        <v>0</v>
      </c>
      <c r="AH147" s="140">
        <f t="shared" si="67"/>
        <v>0</v>
      </c>
      <c r="AI147" s="140">
        <f t="shared" si="68"/>
        <v>1</v>
      </c>
      <c r="AJ147" s="140">
        <f t="shared" si="69"/>
        <v>1</v>
      </c>
      <c r="AK147" s="140">
        <f t="shared" si="70"/>
        <v>1</v>
      </c>
      <c r="AL147" s="140">
        <f t="shared" si="71"/>
        <v>1</v>
      </c>
      <c r="AM147" t="str">
        <f t="shared" si="72"/>
        <v>4750-000: Furniture &amp; fixures Property</v>
      </c>
      <c r="AN147" s="140">
        <f t="shared" si="73"/>
        <v>0.33333333333333331</v>
      </c>
      <c r="AO147" s="140">
        <f t="shared" si="74"/>
        <v>-0.33333333333333331</v>
      </c>
      <c r="AP147" s="1" t="str">
        <f>IF(AND(AO147&gt;0, _xlfn.XLOOKUP($AM147, Discretionaries!$A$2:'Discretionaries'!$A$150, Discretionaries!$B$2:'Discretionaries'!$B$150)), (1+AN147)*$N147, "")</f>
        <v/>
      </c>
      <c r="AQ147" s="1" t="str">
        <f>IF(AND(AO147&gt;0, _xlfn.XLOOKUP($AM147, Discretionaries!$A$2:'Discretionaries'!$A$150, Discretionaries!$B$2:'Discretionaries'!$B$150)),AP147-$Q147,"")</f>
        <v/>
      </c>
      <c r="AR147" s="140">
        <f>IF(AG147="", 0-CPI!$B$15, AG147-CPI!$B$15)</f>
        <v>-3.8999999999999993E-2</v>
      </c>
      <c r="AS147" s="1" t="str">
        <f>IF(AND(AR147&gt;0, _xlfn.XLOOKUP($AM147, Discretionaries!$A$2:'Discretionaries'!$A$150, Discretionaries!$B$2:'Discretionaries'!$B$150)), (1+CPI!$B$15)*$N147, "")</f>
        <v/>
      </c>
      <c r="AT147" s="1" t="str">
        <f>IF(AND(AR147&gt;0, _xlfn.XLOOKUP($AM147, Discretionaries!$A$2:'Discretionaries'!$A$150, Discretionaries!$B$2:'Discretionaries'!$B$150)),AS147-$Q147,"")</f>
        <v/>
      </c>
    </row>
    <row r="148" spans="1:46" x14ac:dyDescent="0.3">
      <c r="A148" t="s">
        <v>419</v>
      </c>
      <c r="B148" t="str">
        <f t="shared" si="50"/>
        <v>12</v>
      </c>
      <c r="C148" t="s">
        <v>408</v>
      </c>
      <c r="D148" t="str">
        <f t="shared" si="51"/>
        <v>00</v>
      </c>
      <c r="E148" t="s">
        <v>11</v>
      </c>
      <c r="F148" s="139" t="s">
        <v>35</v>
      </c>
      <c r="G148" t="s">
        <v>36</v>
      </c>
      <c r="H148" s="156">
        <v>111431</v>
      </c>
      <c r="I148" s="156">
        <v>0</v>
      </c>
      <c r="J148" s="156">
        <v>80496</v>
      </c>
      <c r="K148" s="156">
        <v>0</v>
      </c>
      <c r="L148" s="156">
        <v>0</v>
      </c>
      <c r="M148" s="156">
        <v>0</v>
      </c>
      <c r="N148" s="156">
        <v>0</v>
      </c>
      <c r="O148" s="156">
        <v>0</v>
      </c>
      <c r="P148" s="156">
        <v>0</v>
      </c>
      <c r="Q148" s="156">
        <v>0</v>
      </c>
      <c r="R148" s="156">
        <v>0</v>
      </c>
      <c r="S148" s="156">
        <f t="shared" si="52"/>
        <v>0</v>
      </c>
      <c r="T148" s="156">
        <f t="shared" si="53"/>
        <v>0</v>
      </c>
      <c r="U148" s="140" t="str">
        <f t="shared" si="54"/>
        <v/>
      </c>
      <c r="V148" s="140">
        <f t="shared" si="55"/>
        <v>-1</v>
      </c>
      <c r="W148" s="140">
        <f t="shared" si="56"/>
        <v>-1</v>
      </c>
      <c r="X148" s="140" t="str">
        <f t="shared" si="57"/>
        <v/>
      </c>
      <c r="Y148" s="140">
        <f t="shared" si="58"/>
        <v>-0.27761574427224023</v>
      </c>
      <c r="Z148" s="140" t="str">
        <f t="shared" si="59"/>
        <v/>
      </c>
      <c r="AA148" s="140">
        <f t="shared" si="60"/>
        <v>-1</v>
      </c>
      <c r="AB148" s="140" t="str">
        <f t="shared" si="61"/>
        <v/>
      </c>
      <c r="AC148" s="140" t="str">
        <f t="shared" si="62"/>
        <v/>
      </c>
      <c r="AD148" s="140">
        <f t="shared" si="63"/>
        <v>-1</v>
      </c>
      <c r="AE148" s="140" t="str">
        <f t="shared" si="64"/>
        <v/>
      </c>
      <c r="AF148" s="140" t="str">
        <f t="shared" si="65"/>
        <v/>
      </c>
      <c r="AG148" s="140" t="str">
        <f t="shared" si="66"/>
        <v/>
      </c>
      <c r="AH148" s="140" t="str">
        <f t="shared" si="67"/>
        <v/>
      </c>
      <c r="AI148" s="140">
        <f t="shared" si="68"/>
        <v>-1</v>
      </c>
      <c r="AJ148" s="140">
        <f t="shared" si="69"/>
        <v>-1</v>
      </c>
      <c r="AK148" s="140">
        <f t="shared" si="70"/>
        <v>-1</v>
      </c>
      <c r="AL148" s="140">
        <f t="shared" si="71"/>
        <v>-1</v>
      </c>
      <c r="AM148" t="str">
        <f t="shared" si="72"/>
        <v>4110-000: Regular Salaries</v>
      </c>
      <c r="AN148" s="140">
        <f t="shared" si="73"/>
        <v>-0.63880787213612011</v>
      </c>
      <c r="AO148" s="140">
        <f t="shared" si="74"/>
        <v>0.63880787213612011</v>
      </c>
      <c r="AP148" s="1" t="str">
        <f>IF(AND(AO148&gt;0, _xlfn.XLOOKUP($AM148, Discretionaries!$A$2:'Discretionaries'!$A$150, Discretionaries!$B$2:'Discretionaries'!$B$150)), (1+AN148)*$N148, "")</f>
        <v/>
      </c>
      <c r="AQ148" s="1" t="str">
        <f>IF(AND(AO148&gt;0, _xlfn.XLOOKUP($AM148, Discretionaries!$A$2:'Discretionaries'!$A$150, Discretionaries!$B$2:'Discretionaries'!$B$150)),AP148-$Q148,"")</f>
        <v/>
      </c>
      <c r="AR148" s="140">
        <f>IF(AG148="", 0-CPI!$B$15, AG148-CPI!$B$15)</f>
        <v>-3.8999999999999993E-2</v>
      </c>
      <c r="AS148" s="1" t="str">
        <f>IF(AND(AR148&gt;0, _xlfn.XLOOKUP($AM148, Discretionaries!$A$2:'Discretionaries'!$A$150, Discretionaries!$B$2:'Discretionaries'!$B$150)), (1+CPI!$B$15)*$N148, "")</f>
        <v/>
      </c>
      <c r="AT148" s="1" t="str">
        <f>IF(AND(AR148&gt;0, _xlfn.XLOOKUP($AM148, Discretionaries!$A$2:'Discretionaries'!$A$150, Discretionaries!$B$2:'Discretionaries'!$B$150)),AS148-$Q148,"")</f>
        <v/>
      </c>
    </row>
    <row r="149" spans="1:46" x14ac:dyDescent="0.3">
      <c r="A149" t="s">
        <v>419</v>
      </c>
      <c r="B149" t="str">
        <f t="shared" si="50"/>
        <v>12</v>
      </c>
      <c r="C149" t="s">
        <v>408</v>
      </c>
      <c r="D149" t="str">
        <f t="shared" si="51"/>
        <v>00</v>
      </c>
      <c r="E149" t="s">
        <v>14</v>
      </c>
      <c r="F149" s="139" t="s">
        <v>41</v>
      </c>
      <c r="G149" t="s">
        <v>42</v>
      </c>
      <c r="H149" s="156">
        <v>1446</v>
      </c>
      <c r="I149" s="156">
        <v>0</v>
      </c>
      <c r="J149" s="156">
        <v>1278</v>
      </c>
      <c r="K149" s="156">
        <v>0</v>
      </c>
      <c r="L149" s="156">
        <v>0</v>
      </c>
      <c r="M149" s="156">
        <v>0</v>
      </c>
      <c r="N149" s="156">
        <v>0</v>
      </c>
      <c r="O149" s="156">
        <v>0</v>
      </c>
      <c r="P149" s="156">
        <v>0</v>
      </c>
      <c r="Q149" s="156">
        <v>0</v>
      </c>
      <c r="R149" s="156">
        <v>0</v>
      </c>
      <c r="S149" s="156">
        <f t="shared" si="52"/>
        <v>0</v>
      </c>
      <c r="T149" s="156">
        <f t="shared" si="53"/>
        <v>0</v>
      </c>
      <c r="U149" s="140" t="str">
        <f t="shared" si="54"/>
        <v/>
      </c>
      <c r="V149" s="140">
        <f t="shared" si="55"/>
        <v>-1</v>
      </c>
      <c r="W149" s="140">
        <f t="shared" si="56"/>
        <v>-1</v>
      </c>
      <c r="X149" s="140" t="str">
        <f t="shared" si="57"/>
        <v/>
      </c>
      <c r="Y149" s="140">
        <f t="shared" si="58"/>
        <v>-0.11618257261410789</v>
      </c>
      <c r="Z149" s="140" t="str">
        <f t="shared" si="59"/>
        <v/>
      </c>
      <c r="AA149" s="140">
        <f t="shared" si="60"/>
        <v>-1</v>
      </c>
      <c r="AB149" s="140" t="str">
        <f t="shared" si="61"/>
        <v/>
      </c>
      <c r="AC149" s="140" t="str">
        <f t="shared" si="62"/>
        <v/>
      </c>
      <c r="AD149" s="140">
        <f t="shared" si="63"/>
        <v>-1</v>
      </c>
      <c r="AE149" s="140" t="str">
        <f t="shared" si="64"/>
        <v/>
      </c>
      <c r="AF149" s="140" t="str">
        <f t="shared" si="65"/>
        <v/>
      </c>
      <c r="AG149" s="140" t="str">
        <f t="shared" si="66"/>
        <v/>
      </c>
      <c r="AH149" s="140" t="str">
        <f t="shared" si="67"/>
        <v/>
      </c>
      <c r="AI149" s="140">
        <f t="shared" si="68"/>
        <v>-1</v>
      </c>
      <c r="AJ149" s="140">
        <f t="shared" si="69"/>
        <v>-1</v>
      </c>
      <c r="AK149" s="140">
        <f t="shared" si="70"/>
        <v>-1</v>
      </c>
      <c r="AL149" s="140">
        <f t="shared" si="71"/>
        <v>-1</v>
      </c>
      <c r="AM149" t="str">
        <f t="shared" si="72"/>
        <v>4215-000: STD, LTD, &amp; Life Benefits</v>
      </c>
      <c r="AN149" s="140">
        <f t="shared" si="73"/>
        <v>-0.55809128630705396</v>
      </c>
      <c r="AO149" s="140">
        <f t="shared" si="74"/>
        <v>0.55809128630705396</v>
      </c>
      <c r="AP149" s="1" t="str">
        <f>IF(AND(AO149&gt;0, _xlfn.XLOOKUP($AM149, Discretionaries!$A$2:'Discretionaries'!$A$150, Discretionaries!$B$2:'Discretionaries'!$B$150)), (1+AN149)*$N149, "")</f>
        <v/>
      </c>
      <c r="AQ149" s="1" t="str">
        <f>IF(AND(AO149&gt;0, _xlfn.XLOOKUP($AM149, Discretionaries!$A$2:'Discretionaries'!$A$150, Discretionaries!$B$2:'Discretionaries'!$B$150)),AP149-$Q149,"")</f>
        <v/>
      </c>
      <c r="AR149" s="140">
        <f>IF(AG149="", 0-CPI!$B$15, AG149-CPI!$B$15)</f>
        <v>-3.8999999999999993E-2</v>
      </c>
      <c r="AS149" s="1" t="str">
        <f>IF(AND(AR149&gt;0, _xlfn.XLOOKUP($AM149, Discretionaries!$A$2:'Discretionaries'!$A$150, Discretionaries!$B$2:'Discretionaries'!$B$150)), (1+CPI!$B$15)*$N149, "")</f>
        <v/>
      </c>
      <c r="AT149" s="1" t="str">
        <f>IF(AND(AR149&gt;0, _xlfn.XLOOKUP($AM149, Discretionaries!$A$2:'Discretionaries'!$A$150, Discretionaries!$B$2:'Discretionaries'!$B$150)),AS149-$Q149,"")</f>
        <v/>
      </c>
    </row>
    <row r="150" spans="1:46" x14ac:dyDescent="0.3">
      <c r="A150" t="s">
        <v>419</v>
      </c>
      <c r="B150" t="str">
        <f t="shared" si="50"/>
        <v>12</v>
      </c>
      <c r="C150" t="s">
        <v>408</v>
      </c>
      <c r="D150" t="str">
        <f t="shared" si="51"/>
        <v>00</v>
      </c>
      <c r="E150" t="s">
        <v>14</v>
      </c>
      <c r="F150" s="139" t="s">
        <v>15</v>
      </c>
      <c r="G150" t="s">
        <v>16</v>
      </c>
      <c r="H150" s="156">
        <v>6909</v>
      </c>
      <c r="I150" s="156">
        <v>0</v>
      </c>
      <c r="J150" s="156">
        <v>4991</v>
      </c>
      <c r="K150" s="156">
        <v>0</v>
      </c>
      <c r="L150" s="156">
        <v>0</v>
      </c>
      <c r="M150" s="156">
        <v>0</v>
      </c>
      <c r="N150" s="156">
        <v>0</v>
      </c>
      <c r="O150" s="156">
        <v>0</v>
      </c>
      <c r="P150" s="156">
        <v>0</v>
      </c>
      <c r="Q150" s="156">
        <v>0</v>
      </c>
      <c r="R150" s="156">
        <v>0</v>
      </c>
      <c r="S150" s="156">
        <f t="shared" si="52"/>
        <v>0</v>
      </c>
      <c r="T150" s="156">
        <f t="shared" si="53"/>
        <v>0</v>
      </c>
      <c r="U150" s="140" t="str">
        <f t="shared" si="54"/>
        <v/>
      </c>
      <c r="V150" s="140">
        <f t="shared" si="55"/>
        <v>-1</v>
      </c>
      <c r="W150" s="140">
        <f t="shared" si="56"/>
        <v>-1</v>
      </c>
      <c r="X150" s="140" t="str">
        <f t="shared" si="57"/>
        <v/>
      </c>
      <c r="Y150" s="140">
        <f t="shared" si="58"/>
        <v>-0.27760891590678827</v>
      </c>
      <c r="Z150" s="140" t="str">
        <f t="shared" si="59"/>
        <v/>
      </c>
      <c r="AA150" s="140">
        <f t="shared" si="60"/>
        <v>-1</v>
      </c>
      <c r="AB150" s="140" t="str">
        <f t="shared" si="61"/>
        <v/>
      </c>
      <c r="AC150" s="140" t="str">
        <f t="shared" si="62"/>
        <v/>
      </c>
      <c r="AD150" s="140">
        <f t="shared" si="63"/>
        <v>-1</v>
      </c>
      <c r="AE150" s="140" t="str">
        <f t="shared" si="64"/>
        <v/>
      </c>
      <c r="AF150" s="140" t="str">
        <f t="shared" si="65"/>
        <v/>
      </c>
      <c r="AG150" s="140" t="str">
        <f t="shared" si="66"/>
        <v/>
      </c>
      <c r="AH150" s="140" t="str">
        <f t="shared" si="67"/>
        <v/>
      </c>
      <c r="AI150" s="140">
        <f t="shared" si="68"/>
        <v>-1</v>
      </c>
      <c r="AJ150" s="140">
        <f t="shared" si="69"/>
        <v>-1</v>
      </c>
      <c r="AK150" s="140">
        <f t="shared" si="70"/>
        <v>-1</v>
      </c>
      <c r="AL150" s="140">
        <f t="shared" si="71"/>
        <v>-1</v>
      </c>
      <c r="AM150" t="str">
        <f t="shared" si="72"/>
        <v>4220-000: FICA Benefits</v>
      </c>
      <c r="AN150" s="140">
        <f t="shared" si="73"/>
        <v>-0.63880445795339413</v>
      </c>
      <c r="AO150" s="140">
        <f t="shared" si="74"/>
        <v>0.63880445795339413</v>
      </c>
      <c r="AP150" s="1" t="str">
        <f>IF(AND(AO150&gt;0, _xlfn.XLOOKUP($AM150, Discretionaries!$A$2:'Discretionaries'!$A$150, Discretionaries!$B$2:'Discretionaries'!$B$150)), (1+AN150)*$N150, "")</f>
        <v/>
      </c>
      <c r="AQ150" s="1" t="str">
        <f>IF(AND(AO150&gt;0, _xlfn.XLOOKUP($AM150, Discretionaries!$A$2:'Discretionaries'!$A$150, Discretionaries!$B$2:'Discretionaries'!$B$150)),AP150-$Q150,"")</f>
        <v/>
      </c>
      <c r="AR150" s="140">
        <f>IF(AG150="", 0-CPI!$B$15, AG150-CPI!$B$15)</f>
        <v>-3.8999999999999993E-2</v>
      </c>
      <c r="AS150" s="1" t="str">
        <f>IF(AND(AR150&gt;0, _xlfn.XLOOKUP($AM150, Discretionaries!$A$2:'Discretionaries'!$A$150, Discretionaries!$B$2:'Discretionaries'!$B$150)), (1+CPI!$B$15)*$N150, "")</f>
        <v/>
      </c>
      <c r="AT150" s="1" t="str">
        <f>IF(AND(AR150&gt;0, _xlfn.XLOOKUP($AM150, Discretionaries!$A$2:'Discretionaries'!$A$150, Discretionaries!$B$2:'Discretionaries'!$B$150)),AS150-$Q150,"")</f>
        <v/>
      </c>
    </row>
    <row r="151" spans="1:46" x14ac:dyDescent="0.3">
      <c r="A151" t="s">
        <v>419</v>
      </c>
      <c r="B151" t="str">
        <f t="shared" si="50"/>
        <v>12</v>
      </c>
      <c r="C151" t="s">
        <v>408</v>
      </c>
      <c r="D151" t="str">
        <f t="shared" si="51"/>
        <v>00</v>
      </c>
      <c r="E151" t="s">
        <v>14</v>
      </c>
      <c r="F151" s="139" t="s">
        <v>17</v>
      </c>
      <c r="G151" t="s">
        <v>18</v>
      </c>
      <c r="H151" s="156">
        <v>1616</v>
      </c>
      <c r="I151" s="156">
        <v>0</v>
      </c>
      <c r="J151" s="156">
        <v>1168</v>
      </c>
      <c r="K151" s="156">
        <v>0</v>
      </c>
      <c r="L151" s="156">
        <v>0</v>
      </c>
      <c r="M151" s="156">
        <v>0</v>
      </c>
      <c r="N151" s="156">
        <v>0</v>
      </c>
      <c r="O151" s="156">
        <v>0</v>
      </c>
      <c r="P151" s="156">
        <v>0</v>
      </c>
      <c r="Q151" s="156">
        <v>0</v>
      </c>
      <c r="R151" s="156">
        <v>0</v>
      </c>
      <c r="S151" s="156">
        <f t="shared" si="52"/>
        <v>0</v>
      </c>
      <c r="T151" s="156">
        <f t="shared" si="53"/>
        <v>0</v>
      </c>
      <c r="U151" s="140" t="str">
        <f t="shared" si="54"/>
        <v/>
      </c>
      <c r="V151" s="140">
        <f t="shared" si="55"/>
        <v>-1</v>
      </c>
      <c r="W151" s="140">
        <f t="shared" si="56"/>
        <v>-1</v>
      </c>
      <c r="X151" s="140" t="str">
        <f t="shared" si="57"/>
        <v/>
      </c>
      <c r="Y151" s="140">
        <f t="shared" si="58"/>
        <v>-0.27722772277227725</v>
      </c>
      <c r="Z151" s="140" t="str">
        <f t="shared" si="59"/>
        <v/>
      </c>
      <c r="AA151" s="140">
        <f t="shared" si="60"/>
        <v>-1</v>
      </c>
      <c r="AB151" s="140" t="str">
        <f t="shared" si="61"/>
        <v/>
      </c>
      <c r="AC151" s="140" t="str">
        <f t="shared" si="62"/>
        <v/>
      </c>
      <c r="AD151" s="140">
        <f t="shared" si="63"/>
        <v>-1</v>
      </c>
      <c r="AE151" s="140" t="str">
        <f t="shared" si="64"/>
        <v/>
      </c>
      <c r="AF151" s="140" t="str">
        <f t="shared" si="65"/>
        <v/>
      </c>
      <c r="AG151" s="140" t="str">
        <f t="shared" si="66"/>
        <v/>
      </c>
      <c r="AH151" s="140" t="str">
        <f t="shared" si="67"/>
        <v/>
      </c>
      <c r="AI151" s="140">
        <f t="shared" si="68"/>
        <v>-1</v>
      </c>
      <c r="AJ151" s="140">
        <f t="shared" si="69"/>
        <v>-1</v>
      </c>
      <c r="AK151" s="140">
        <f t="shared" si="70"/>
        <v>-1</v>
      </c>
      <c r="AL151" s="140">
        <f t="shared" si="71"/>
        <v>-1</v>
      </c>
      <c r="AM151" t="str">
        <f t="shared" si="72"/>
        <v>4225-000: Medicare Benefits</v>
      </c>
      <c r="AN151" s="140">
        <f t="shared" si="73"/>
        <v>-0.63861386138613863</v>
      </c>
      <c r="AO151" s="140">
        <f t="shared" si="74"/>
        <v>0.63861386138613863</v>
      </c>
      <c r="AP151" s="1" t="str">
        <f>IF(AND(AO151&gt;0, _xlfn.XLOOKUP($AM151, Discretionaries!$A$2:'Discretionaries'!$A$150, Discretionaries!$B$2:'Discretionaries'!$B$150)), (1+AN151)*$N151, "")</f>
        <v/>
      </c>
      <c r="AQ151" s="1" t="str">
        <f>IF(AND(AO151&gt;0, _xlfn.XLOOKUP($AM151, Discretionaries!$A$2:'Discretionaries'!$A$150, Discretionaries!$B$2:'Discretionaries'!$B$150)),AP151-$Q151,"")</f>
        <v/>
      </c>
      <c r="AR151" s="140">
        <f>IF(AG151="", 0-CPI!$B$15, AG151-CPI!$B$15)</f>
        <v>-3.8999999999999993E-2</v>
      </c>
      <c r="AS151" s="1" t="str">
        <f>IF(AND(AR151&gt;0, _xlfn.XLOOKUP($AM151, Discretionaries!$A$2:'Discretionaries'!$A$150, Discretionaries!$B$2:'Discretionaries'!$B$150)), (1+CPI!$B$15)*$N151, "")</f>
        <v/>
      </c>
      <c r="AT151" s="1" t="str">
        <f>IF(AND(AR151&gt;0, _xlfn.XLOOKUP($AM151, Discretionaries!$A$2:'Discretionaries'!$A$150, Discretionaries!$B$2:'Discretionaries'!$B$150)),AS151-$Q151,"")</f>
        <v/>
      </c>
    </row>
    <row r="152" spans="1:46" x14ac:dyDescent="0.3">
      <c r="A152" t="s">
        <v>419</v>
      </c>
      <c r="B152" t="str">
        <f t="shared" si="50"/>
        <v>12</v>
      </c>
      <c r="C152" t="s">
        <v>408</v>
      </c>
      <c r="D152" t="str">
        <f t="shared" si="51"/>
        <v>00</v>
      </c>
      <c r="E152" t="s">
        <v>14</v>
      </c>
      <c r="F152" s="139" t="s">
        <v>43</v>
      </c>
      <c r="G152" t="s">
        <v>44</v>
      </c>
      <c r="H152" s="156">
        <v>15668</v>
      </c>
      <c r="I152" s="156">
        <v>0</v>
      </c>
      <c r="J152" s="156">
        <v>10892</v>
      </c>
      <c r="K152" s="156">
        <v>0</v>
      </c>
      <c r="L152" s="156">
        <v>0</v>
      </c>
      <c r="M152" s="156">
        <v>0</v>
      </c>
      <c r="N152" s="156">
        <v>0</v>
      </c>
      <c r="O152" s="156">
        <v>0</v>
      </c>
      <c r="P152" s="156">
        <v>0</v>
      </c>
      <c r="Q152" s="156">
        <v>0</v>
      </c>
      <c r="R152" s="156">
        <v>0</v>
      </c>
      <c r="S152" s="156">
        <f t="shared" si="52"/>
        <v>0</v>
      </c>
      <c r="T152" s="156">
        <f t="shared" si="53"/>
        <v>0</v>
      </c>
      <c r="U152" s="140" t="str">
        <f t="shared" si="54"/>
        <v/>
      </c>
      <c r="V152" s="140">
        <f t="shared" si="55"/>
        <v>-1</v>
      </c>
      <c r="W152" s="140">
        <f t="shared" si="56"/>
        <v>-1</v>
      </c>
      <c r="X152" s="140" t="str">
        <f t="shared" si="57"/>
        <v/>
      </c>
      <c r="Y152" s="140">
        <f t="shared" si="58"/>
        <v>-0.3048251212662752</v>
      </c>
      <c r="Z152" s="140" t="str">
        <f t="shared" si="59"/>
        <v/>
      </c>
      <c r="AA152" s="140">
        <f t="shared" si="60"/>
        <v>-1</v>
      </c>
      <c r="AB152" s="140" t="str">
        <f t="shared" si="61"/>
        <v/>
      </c>
      <c r="AC152" s="140" t="str">
        <f t="shared" si="62"/>
        <v/>
      </c>
      <c r="AD152" s="140">
        <f t="shared" si="63"/>
        <v>-1</v>
      </c>
      <c r="AE152" s="140" t="str">
        <f t="shared" si="64"/>
        <v/>
      </c>
      <c r="AF152" s="140" t="str">
        <f t="shared" si="65"/>
        <v/>
      </c>
      <c r="AG152" s="140" t="str">
        <f t="shared" si="66"/>
        <v/>
      </c>
      <c r="AH152" s="140" t="str">
        <f t="shared" si="67"/>
        <v/>
      </c>
      <c r="AI152" s="140">
        <f t="shared" si="68"/>
        <v>-1</v>
      </c>
      <c r="AJ152" s="140">
        <f t="shared" si="69"/>
        <v>-1</v>
      </c>
      <c r="AK152" s="140">
        <f t="shared" si="70"/>
        <v>-1</v>
      </c>
      <c r="AL152" s="140">
        <f t="shared" si="71"/>
        <v>-1</v>
      </c>
      <c r="AM152" t="str">
        <f t="shared" si="72"/>
        <v>4230-000: Retirement Benefits</v>
      </c>
      <c r="AN152" s="140">
        <f t="shared" si="73"/>
        <v>-0.65241256063313757</v>
      </c>
      <c r="AO152" s="140">
        <f t="shared" si="74"/>
        <v>0.65241256063313757</v>
      </c>
      <c r="AP152" s="1" t="str">
        <f>IF(AND(AO152&gt;0, _xlfn.XLOOKUP($AM152, Discretionaries!$A$2:'Discretionaries'!$A$150, Discretionaries!$B$2:'Discretionaries'!$B$150)), (1+AN152)*$N152, "")</f>
        <v/>
      </c>
      <c r="AQ152" s="1" t="str">
        <f>IF(AND(AO152&gt;0, _xlfn.XLOOKUP($AM152, Discretionaries!$A$2:'Discretionaries'!$A$150, Discretionaries!$B$2:'Discretionaries'!$B$150)),AP152-$Q152,"")</f>
        <v/>
      </c>
      <c r="AR152" s="140">
        <f>IF(AG152="", 0-CPI!$B$15, AG152-CPI!$B$15)</f>
        <v>-3.8999999999999993E-2</v>
      </c>
      <c r="AS152" s="1" t="str">
        <f>IF(AND(AR152&gt;0, _xlfn.XLOOKUP($AM152, Discretionaries!$A$2:'Discretionaries'!$A$150, Discretionaries!$B$2:'Discretionaries'!$B$150)), (1+CPI!$B$15)*$N152, "")</f>
        <v/>
      </c>
      <c r="AT152" s="1" t="str">
        <f>IF(AND(AR152&gt;0, _xlfn.XLOOKUP($AM152, Discretionaries!$A$2:'Discretionaries'!$A$150, Discretionaries!$B$2:'Discretionaries'!$B$150)),AS152-$Q152,"")</f>
        <v/>
      </c>
    </row>
    <row r="153" spans="1:46" x14ac:dyDescent="0.3">
      <c r="A153" t="s">
        <v>419</v>
      </c>
      <c r="B153" t="str">
        <f t="shared" si="50"/>
        <v>12</v>
      </c>
      <c r="C153" t="s">
        <v>408</v>
      </c>
      <c r="D153" t="str">
        <f t="shared" si="51"/>
        <v>00</v>
      </c>
      <c r="E153" t="s">
        <v>21</v>
      </c>
      <c r="F153" s="139" t="s">
        <v>152</v>
      </c>
      <c r="G153" t="s">
        <v>153</v>
      </c>
      <c r="H153" s="156">
        <v>50000</v>
      </c>
      <c r="I153" s="156">
        <v>267008.37</v>
      </c>
      <c r="J153" s="156">
        <v>100000</v>
      </c>
      <c r="K153" s="156">
        <v>332331.86</v>
      </c>
      <c r="L153" s="156">
        <v>200000</v>
      </c>
      <c r="M153" s="156">
        <v>332618.7</v>
      </c>
      <c r="N153" s="156">
        <v>200000</v>
      </c>
      <c r="O153" s="156">
        <v>275000</v>
      </c>
      <c r="P153" s="156">
        <v>275000</v>
      </c>
      <c r="Q153" s="156">
        <v>275000</v>
      </c>
      <c r="R153" s="156">
        <v>200000</v>
      </c>
      <c r="S153" s="156">
        <f t="shared" si="52"/>
        <v>75000</v>
      </c>
      <c r="T153" s="156">
        <f t="shared" si="53"/>
        <v>75000</v>
      </c>
      <c r="U153" s="140">
        <f t="shared" si="54"/>
        <v>0.375</v>
      </c>
      <c r="V153" s="140">
        <f t="shared" si="55"/>
        <v>4.3401674000000003</v>
      </c>
      <c r="W153" s="140">
        <f t="shared" si="56"/>
        <v>2.3233185999999999</v>
      </c>
      <c r="X153" s="140">
        <f t="shared" si="57"/>
        <v>0.66309350000000011</v>
      </c>
      <c r="Y153" s="140">
        <f t="shared" si="58"/>
        <v>1</v>
      </c>
      <c r="Z153" s="140">
        <f t="shared" si="59"/>
        <v>0.24464959656508142</v>
      </c>
      <c r="AA153" s="140">
        <f t="shared" si="60"/>
        <v>1</v>
      </c>
      <c r="AB153" s="140">
        <f t="shared" si="61"/>
        <v>8.6311315442348993E-4</v>
      </c>
      <c r="AC153" s="140">
        <f t="shared" si="62"/>
        <v>0</v>
      </c>
      <c r="AD153" s="140">
        <f t="shared" si="63"/>
        <v>3</v>
      </c>
      <c r="AE153" s="140">
        <f t="shared" si="64"/>
        <v>0.375</v>
      </c>
      <c r="AF153" s="140">
        <f t="shared" si="65"/>
        <v>0.375</v>
      </c>
      <c r="AG153" s="140">
        <f t="shared" si="66"/>
        <v>0.375</v>
      </c>
      <c r="AH153" s="140">
        <f t="shared" si="67"/>
        <v>0</v>
      </c>
      <c r="AI153" s="140">
        <f t="shared" si="68"/>
        <v>4.5</v>
      </c>
      <c r="AJ153" s="140">
        <f t="shared" si="69"/>
        <v>4.5</v>
      </c>
      <c r="AK153" s="140">
        <f t="shared" si="70"/>
        <v>4.5</v>
      </c>
      <c r="AL153" s="140">
        <f t="shared" si="71"/>
        <v>3</v>
      </c>
      <c r="AM153" t="str">
        <f t="shared" si="72"/>
        <v>4320-000: Legal general Services</v>
      </c>
      <c r="AN153" s="140">
        <f t="shared" si="73"/>
        <v>0.66666666666666663</v>
      </c>
      <c r="AO153" s="140">
        <f t="shared" si="74"/>
        <v>-0.29166666666666663</v>
      </c>
      <c r="AP153" s="1" t="str">
        <f>IF(AND(AO153&gt;0, _xlfn.XLOOKUP($AM153, Discretionaries!$A$2:'Discretionaries'!$A$150, Discretionaries!$B$2:'Discretionaries'!$B$150)), (1+AN153)*$N153, "")</f>
        <v/>
      </c>
      <c r="AQ153" s="1" t="str">
        <f>IF(AND(AO153&gt;0, _xlfn.XLOOKUP($AM153, Discretionaries!$A$2:'Discretionaries'!$A$150, Discretionaries!$B$2:'Discretionaries'!$B$150)),AP153-$Q153,"")</f>
        <v/>
      </c>
      <c r="AR153" s="140">
        <f>IF(AG153="", 0-CPI!$B$15, AG153-CPI!$B$15)</f>
        <v>0.33600000000000002</v>
      </c>
      <c r="AS153" s="1">
        <f>IF(AND(AR153&gt;0, _xlfn.XLOOKUP($AM153, Discretionaries!$A$2:'Discretionaries'!$A$150, Discretionaries!$B$2:'Discretionaries'!$B$150)), (1+CPI!$B$15)*$N153, "")</f>
        <v>207799.99999999997</v>
      </c>
      <c r="AT153" s="1">
        <f>IF(AND(AR153&gt;0, _xlfn.XLOOKUP($AM153, Discretionaries!$A$2:'Discretionaries'!$A$150, Discretionaries!$B$2:'Discretionaries'!$B$150)),AS153-$Q153,"")</f>
        <v>-67200.000000000029</v>
      </c>
    </row>
    <row r="154" spans="1:46" x14ac:dyDescent="0.3">
      <c r="A154" t="s">
        <v>419</v>
      </c>
      <c r="B154" t="str">
        <f t="shared" si="50"/>
        <v>12</v>
      </c>
      <c r="C154" t="s">
        <v>408</v>
      </c>
      <c r="D154" t="str">
        <f t="shared" si="51"/>
        <v>00</v>
      </c>
      <c r="E154" t="s">
        <v>45</v>
      </c>
      <c r="F154" s="139" t="s">
        <v>46</v>
      </c>
      <c r="G154" t="s">
        <v>47</v>
      </c>
      <c r="H154" s="156">
        <v>4992</v>
      </c>
      <c r="I154" s="156">
        <v>252.1</v>
      </c>
      <c r="J154" s="156">
        <v>0</v>
      </c>
      <c r="K154" s="156">
        <v>0</v>
      </c>
      <c r="L154" s="156">
        <v>0</v>
      </c>
      <c r="M154" s="156">
        <v>0</v>
      </c>
      <c r="N154" s="156">
        <v>0</v>
      </c>
      <c r="O154" s="156">
        <v>0</v>
      </c>
      <c r="P154" s="156">
        <v>0</v>
      </c>
      <c r="Q154" s="156">
        <v>0</v>
      </c>
      <c r="R154" s="156">
        <v>0</v>
      </c>
      <c r="S154" s="156">
        <f t="shared" si="52"/>
        <v>0</v>
      </c>
      <c r="T154" s="156">
        <f t="shared" si="53"/>
        <v>0</v>
      </c>
      <c r="U154" s="140" t="str">
        <f t="shared" si="54"/>
        <v/>
      </c>
      <c r="V154" s="140">
        <f t="shared" si="55"/>
        <v>-0.94949919871794863</v>
      </c>
      <c r="W154" s="140" t="str">
        <f t="shared" si="56"/>
        <v/>
      </c>
      <c r="X154" s="140" t="str">
        <f t="shared" si="57"/>
        <v/>
      </c>
      <c r="Y154" s="140">
        <f t="shared" si="58"/>
        <v>-1</v>
      </c>
      <c r="Z154" s="140">
        <f t="shared" si="59"/>
        <v>-1</v>
      </c>
      <c r="AA154" s="140" t="str">
        <f t="shared" si="60"/>
        <v/>
      </c>
      <c r="AB154" s="140" t="str">
        <f t="shared" si="61"/>
        <v/>
      </c>
      <c r="AC154" s="140" t="str">
        <f t="shared" si="62"/>
        <v/>
      </c>
      <c r="AD154" s="140">
        <f t="shared" si="63"/>
        <v>-1</v>
      </c>
      <c r="AE154" s="140" t="str">
        <f t="shared" si="64"/>
        <v/>
      </c>
      <c r="AF154" s="140" t="str">
        <f t="shared" si="65"/>
        <v/>
      </c>
      <c r="AG154" s="140" t="str">
        <f t="shared" si="66"/>
        <v/>
      </c>
      <c r="AH154" s="140" t="str">
        <f t="shared" si="67"/>
        <v/>
      </c>
      <c r="AI154" s="140">
        <f t="shared" si="68"/>
        <v>-1</v>
      </c>
      <c r="AJ154" s="140">
        <f t="shared" si="69"/>
        <v>-1</v>
      </c>
      <c r="AK154" s="140">
        <f t="shared" si="70"/>
        <v>-1</v>
      </c>
      <c r="AL154" s="140">
        <f t="shared" si="71"/>
        <v>-1</v>
      </c>
      <c r="AM154" t="str">
        <f t="shared" si="72"/>
        <v>4560-000: Dues &amp; subs Services</v>
      </c>
      <c r="AN154" s="140">
        <f t="shared" si="73"/>
        <v>-1</v>
      </c>
      <c r="AO154" s="140">
        <f t="shared" si="74"/>
        <v>1</v>
      </c>
      <c r="AP154" s="1">
        <f>IF(AND(AO154&gt;0, _xlfn.XLOOKUP($AM154, Discretionaries!$A$2:'Discretionaries'!$A$150, Discretionaries!$B$2:'Discretionaries'!$B$150)), (1+AN154)*$N154, "")</f>
        <v>0</v>
      </c>
      <c r="AQ154" s="1">
        <f>IF(AND(AO154&gt;0, _xlfn.XLOOKUP($AM154, Discretionaries!$A$2:'Discretionaries'!$A$150, Discretionaries!$B$2:'Discretionaries'!$B$150)),AP154-$Q154,"")</f>
        <v>0</v>
      </c>
      <c r="AR154" s="140">
        <f>IF(AG154="", 0-CPI!$B$15, AG154-CPI!$B$15)</f>
        <v>-3.8999999999999993E-2</v>
      </c>
      <c r="AS154" s="1" t="str">
        <f>IF(AND(AR154&gt;0, _xlfn.XLOOKUP($AM154, Discretionaries!$A$2:'Discretionaries'!$A$150, Discretionaries!$B$2:'Discretionaries'!$B$150)), (1+CPI!$B$15)*$N154, "")</f>
        <v/>
      </c>
      <c r="AT154" s="1" t="str">
        <f>IF(AND(AR154&gt;0, _xlfn.XLOOKUP($AM154, Discretionaries!$A$2:'Discretionaries'!$A$150, Discretionaries!$B$2:'Discretionaries'!$B$150)),AS154-$Q154,"")</f>
        <v/>
      </c>
    </row>
    <row r="155" spans="1:46" x14ac:dyDescent="0.3">
      <c r="A155" t="s">
        <v>420</v>
      </c>
      <c r="B155" t="str">
        <f t="shared" si="50"/>
        <v>15</v>
      </c>
      <c r="C155" t="s">
        <v>408</v>
      </c>
      <c r="D155" t="str">
        <f t="shared" si="51"/>
        <v>00</v>
      </c>
      <c r="E155" t="s">
        <v>21</v>
      </c>
      <c r="F155" s="139" t="s">
        <v>28</v>
      </c>
      <c r="G155" t="s">
        <v>29</v>
      </c>
      <c r="H155" s="156">
        <v>45000</v>
      </c>
      <c r="I155" s="156">
        <v>50729.35</v>
      </c>
      <c r="J155" s="156">
        <v>46171</v>
      </c>
      <c r="K155" s="156">
        <v>58516.4</v>
      </c>
      <c r="L155" s="156">
        <v>46171</v>
      </c>
      <c r="M155" s="156">
        <v>47442.04</v>
      </c>
      <c r="N155" s="156">
        <v>52514</v>
      </c>
      <c r="O155" s="156">
        <v>54000</v>
      </c>
      <c r="P155" s="156">
        <v>54000</v>
      </c>
      <c r="Q155" s="156">
        <v>54000</v>
      </c>
      <c r="R155" s="156">
        <v>52514</v>
      </c>
      <c r="S155" s="156">
        <f t="shared" si="52"/>
        <v>1486</v>
      </c>
      <c r="T155" s="156">
        <f t="shared" si="53"/>
        <v>1486</v>
      </c>
      <c r="U155" s="140">
        <f t="shared" si="54"/>
        <v>2.8297215980500438E-2</v>
      </c>
      <c r="V155" s="140">
        <f t="shared" si="55"/>
        <v>0.12731888888888887</v>
      </c>
      <c r="W155" s="140">
        <f t="shared" si="56"/>
        <v>0.26738428883931475</v>
      </c>
      <c r="X155" s="140">
        <f t="shared" si="57"/>
        <v>2.7528968400077989E-2</v>
      </c>
      <c r="Y155" s="140">
        <f t="shared" si="58"/>
        <v>2.6022222222222221E-2</v>
      </c>
      <c r="Z155" s="140">
        <f t="shared" si="59"/>
        <v>0.15350186824786841</v>
      </c>
      <c r="AA155" s="140">
        <f t="shared" si="60"/>
        <v>0</v>
      </c>
      <c r="AB155" s="140">
        <f t="shared" si="61"/>
        <v>-0.18925224381540903</v>
      </c>
      <c r="AC155" s="140">
        <f t="shared" si="62"/>
        <v>0.137380606874445</v>
      </c>
      <c r="AD155" s="140">
        <f t="shared" si="63"/>
        <v>0.16697777777777778</v>
      </c>
      <c r="AE155" s="140">
        <f t="shared" si="64"/>
        <v>2.8297215980500438E-2</v>
      </c>
      <c r="AF155" s="140">
        <f t="shared" si="65"/>
        <v>2.8297215980500438E-2</v>
      </c>
      <c r="AG155" s="140">
        <f t="shared" si="66"/>
        <v>2.8297215980500438E-2</v>
      </c>
      <c r="AH155" s="140">
        <f t="shared" si="67"/>
        <v>0</v>
      </c>
      <c r="AI155" s="140">
        <f t="shared" si="68"/>
        <v>0.2</v>
      </c>
      <c r="AJ155" s="140">
        <f t="shared" si="69"/>
        <v>0.2</v>
      </c>
      <c r="AK155" s="140">
        <f t="shared" si="70"/>
        <v>0.2</v>
      </c>
      <c r="AL155" s="140">
        <f t="shared" si="71"/>
        <v>0.16697777777777778</v>
      </c>
      <c r="AM155" t="str">
        <f t="shared" si="72"/>
        <v>4330-000: MGMT services Services</v>
      </c>
      <c r="AN155" s="140">
        <f t="shared" si="73"/>
        <v>5.4467609698889079E-2</v>
      </c>
      <c r="AO155" s="140">
        <f t="shared" si="74"/>
        <v>-2.617039371838864E-2</v>
      </c>
      <c r="AP155" s="1" t="str">
        <f>IF(AND(AO155&gt;0, _xlfn.XLOOKUP($AM155, Discretionaries!$A$2:'Discretionaries'!$A$150, Discretionaries!$B$2:'Discretionaries'!$B$150)), (1+AN155)*$N155, "")</f>
        <v/>
      </c>
      <c r="AQ155" s="1" t="str">
        <f>IF(AND(AO155&gt;0, _xlfn.XLOOKUP($AM155, Discretionaries!$A$2:'Discretionaries'!$A$150, Discretionaries!$B$2:'Discretionaries'!$B$150)),AP155-$Q155,"")</f>
        <v/>
      </c>
      <c r="AR155" s="140">
        <f>IF(AG155="", 0-CPI!$B$15, AG155-CPI!$B$15)</f>
        <v>-1.0702784019499555E-2</v>
      </c>
      <c r="AS155" s="1" t="str">
        <f>IF(AND(AR155&gt;0, _xlfn.XLOOKUP($AM155, Discretionaries!$A$2:'Discretionaries'!$A$150, Discretionaries!$B$2:'Discretionaries'!$B$150)), (1+CPI!$B$15)*$N155, "")</f>
        <v/>
      </c>
      <c r="AT155" s="1" t="str">
        <f>IF(AND(AR155&gt;0, _xlfn.XLOOKUP($AM155, Discretionaries!$A$2:'Discretionaries'!$A$150, Discretionaries!$B$2:'Discretionaries'!$B$150)),AS155-$Q155,"")</f>
        <v/>
      </c>
    </row>
    <row r="156" spans="1:46" x14ac:dyDescent="0.3">
      <c r="A156" t="s">
        <v>420</v>
      </c>
      <c r="B156" t="str">
        <f t="shared" si="50"/>
        <v>15</v>
      </c>
      <c r="C156" t="s">
        <v>408</v>
      </c>
      <c r="D156" t="str">
        <f t="shared" si="51"/>
        <v>00</v>
      </c>
      <c r="E156" t="s">
        <v>21</v>
      </c>
      <c r="F156" s="139" t="s">
        <v>144</v>
      </c>
      <c r="G156" t="s">
        <v>145</v>
      </c>
      <c r="H156" s="156">
        <v>58669</v>
      </c>
      <c r="I156" s="156">
        <v>70110.039999999994</v>
      </c>
      <c r="J156" s="156">
        <v>64616</v>
      </c>
      <c r="K156" s="156">
        <v>84149.71</v>
      </c>
      <c r="L156" s="156">
        <v>64616</v>
      </c>
      <c r="M156" s="156">
        <v>64243.09</v>
      </c>
      <c r="N156" s="156">
        <v>0</v>
      </c>
      <c r="O156" s="156">
        <v>0</v>
      </c>
      <c r="P156" s="156">
        <v>0</v>
      </c>
      <c r="Q156" s="156">
        <v>0</v>
      </c>
      <c r="R156" s="156">
        <v>0</v>
      </c>
      <c r="S156" s="156">
        <f t="shared" si="52"/>
        <v>0</v>
      </c>
      <c r="T156" s="156">
        <f t="shared" si="53"/>
        <v>0</v>
      </c>
      <c r="U156" s="140" t="str">
        <f t="shared" si="54"/>
        <v/>
      </c>
      <c r="V156" s="140">
        <f t="shared" si="55"/>
        <v>0.19500997119432739</v>
      </c>
      <c r="W156" s="140">
        <f t="shared" si="56"/>
        <v>0.3023045375758327</v>
      </c>
      <c r="X156" s="140">
        <f t="shared" si="57"/>
        <v>-5.7711712269407495E-3</v>
      </c>
      <c r="Y156" s="140">
        <f t="shared" si="58"/>
        <v>0.10136528660791901</v>
      </c>
      <c r="Z156" s="140">
        <f t="shared" si="59"/>
        <v>0.20025191827019373</v>
      </c>
      <c r="AA156" s="140">
        <f t="shared" si="60"/>
        <v>0</v>
      </c>
      <c r="AB156" s="140">
        <f t="shared" si="61"/>
        <v>-0.23656195606615885</v>
      </c>
      <c r="AC156" s="140">
        <f t="shared" si="62"/>
        <v>-1</v>
      </c>
      <c r="AD156" s="140">
        <f t="shared" si="63"/>
        <v>-1</v>
      </c>
      <c r="AE156" s="140" t="str">
        <f t="shared" si="64"/>
        <v/>
      </c>
      <c r="AF156" s="140" t="str">
        <f t="shared" si="65"/>
        <v/>
      </c>
      <c r="AG156" s="140" t="str">
        <f t="shared" si="66"/>
        <v/>
      </c>
      <c r="AH156" s="140" t="str">
        <f t="shared" si="67"/>
        <v/>
      </c>
      <c r="AI156" s="140">
        <f t="shared" si="68"/>
        <v>-1</v>
      </c>
      <c r="AJ156" s="140">
        <f t="shared" si="69"/>
        <v>-1</v>
      </c>
      <c r="AK156" s="140">
        <f t="shared" si="70"/>
        <v>-1</v>
      </c>
      <c r="AL156" s="140">
        <f t="shared" si="71"/>
        <v>-1</v>
      </c>
      <c r="AM156" t="str">
        <f t="shared" si="72"/>
        <v>4341-000: Telephone Services</v>
      </c>
      <c r="AN156" s="140">
        <f t="shared" si="73"/>
        <v>-0.29954490446402698</v>
      </c>
      <c r="AO156" s="140">
        <f t="shared" si="74"/>
        <v>0.29954490446402698</v>
      </c>
      <c r="AP156" s="1">
        <f>IF(AND(AO156&gt;0, _xlfn.XLOOKUP($AM156, Discretionaries!$A$2:'Discretionaries'!$A$150, Discretionaries!$B$2:'Discretionaries'!$B$150)), (1+AN156)*$N156, "")</f>
        <v>0</v>
      </c>
      <c r="AQ156" s="1">
        <f>IF(AND(AO156&gt;0, _xlfn.XLOOKUP($AM156, Discretionaries!$A$2:'Discretionaries'!$A$150, Discretionaries!$B$2:'Discretionaries'!$B$150)),AP156-$Q156,"")</f>
        <v>0</v>
      </c>
      <c r="AR156" s="140">
        <f>IF(AG156="", 0-CPI!$B$15, AG156-CPI!$B$15)</f>
        <v>-3.8999999999999993E-2</v>
      </c>
      <c r="AS156" s="1" t="str">
        <f>IF(AND(AR156&gt;0, _xlfn.XLOOKUP($AM156, Discretionaries!$A$2:'Discretionaries'!$A$150, Discretionaries!$B$2:'Discretionaries'!$B$150)), (1+CPI!$B$15)*$N156, "")</f>
        <v/>
      </c>
      <c r="AT156" s="1" t="str">
        <f>IF(AND(AR156&gt;0, _xlfn.XLOOKUP($AM156, Discretionaries!$A$2:'Discretionaries'!$A$150, Discretionaries!$B$2:'Discretionaries'!$B$150)),AS156-$Q156,"")</f>
        <v/>
      </c>
    </row>
    <row r="157" spans="1:46" x14ac:dyDescent="0.3">
      <c r="A157" t="s">
        <v>420</v>
      </c>
      <c r="B157" t="str">
        <f t="shared" si="50"/>
        <v>15</v>
      </c>
      <c r="C157" t="s">
        <v>408</v>
      </c>
      <c r="D157" t="str">
        <f t="shared" si="51"/>
        <v>00</v>
      </c>
      <c r="E157" t="s">
        <v>21</v>
      </c>
      <c r="F157" s="139" t="s">
        <v>158</v>
      </c>
      <c r="G157" t="s">
        <v>159</v>
      </c>
      <c r="H157" s="156">
        <v>32000</v>
      </c>
      <c r="I157" s="156">
        <v>29280.63</v>
      </c>
      <c r="J157" s="156">
        <v>32000</v>
      </c>
      <c r="K157" s="156">
        <v>24599.599999999999</v>
      </c>
      <c r="L157" s="156">
        <v>32000</v>
      </c>
      <c r="M157" s="156">
        <v>36040</v>
      </c>
      <c r="N157" s="156">
        <v>31250</v>
      </c>
      <c r="O157" s="156">
        <v>34500</v>
      </c>
      <c r="P157" s="156">
        <v>34500</v>
      </c>
      <c r="Q157" s="156">
        <v>34500</v>
      </c>
      <c r="R157" s="156">
        <v>32000</v>
      </c>
      <c r="S157" s="156">
        <f t="shared" si="52"/>
        <v>3250</v>
      </c>
      <c r="T157" s="156">
        <f t="shared" si="53"/>
        <v>2500</v>
      </c>
      <c r="U157" s="140">
        <f t="shared" si="54"/>
        <v>0.104</v>
      </c>
      <c r="V157" s="140">
        <f t="shared" si="55"/>
        <v>-8.4980312499999974E-2</v>
      </c>
      <c r="W157" s="140">
        <f t="shared" si="56"/>
        <v>-0.23126250000000004</v>
      </c>
      <c r="X157" s="140">
        <f t="shared" si="57"/>
        <v>0.12625</v>
      </c>
      <c r="Y157" s="140">
        <f t="shared" si="58"/>
        <v>0</v>
      </c>
      <c r="Z157" s="140">
        <f t="shared" si="59"/>
        <v>-0.15986780339084242</v>
      </c>
      <c r="AA157" s="140">
        <f t="shared" si="60"/>
        <v>0</v>
      </c>
      <c r="AB157" s="140">
        <f t="shared" si="61"/>
        <v>0.46506447259305039</v>
      </c>
      <c r="AC157" s="140">
        <f t="shared" si="62"/>
        <v>-2.34375E-2</v>
      </c>
      <c r="AD157" s="140">
        <f t="shared" si="63"/>
        <v>-2.34375E-2</v>
      </c>
      <c r="AE157" s="140">
        <f t="shared" si="64"/>
        <v>0.104</v>
      </c>
      <c r="AF157" s="140">
        <f t="shared" si="65"/>
        <v>0.104</v>
      </c>
      <c r="AG157" s="140">
        <f t="shared" si="66"/>
        <v>0.104</v>
      </c>
      <c r="AH157" s="140">
        <f t="shared" si="67"/>
        <v>2.4E-2</v>
      </c>
      <c r="AI157" s="140">
        <f t="shared" si="68"/>
        <v>7.8125E-2</v>
      </c>
      <c r="AJ157" s="140">
        <f t="shared" si="69"/>
        <v>7.8125E-2</v>
      </c>
      <c r="AK157" s="140">
        <f t="shared" si="70"/>
        <v>7.8125E-2</v>
      </c>
      <c r="AL157" s="140">
        <f t="shared" si="71"/>
        <v>0</v>
      </c>
      <c r="AM157" t="str">
        <f t="shared" si="72"/>
        <v>4360-000: Custodial Services</v>
      </c>
      <c r="AN157" s="140">
        <f t="shared" si="73"/>
        <v>-7.8125E-3</v>
      </c>
      <c r="AO157" s="140">
        <f t="shared" si="74"/>
        <v>0.1118125</v>
      </c>
      <c r="AP157" s="1">
        <f>IF(AND(AO157&gt;0, _xlfn.XLOOKUP($AM157, Discretionaries!$A$2:'Discretionaries'!$A$150, Discretionaries!$B$2:'Discretionaries'!$B$150)), (1+AN157)*$N157, "")</f>
        <v>31005.859375</v>
      </c>
      <c r="AQ157" s="1">
        <f>IF(AND(AO157&gt;0, _xlfn.XLOOKUP($AM157, Discretionaries!$A$2:'Discretionaries'!$A$150, Discretionaries!$B$2:'Discretionaries'!$B$150)),AP157-$Q157,"")</f>
        <v>-3494.140625</v>
      </c>
      <c r="AR157" s="140">
        <f>IF(AG157="", 0-CPI!$B$15, AG157-CPI!$B$15)</f>
        <v>6.5000000000000002E-2</v>
      </c>
      <c r="AS157" s="1">
        <f>IF(AND(AR157&gt;0, _xlfn.XLOOKUP($AM157, Discretionaries!$A$2:'Discretionaries'!$A$150, Discretionaries!$B$2:'Discretionaries'!$B$150)), (1+CPI!$B$15)*$N157, "")</f>
        <v>32468.749999999996</v>
      </c>
      <c r="AT157" s="1">
        <f>IF(AND(AR157&gt;0, _xlfn.XLOOKUP($AM157, Discretionaries!$A$2:'Discretionaries'!$A$150, Discretionaries!$B$2:'Discretionaries'!$B$150)),AS157-$Q157,"")</f>
        <v>-2031.2500000000036</v>
      </c>
    </row>
    <row r="158" spans="1:46" x14ac:dyDescent="0.3">
      <c r="A158" t="s">
        <v>420</v>
      </c>
      <c r="B158" t="str">
        <f t="shared" si="50"/>
        <v>15</v>
      </c>
      <c r="C158" t="s">
        <v>408</v>
      </c>
      <c r="D158" t="str">
        <f t="shared" si="51"/>
        <v>00</v>
      </c>
      <c r="E158" t="s">
        <v>21</v>
      </c>
      <c r="F158" s="139" t="s">
        <v>111</v>
      </c>
      <c r="G158" t="s">
        <v>112</v>
      </c>
      <c r="H158" s="156">
        <v>40000</v>
      </c>
      <c r="I158" s="156">
        <v>33230.730000000003</v>
      </c>
      <c r="J158" s="156">
        <v>20000</v>
      </c>
      <c r="K158" s="156">
        <v>23626.73</v>
      </c>
      <c r="L158" s="156">
        <v>20000</v>
      </c>
      <c r="M158" s="156">
        <v>27175.33</v>
      </c>
      <c r="N158" s="156">
        <v>20000</v>
      </c>
      <c r="O158" s="156">
        <v>22500</v>
      </c>
      <c r="P158" s="156">
        <v>22500</v>
      </c>
      <c r="Q158" s="156">
        <v>22500</v>
      </c>
      <c r="R158" s="156">
        <v>22289</v>
      </c>
      <c r="S158" s="156">
        <f t="shared" si="52"/>
        <v>2500</v>
      </c>
      <c r="T158" s="156">
        <f t="shared" si="53"/>
        <v>211</v>
      </c>
      <c r="U158" s="140">
        <f t="shared" si="54"/>
        <v>0.125</v>
      </c>
      <c r="V158" s="140">
        <f t="shared" si="55"/>
        <v>-0.16923174999999993</v>
      </c>
      <c r="W158" s="140">
        <f t="shared" si="56"/>
        <v>0.18133649999999998</v>
      </c>
      <c r="X158" s="140">
        <f t="shared" si="57"/>
        <v>0.3587665000000001</v>
      </c>
      <c r="Y158" s="140">
        <f t="shared" si="58"/>
        <v>-0.5</v>
      </c>
      <c r="Z158" s="140">
        <f t="shared" si="59"/>
        <v>-0.28900960045114876</v>
      </c>
      <c r="AA158" s="140">
        <f t="shared" si="60"/>
        <v>0</v>
      </c>
      <c r="AB158" s="140">
        <f t="shared" si="61"/>
        <v>0.15019429265073933</v>
      </c>
      <c r="AC158" s="140">
        <f t="shared" si="62"/>
        <v>0</v>
      </c>
      <c r="AD158" s="140">
        <f t="shared" si="63"/>
        <v>-0.5</v>
      </c>
      <c r="AE158" s="140">
        <f t="shared" si="64"/>
        <v>0.125</v>
      </c>
      <c r="AF158" s="140">
        <f t="shared" si="65"/>
        <v>0.125</v>
      </c>
      <c r="AG158" s="140">
        <f t="shared" si="66"/>
        <v>0.125</v>
      </c>
      <c r="AH158" s="140">
        <f t="shared" si="67"/>
        <v>0.11445</v>
      </c>
      <c r="AI158" s="140">
        <f t="shared" si="68"/>
        <v>-0.4375</v>
      </c>
      <c r="AJ158" s="140">
        <f t="shared" si="69"/>
        <v>-0.4375</v>
      </c>
      <c r="AK158" s="140">
        <f t="shared" si="70"/>
        <v>-0.4375</v>
      </c>
      <c r="AL158" s="140">
        <f t="shared" si="71"/>
        <v>-0.44277499999999997</v>
      </c>
      <c r="AM158" t="str">
        <f t="shared" si="72"/>
        <v>4440-000: Rental and leases Services</v>
      </c>
      <c r="AN158" s="140">
        <f t="shared" si="73"/>
        <v>-0.16666666666666666</v>
      </c>
      <c r="AO158" s="140">
        <f t="shared" si="74"/>
        <v>0.29166666666666663</v>
      </c>
      <c r="AP158" s="1">
        <f>IF(AND(AO158&gt;0, _xlfn.XLOOKUP($AM158, Discretionaries!$A$2:'Discretionaries'!$A$150, Discretionaries!$B$2:'Discretionaries'!$B$150)), (1+AN158)*$N158, "")</f>
        <v>16666.666666666668</v>
      </c>
      <c r="AQ158" s="1">
        <f>IF(AND(AO158&gt;0, _xlfn.XLOOKUP($AM158, Discretionaries!$A$2:'Discretionaries'!$A$150, Discretionaries!$B$2:'Discretionaries'!$B$150)),AP158-$Q158,"")</f>
        <v>-5833.3333333333321</v>
      </c>
      <c r="AR158" s="140">
        <f>IF(AG158="", 0-CPI!$B$15, AG158-CPI!$B$15)</f>
        <v>8.6000000000000007E-2</v>
      </c>
      <c r="AS158" s="1">
        <f>IF(AND(AR158&gt;0, _xlfn.XLOOKUP($AM158, Discretionaries!$A$2:'Discretionaries'!$A$150, Discretionaries!$B$2:'Discretionaries'!$B$150)), (1+CPI!$B$15)*$N158, "")</f>
        <v>20780</v>
      </c>
      <c r="AT158" s="1">
        <f>IF(AND(AR158&gt;0, _xlfn.XLOOKUP($AM158, Discretionaries!$A$2:'Discretionaries'!$A$150, Discretionaries!$B$2:'Discretionaries'!$B$150)),AS158-$Q158,"")</f>
        <v>-1720</v>
      </c>
    </row>
    <row r="159" spans="1:46" x14ac:dyDescent="0.3">
      <c r="A159" t="s">
        <v>420</v>
      </c>
      <c r="B159" t="str">
        <f t="shared" si="50"/>
        <v>15</v>
      </c>
      <c r="C159" t="s">
        <v>408</v>
      </c>
      <c r="D159" t="str">
        <f t="shared" si="51"/>
        <v>00</v>
      </c>
      <c r="E159" t="s">
        <v>133</v>
      </c>
      <c r="F159" s="139" t="s">
        <v>160</v>
      </c>
      <c r="G159" t="s">
        <v>161</v>
      </c>
      <c r="H159" s="156">
        <v>49000</v>
      </c>
      <c r="I159" s="156">
        <v>39462.230000000003</v>
      </c>
      <c r="J159" s="156">
        <v>54000</v>
      </c>
      <c r="K159" s="156">
        <v>42710.77</v>
      </c>
      <c r="L159" s="156">
        <v>54000</v>
      </c>
      <c r="M159" s="156">
        <v>44409.39</v>
      </c>
      <c r="N159" s="156">
        <v>54000</v>
      </c>
      <c r="O159" s="156">
        <v>54000</v>
      </c>
      <c r="P159" s="156">
        <v>54000</v>
      </c>
      <c r="Q159" s="156">
        <v>54000</v>
      </c>
      <c r="R159" s="156">
        <v>54000</v>
      </c>
      <c r="S159" s="156">
        <f t="shared" si="52"/>
        <v>0</v>
      </c>
      <c r="T159" s="156">
        <f t="shared" si="53"/>
        <v>0</v>
      </c>
      <c r="U159" s="140">
        <f t="shared" si="54"/>
        <v>0</v>
      </c>
      <c r="V159" s="140">
        <f t="shared" si="55"/>
        <v>-0.19464836734693872</v>
      </c>
      <c r="W159" s="140">
        <f t="shared" si="56"/>
        <v>-0.20905981481481486</v>
      </c>
      <c r="X159" s="140">
        <f t="shared" si="57"/>
        <v>-0.17760388888888889</v>
      </c>
      <c r="Y159" s="140">
        <f t="shared" si="58"/>
        <v>0.10204081632653061</v>
      </c>
      <c r="Z159" s="140">
        <f t="shared" si="59"/>
        <v>8.2320233803309981E-2</v>
      </c>
      <c r="AA159" s="140">
        <f t="shared" si="60"/>
        <v>0</v>
      </c>
      <c r="AB159" s="140">
        <f t="shared" si="61"/>
        <v>3.977029681272435E-2</v>
      </c>
      <c r="AC159" s="140">
        <f t="shared" si="62"/>
        <v>0</v>
      </c>
      <c r="AD159" s="140">
        <f t="shared" si="63"/>
        <v>0.10204081632653061</v>
      </c>
      <c r="AE159" s="140">
        <f t="shared" si="64"/>
        <v>0</v>
      </c>
      <c r="AF159" s="140">
        <f t="shared" si="65"/>
        <v>0</v>
      </c>
      <c r="AG159" s="140">
        <f t="shared" si="66"/>
        <v>0</v>
      </c>
      <c r="AH159" s="140">
        <f t="shared" si="67"/>
        <v>0</v>
      </c>
      <c r="AI159" s="140">
        <f t="shared" si="68"/>
        <v>0.10204081632653061</v>
      </c>
      <c r="AJ159" s="140">
        <f t="shared" si="69"/>
        <v>0.10204081632653061</v>
      </c>
      <c r="AK159" s="140">
        <f t="shared" si="70"/>
        <v>0.10204081632653061</v>
      </c>
      <c r="AL159" s="140">
        <f t="shared" si="71"/>
        <v>0.10204081632653061</v>
      </c>
      <c r="AM159" t="str">
        <f t="shared" si="72"/>
        <v>4410-000: Electric Services</v>
      </c>
      <c r="AN159" s="140">
        <f t="shared" si="73"/>
        <v>3.4013605442176874E-2</v>
      </c>
      <c r="AO159" s="140">
        <f t="shared" si="74"/>
        <v>-3.4013605442176874E-2</v>
      </c>
      <c r="AP159" s="1" t="str">
        <f>IF(AND(AO159&gt;0, _xlfn.XLOOKUP($AM159, Discretionaries!$A$2:'Discretionaries'!$A$150, Discretionaries!$B$2:'Discretionaries'!$B$150)), (1+AN159)*$N159, "")</f>
        <v/>
      </c>
      <c r="AQ159" s="1" t="str">
        <f>IF(AND(AO159&gt;0, _xlfn.XLOOKUP($AM159, Discretionaries!$A$2:'Discretionaries'!$A$150, Discretionaries!$B$2:'Discretionaries'!$B$150)),AP159-$Q159,"")</f>
        <v/>
      </c>
      <c r="AR159" s="140">
        <f>IF(AG159="", 0-CPI!$B$15, AG159-CPI!$B$15)</f>
        <v>-3.8999999999999993E-2</v>
      </c>
      <c r="AS159" s="1" t="str">
        <f>IF(AND(AR159&gt;0, _xlfn.XLOOKUP($AM159, Discretionaries!$A$2:'Discretionaries'!$A$150, Discretionaries!$B$2:'Discretionaries'!$B$150)), (1+CPI!$B$15)*$N159, "")</f>
        <v/>
      </c>
      <c r="AT159" s="1" t="str">
        <f>IF(AND(AR159&gt;0, _xlfn.XLOOKUP($AM159, Discretionaries!$A$2:'Discretionaries'!$A$150, Discretionaries!$B$2:'Discretionaries'!$B$150)),AS159-$Q159,"")</f>
        <v/>
      </c>
    </row>
    <row r="160" spans="1:46" x14ac:dyDescent="0.3">
      <c r="A160" t="s">
        <v>420</v>
      </c>
      <c r="B160" t="str">
        <f t="shared" si="50"/>
        <v>15</v>
      </c>
      <c r="C160" t="s">
        <v>408</v>
      </c>
      <c r="D160" t="str">
        <f t="shared" si="51"/>
        <v>00</v>
      </c>
      <c r="E160" t="s">
        <v>133</v>
      </c>
      <c r="F160" s="139" t="s">
        <v>162</v>
      </c>
      <c r="G160" t="s">
        <v>163</v>
      </c>
      <c r="H160" s="156">
        <v>15500</v>
      </c>
      <c r="I160" s="156">
        <v>9070.17</v>
      </c>
      <c r="J160" s="156">
        <v>20000</v>
      </c>
      <c r="K160" s="156">
        <v>10596.87</v>
      </c>
      <c r="L160" s="156">
        <v>20000</v>
      </c>
      <c r="M160" s="156">
        <v>8360.44</v>
      </c>
      <c r="N160" s="156">
        <v>20000</v>
      </c>
      <c r="O160" s="156">
        <v>20000</v>
      </c>
      <c r="P160" s="156">
        <v>20000</v>
      </c>
      <c r="Q160" s="156">
        <v>20000</v>
      </c>
      <c r="R160" s="156">
        <v>20000</v>
      </c>
      <c r="S160" s="156">
        <f t="shared" si="52"/>
        <v>0</v>
      </c>
      <c r="T160" s="156">
        <f t="shared" si="53"/>
        <v>0</v>
      </c>
      <c r="U160" s="140">
        <f t="shared" si="54"/>
        <v>0</v>
      </c>
      <c r="V160" s="140">
        <f t="shared" si="55"/>
        <v>-0.41482774193548388</v>
      </c>
      <c r="W160" s="140">
        <f t="shared" si="56"/>
        <v>-0.47015649999999998</v>
      </c>
      <c r="X160" s="140">
        <f t="shared" si="57"/>
        <v>-0.581978</v>
      </c>
      <c r="Y160" s="140">
        <f t="shared" si="58"/>
        <v>0.29032258064516131</v>
      </c>
      <c r="Z160" s="140">
        <f t="shared" si="59"/>
        <v>0.16832099067602929</v>
      </c>
      <c r="AA160" s="140">
        <f t="shared" si="60"/>
        <v>0</v>
      </c>
      <c r="AB160" s="140">
        <f t="shared" si="61"/>
        <v>-0.21104628064702124</v>
      </c>
      <c r="AC160" s="140">
        <f t="shared" si="62"/>
        <v>0</v>
      </c>
      <c r="AD160" s="140">
        <f t="shared" si="63"/>
        <v>0.29032258064516131</v>
      </c>
      <c r="AE160" s="140">
        <f t="shared" si="64"/>
        <v>0</v>
      </c>
      <c r="AF160" s="140">
        <f t="shared" si="65"/>
        <v>0</v>
      </c>
      <c r="AG160" s="140">
        <f t="shared" si="66"/>
        <v>0</v>
      </c>
      <c r="AH160" s="140">
        <f t="shared" si="67"/>
        <v>0</v>
      </c>
      <c r="AI160" s="140">
        <f t="shared" si="68"/>
        <v>0.29032258064516131</v>
      </c>
      <c r="AJ160" s="140">
        <f t="shared" si="69"/>
        <v>0.29032258064516131</v>
      </c>
      <c r="AK160" s="140">
        <f t="shared" si="70"/>
        <v>0.29032258064516131</v>
      </c>
      <c r="AL160" s="140">
        <f t="shared" si="71"/>
        <v>0.29032258064516131</v>
      </c>
      <c r="AM160" t="str">
        <f t="shared" si="72"/>
        <v>4411-000: Heat &amp; oil Services</v>
      </c>
      <c r="AN160" s="140">
        <f t="shared" si="73"/>
        <v>9.6774193548387108E-2</v>
      </c>
      <c r="AO160" s="140">
        <f t="shared" si="74"/>
        <v>-9.6774193548387108E-2</v>
      </c>
      <c r="AP160" s="1" t="str">
        <f>IF(AND(AO160&gt;0, _xlfn.XLOOKUP($AM160, Discretionaries!$A$2:'Discretionaries'!$A$150, Discretionaries!$B$2:'Discretionaries'!$B$150)), (1+AN160)*$N160, "")</f>
        <v/>
      </c>
      <c r="AQ160" s="1" t="str">
        <f>IF(AND(AO160&gt;0, _xlfn.XLOOKUP($AM160, Discretionaries!$A$2:'Discretionaries'!$A$150, Discretionaries!$B$2:'Discretionaries'!$B$150)),AP160-$Q160,"")</f>
        <v/>
      </c>
      <c r="AR160" s="140">
        <f>IF(AG160="", 0-CPI!$B$15, AG160-CPI!$B$15)</f>
        <v>-3.8999999999999993E-2</v>
      </c>
      <c r="AS160" s="1" t="str">
        <f>IF(AND(AR160&gt;0, _xlfn.XLOOKUP($AM160, Discretionaries!$A$2:'Discretionaries'!$A$150, Discretionaries!$B$2:'Discretionaries'!$B$150)), (1+CPI!$B$15)*$N160, "")</f>
        <v/>
      </c>
      <c r="AT160" s="1" t="str">
        <f>IF(AND(AR160&gt;0, _xlfn.XLOOKUP($AM160, Discretionaries!$A$2:'Discretionaries'!$A$150, Discretionaries!$B$2:'Discretionaries'!$B$150)),AS160-$Q160,"")</f>
        <v/>
      </c>
    </row>
    <row r="161" spans="1:46" x14ac:dyDescent="0.3">
      <c r="A161" t="s">
        <v>420</v>
      </c>
      <c r="B161" t="str">
        <f t="shared" si="50"/>
        <v>15</v>
      </c>
      <c r="C161" t="s">
        <v>408</v>
      </c>
      <c r="D161" t="str">
        <f t="shared" si="51"/>
        <v>00</v>
      </c>
      <c r="E161" t="s">
        <v>133</v>
      </c>
      <c r="F161" s="139" t="s">
        <v>164</v>
      </c>
      <c r="G161" t="s">
        <v>165</v>
      </c>
      <c r="H161" s="156">
        <v>9500</v>
      </c>
      <c r="I161" s="156">
        <v>12918.37</v>
      </c>
      <c r="J161" s="156">
        <v>9500</v>
      </c>
      <c r="K161" s="156">
        <v>11680.65</v>
      </c>
      <c r="L161" s="156">
        <v>10000</v>
      </c>
      <c r="M161" s="156">
        <v>15283.27</v>
      </c>
      <c r="N161" s="156">
        <v>11950</v>
      </c>
      <c r="O161" s="156">
        <v>14944</v>
      </c>
      <c r="P161" s="156">
        <v>14944</v>
      </c>
      <c r="Q161" s="156">
        <v>14944</v>
      </c>
      <c r="R161" s="156">
        <v>11950</v>
      </c>
      <c r="S161" s="156">
        <f t="shared" si="52"/>
        <v>2994</v>
      </c>
      <c r="T161" s="156">
        <f t="shared" si="53"/>
        <v>2994</v>
      </c>
      <c r="U161" s="140">
        <f t="shared" si="54"/>
        <v>0.25054393305439332</v>
      </c>
      <c r="V161" s="140">
        <f t="shared" si="55"/>
        <v>0.35982842105263169</v>
      </c>
      <c r="W161" s="140">
        <f t="shared" si="56"/>
        <v>0.22954210526315785</v>
      </c>
      <c r="X161" s="140">
        <f t="shared" si="57"/>
        <v>0.52832699999999999</v>
      </c>
      <c r="Y161" s="140">
        <f t="shared" si="58"/>
        <v>0</v>
      </c>
      <c r="Z161" s="140">
        <f t="shared" si="59"/>
        <v>-9.5810849201563436E-2</v>
      </c>
      <c r="AA161" s="140">
        <f t="shared" si="60"/>
        <v>5.2631578947368418E-2</v>
      </c>
      <c r="AB161" s="140">
        <f t="shared" si="61"/>
        <v>0.30842632901422445</v>
      </c>
      <c r="AC161" s="140">
        <f t="shared" si="62"/>
        <v>0.19500000000000001</v>
      </c>
      <c r="AD161" s="140">
        <f t="shared" si="63"/>
        <v>0.25789473684210529</v>
      </c>
      <c r="AE161" s="140">
        <f t="shared" si="64"/>
        <v>0.25054393305439332</v>
      </c>
      <c r="AF161" s="140">
        <f t="shared" si="65"/>
        <v>0.25054393305439332</v>
      </c>
      <c r="AG161" s="140">
        <f t="shared" si="66"/>
        <v>0.25054393305439332</v>
      </c>
      <c r="AH161" s="140">
        <f t="shared" si="67"/>
        <v>0</v>
      </c>
      <c r="AI161" s="140">
        <f t="shared" si="68"/>
        <v>0.57305263157894737</v>
      </c>
      <c r="AJ161" s="140">
        <f t="shared" si="69"/>
        <v>0.57305263157894737</v>
      </c>
      <c r="AK161" s="140">
        <f t="shared" si="70"/>
        <v>0.57305263157894737</v>
      </c>
      <c r="AL161" s="140">
        <f t="shared" si="71"/>
        <v>0.25789473684210529</v>
      </c>
      <c r="AM161" t="str">
        <f t="shared" si="72"/>
        <v>4412-000: Water Services</v>
      </c>
      <c r="AN161" s="140">
        <f t="shared" si="73"/>
        <v>8.2543859649122808E-2</v>
      </c>
      <c r="AO161" s="140">
        <f t="shared" si="74"/>
        <v>0.16800007340527051</v>
      </c>
      <c r="AP161" s="1">
        <f>IF(AND(AO161&gt;0, _xlfn.XLOOKUP($AM161, Discretionaries!$A$2:'Discretionaries'!$A$150, Discretionaries!$B$2:'Discretionaries'!$B$150)), (1+AN161)*$N161, "")</f>
        <v>12936.399122807017</v>
      </c>
      <c r="AQ161" s="1">
        <f>IF(AND(AO161&gt;0, _xlfn.XLOOKUP($AM161, Discretionaries!$A$2:'Discretionaries'!$A$150, Discretionaries!$B$2:'Discretionaries'!$B$150)),AP161-$Q161,"")</f>
        <v>-2007.6008771929828</v>
      </c>
      <c r="AR161" s="140">
        <f>IF(AG161="", 0-CPI!$B$15, AG161-CPI!$B$15)</f>
        <v>0.21154393305439334</v>
      </c>
      <c r="AS161" s="1">
        <f>IF(AND(AR161&gt;0, _xlfn.XLOOKUP($AM161, Discretionaries!$A$2:'Discretionaries'!$A$150, Discretionaries!$B$2:'Discretionaries'!$B$150)), (1+CPI!$B$15)*$N161, "")</f>
        <v>12416.05</v>
      </c>
      <c r="AT161" s="1">
        <f>IF(AND(AR161&gt;0, _xlfn.XLOOKUP($AM161, Discretionaries!$A$2:'Discretionaries'!$A$150, Discretionaries!$B$2:'Discretionaries'!$B$150)),AS161-$Q161,"")</f>
        <v>-2527.9500000000007</v>
      </c>
    </row>
    <row r="162" spans="1:46" x14ac:dyDescent="0.3">
      <c r="A162" t="s">
        <v>420</v>
      </c>
      <c r="B162" t="str">
        <f t="shared" si="50"/>
        <v>15</v>
      </c>
      <c r="C162" t="s">
        <v>408</v>
      </c>
      <c r="D162" t="str">
        <f t="shared" si="51"/>
        <v>00</v>
      </c>
      <c r="E162" t="s">
        <v>133</v>
      </c>
      <c r="F162" s="139" t="s">
        <v>146</v>
      </c>
      <c r="G162" t="s">
        <v>147</v>
      </c>
      <c r="H162" s="156">
        <v>30000</v>
      </c>
      <c r="I162" s="156">
        <v>31649.5</v>
      </c>
      <c r="J162" s="156">
        <v>0</v>
      </c>
      <c r="K162" s="156">
        <v>0</v>
      </c>
      <c r="L162" s="156">
        <v>0</v>
      </c>
      <c r="M162" s="156">
        <v>0</v>
      </c>
      <c r="N162" s="156">
        <v>0</v>
      </c>
      <c r="O162" s="156">
        <v>0</v>
      </c>
      <c r="P162" s="156">
        <v>0</v>
      </c>
      <c r="Q162" s="156">
        <v>0</v>
      </c>
      <c r="R162" s="156">
        <v>0</v>
      </c>
      <c r="S162" s="156">
        <f t="shared" si="52"/>
        <v>0</v>
      </c>
      <c r="T162" s="156">
        <f t="shared" si="53"/>
        <v>0</v>
      </c>
      <c r="U162" s="140" t="str">
        <f t="shared" si="54"/>
        <v/>
      </c>
      <c r="V162" s="140">
        <f t="shared" si="55"/>
        <v>5.4983333333333335E-2</v>
      </c>
      <c r="W162" s="140" t="str">
        <f t="shared" si="56"/>
        <v/>
      </c>
      <c r="X162" s="140" t="str">
        <f t="shared" si="57"/>
        <v/>
      </c>
      <c r="Y162" s="140">
        <f t="shared" si="58"/>
        <v>-1</v>
      </c>
      <c r="Z162" s="140">
        <f t="shared" si="59"/>
        <v>-1</v>
      </c>
      <c r="AA162" s="140" t="str">
        <f t="shared" si="60"/>
        <v/>
      </c>
      <c r="AB162" s="140" t="str">
        <f t="shared" si="61"/>
        <v/>
      </c>
      <c r="AC162" s="140" t="str">
        <f t="shared" si="62"/>
        <v/>
      </c>
      <c r="AD162" s="140">
        <f t="shared" si="63"/>
        <v>-1</v>
      </c>
      <c r="AE162" s="140" t="str">
        <f t="shared" si="64"/>
        <v/>
      </c>
      <c r="AF162" s="140" t="str">
        <f t="shared" si="65"/>
        <v/>
      </c>
      <c r="AG162" s="140" t="str">
        <f t="shared" si="66"/>
        <v/>
      </c>
      <c r="AH162" s="140" t="str">
        <f t="shared" si="67"/>
        <v/>
      </c>
      <c r="AI162" s="140">
        <f t="shared" si="68"/>
        <v>-1</v>
      </c>
      <c r="AJ162" s="140">
        <f t="shared" si="69"/>
        <v>-1</v>
      </c>
      <c r="AK162" s="140">
        <f t="shared" si="70"/>
        <v>-1</v>
      </c>
      <c r="AL162" s="140">
        <f t="shared" si="71"/>
        <v>-1</v>
      </c>
      <c r="AM162" t="str">
        <f t="shared" si="72"/>
        <v>4430-000: Repairs &amp; maint Service</v>
      </c>
      <c r="AN162" s="140">
        <f t="shared" si="73"/>
        <v>-1</v>
      </c>
      <c r="AO162" s="140">
        <f t="shared" si="74"/>
        <v>1</v>
      </c>
      <c r="AP162" s="1">
        <f>IF(AND(AO162&gt;0, _xlfn.XLOOKUP($AM162, Discretionaries!$A$2:'Discretionaries'!$A$150, Discretionaries!$B$2:'Discretionaries'!$B$150)), (1+AN162)*$N162, "")</f>
        <v>0</v>
      </c>
      <c r="AQ162" s="1">
        <f>IF(AND(AO162&gt;0, _xlfn.XLOOKUP($AM162, Discretionaries!$A$2:'Discretionaries'!$A$150, Discretionaries!$B$2:'Discretionaries'!$B$150)),AP162-$Q162,"")</f>
        <v>0</v>
      </c>
      <c r="AR162" s="140">
        <f>IF(AG162="", 0-CPI!$B$15, AG162-CPI!$B$15)</f>
        <v>-3.8999999999999993E-2</v>
      </c>
      <c r="AS162" s="1" t="str">
        <f>IF(AND(AR162&gt;0, _xlfn.XLOOKUP($AM162, Discretionaries!$A$2:'Discretionaries'!$A$150, Discretionaries!$B$2:'Discretionaries'!$B$150)), (1+CPI!$B$15)*$N162, "")</f>
        <v/>
      </c>
      <c r="AT162" s="1" t="str">
        <f>IF(AND(AR162&gt;0, _xlfn.XLOOKUP($AM162, Discretionaries!$A$2:'Discretionaries'!$A$150, Discretionaries!$B$2:'Discretionaries'!$B$150)),AS162-$Q162,"")</f>
        <v/>
      </c>
    </row>
    <row r="163" spans="1:46" x14ac:dyDescent="0.3">
      <c r="A163" t="s">
        <v>420</v>
      </c>
      <c r="B163" t="str">
        <f t="shared" si="50"/>
        <v>15</v>
      </c>
      <c r="C163" t="s">
        <v>408</v>
      </c>
      <c r="D163" t="str">
        <f t="shared" si="51"/>
        <v>00</v>
      </c>
      <c r="E163" t="s">
        <v>133</v>
      </c>
      <c r="F163" s="139" t="s">
        <v>166</v>
      </c>
      <c r="G163" t="s">
        <v>167</v>
      </c>
      <c r="H163" s="156">
        <v>7000</v>
      </c>
      <c r="I163" s="156">
        <v>11905.34</v>
      </c>
      <c r="J163" s="156">
        <v>7000</v>
      </c>
      <c r="K163" s="156">
        <v>7425.99</v>
      </c>
      <c r="L163" s="156">
        <v>7000</v>
      </c>
      <c r="M163" s="156">
        <v>8674.4500000000007</v>
      </c>
      <c r="N163" s="156">
        <v>10500</v>
      </c>
      <c r="O163" s="156">
        <v>15000</v>
      </c>
      <c r="P163" s="156">
        <v>15000</v>
      </c>
      <c r="Q163" s="156">
        <v>15000</v>
      </c>
      <c r="R163" s="156">
        <v>10500</v>
      </c>
      <c r="S163" s="156">
        <f t="shared" si="52"/>
        <v>4500</v>
      </c>
      <c r="T163" s="156">
        <f t="shared" si="53"/>
        <v>4500</v>
      </c>
      <c r="U163" s="140">
        <f t="shared" si="54"/>
        <v>0.42857142857142855</v>
      </c>
      <c r="V163" s="140">
        <f t="shared" si="55"/>
        <v>0.70076285714285713</v>
      </c>
      <c r="W163" s="140">
        <f t="shared" si="56"/>
        <v>6.0855714285714256E-2</v>
      </c>
      <c r="X163" s="140">
        <f t="shared" si="57"/>
        <v>0.23920714285714295</v>
      </c>
      <c r="Y163" s="140">
        <f t="shared" si="58"/>
        <v>0</v>
      </c>
      <c r="Z163" s="140">
        <f t="shared" si="59"/>
        <v>-0.37624712943939442</v>
      </c>
      <c r="AA163" s="140">
        <f t="shared" si="60"/>
        <v>0</v>
      </c>
      <c r="AB163" s="140">
        <f t="shared" si="61"/>
        <v>0.16812034489677483</v>
      </c>
      <c r="AC163" s="140">
        <f t="shared" si="62"/>
        <v>0.5</v>
      </c>
      <c r="AD163" s="140">
        <f t="shared" si="63"/>
        <v>0.5</v>
      </c>
      <c r="AE163" s="140">
        <f t="shared" si="64"/>
        <v>0.42857142857142855</v>
      </c>
      <c r="AF163" s="140">
        <f t="shared" si="65"/>
        <v>0.42857142857142855</v>
      </c>
      <c r="AG163" s="140">
        <f t="shared" si="66"/>
        <v>0.42857142857142855</v>
      </c>
      <c r="AH163" s="140">
        <f t="shared" si="67"/>
        <v>0</v>
      </c>
      <c r="AI163" s="140">
        <f t="shared" si="68"/>
        <v>1.1428571428571428</v>
      </c>
      <c r="AJ163" s="140">
        <f t="shared" si="69"/>
        <v>1.1428571428571428</v>
      </c>
      <c r="AK163" s="140">
        <f t="shared" si="70"/>
        <v>1.1428571428571428</v>
      </c>
      <c r="AL163" s="140">
        <f t="shared" si="71"/>
        <v>0.5</v>
      </c>
      <c r="AM163" t="str">
        <f t="shared" si="72"/>
        <v>4491-000: Town common exp Services</v>
      </c>
      <c r="AN163" s="140">
        <f t="shared" si="73"/>
        <v>0.16666666666666666</v>
      </c>
      <c r="AO163" s="140">
        <f t="shared" si="74"/>
        <v>0.26190476190476186</v>
      </c>
      <c r="AP163" s="1">
        <f>IF(AND(AO163&gt;0, _xlfn.XLOOKUP($AM163, Discretionaries!$A$2:'Discretionaries'!$A$150, Discretionaries!$B$2:'Discretionaries'!$B$150)), (1+AN163)*$N163, "")</f>
        <v>12250</v>
      </c>
      <c r="AQ163" s="1">
        <f>IF(AND(AO163&gt;0, _xlfn.XLOOKUP($AM163, Discretionaries!$A$2:'Discretionaries'!$A$150, Discretionaries!$B$2:'Discretionaries'!$B$150)),AP163-$Q163,"")</f>
        <v>-2750</v>
      </c>
      <c r="AR163" s="140">
        <f>IF(AG163="", 0-CPI!$B$15, AG163-CPI!$B$15)</f>
        <v>0.38957142857142857</v>
      </c>
      <c r="AS163" s="1">
        <f>IF(AND(AR163&gt;0, _xlfn.XLOOKUP($AM163, Discretionaries!$A$2:'Discretionaries'!$A$150, Discretionaries!$B$2:'Discretionaries'!$B$150)), (1+CPI!$B$15)*$N163, "")</f>
        <v>10909.5</v>
      </c>
      <c r="AT163" s="1">
        <f>IF(AND(AR163&gt;0, _xlfn.XLOOKUP($AM163, Discretionaries!$A$2:'Discretionaries'!$A$150, Discretionaries!$B$2:'Discretionaries'!$B$150)),AS163-$Q163,"")</f>
        <v>-4090.5</v>
      </c>
    </row>
    <row r="164" spans="1:46" x14ac:dyDescent="0.3">
      <c r="A164" t="s">
        <v>420</v>
      </c>
      <c r="B164" t="str">
        <f t="shared" si="50"/>
        <v>15</v>
      </c>
      <c r="C164" t="s">
        <v>408</v>
      </c>
      <c r="D164" t="str">
        <f t="shared" si="51"/>
        <v>00</v>
      </c>
      <c r="E164" t="s">
        <v>30</v>
      </c>
      <c r="F164" s="139" t="s">
        <v>31</v>
      </c>
      <c r="G164" t="s">
        <v>32</v>
      </c>
      <c r="H164" s="156">
        <v>7500</v>
      </c>
      <c r="I164" s="156">
        <v>13492.75</v>
      </c>
      <c r="J164" s="156">
        <v>7500</v>
      </c>
      <c r="K164" s="156">
        <v>13036.73</v>
      </c>
      <c r="L164" s="156">
        <v>7500</v>
      </c>
      <c r="M164" s="156">
        <v>8554.49</v>
      </c>
      <c r="N164" s="156">
        <v>7500</v>
      </c>
      <c r="O164" s="156">
        <v>8500</v>
      </c>
      <c r="P164" s="156">
        <v>8500</v>
      </c>
      <c r="Q164" s="156">
        <v>8500</v>
      </c>
      <c r="R164" s="156">
        <v>7500</v>
      </c>
      <c r="S164" s="156">
        <f t="shared" si="52"/>
        <v>1000</v>
      </c>
      <c r="T164" s="156">
        <f t="shared" si="53"/>
        <v>1000</v>
      </c>
      <c r="U164" s="140">
        <f t="shared" si="54"/>
        <v>0.13333333333333333</v>
      </c>
      <c r="V164" s="140">
        <f t="shared" si="55"/>
        <v>0.79903333333333337</v>
      </c>
      <c r="W164" s="140">
        <f t="shared" si="56"/>
        <v>0.73823066666666659</v>
      </c>
      <c r="X164" s="140">
        <f t="shared" si="57"/>
        <v>0.14059866666666665</v>
      </c>
      <c r="Y164" s="140">
        <f t="shared" si="58"/>
        <v>0</v>
      </c>
      <c r="Z164" s="140">
        <f t="shared" si="59"/>
        <v>-3.3797409720034866E-2</v>
      </c>
      <c r="AA164" s="140">
        <f t="shared" si="60"/>
        <v>0</v>
      </c>
      <c r="AB164" s="140">
        <f t="shared" si="61"/>
        <v>-0.34381627908225454</v>
      </c>
      <c r="AC164" s="140">
        <f t="shared" si="62"/>
        <v>0</v>
      </c>
      <c r="AD164" s="140">
        <f t="shared" si="63"/>
        <v>0</v>
      </c>
      <c r="AE164" s="140">
        <f t="shared" si="64"/>
        <v>0.13333333333333333</v>
      </c>
      <c r="AF164" s="140">
        <f t="shared" si="65"/>
        <v>0.13333333333333333</v>
      </c>
      <c r="AG164" s="140">
        <f t="shared" si="66"/>
        <v>0.13333333333333333</v>
      </c>
      <c r="AH164" s="140">
        <f t="shared" si="67"/>
        <v>0</v>
      </c>
      <c r="AI164" s="140">
        <f t="shared" si="68"/>
        <v>0.13333333333333333</v>
      </c>
      <c r="AJ164" s="140">
        <f t="shared" si="69"/>
        <v>0.13333333333333333</v>
      </c>
      <c r="AK164" s="140">
        <f t="shared" si="70"/>
        <v>0.13333333333333333</v>
      </c>
      <c r="AL164" s="140">
        <f t="shared" si="71"/>
        <v>0</v>
      </c>
      <c r="AM164" t="str">
        <f t="shared" si="72"/>
        <v>4610-000: General expenses Supplies</v>
      </c>
      <c r="AN164" s="140">
        <f t="shared" si="73"/>
        <v>0</v>
      </c>
      <c r="AO164" s="140">
        <f t="shared" si="74"/>
        <v>0.13333333333333333</v>
      </c>
      <c r="AP164" s="1">
        <f>IF(AND(AO164&gt;0, _xlfn.XLOOKUP($AM164, Discretionaries!$A$2:'Discretionaries'!$A$150, Discretionaries!$B$2:'Discretionaries'!$B$150)), (1+AN164)*$N164, "")</f>
        <v>7500</v>
      </c>
      <c r="AQ164" s="1">
        <f>IF(AND(AO164&gt;0, _xlfn.XLOOKUP($AM164, Discretionaries!$A$2:'Discretionaries'!$A$150, Discretionaries!$B$2:'Discretionaries'!$B$150)),AP164-$Q164,"")</f>
        <v>-1000</v>
      </c>
      <c r="AR164" s="140">
        <f>IF(AG164="", 0-CPI!$B$15, AG164-CPI!$B$15)</f>
        <v>9.4333333333333338E-2</v>
      </c>
      <c r="AS164" s="1">
        <f>IF(AND(AR164&gt;0, _xlfn.XLOOKUP($AM164, Discretionaries!$A$2:'Discretionaries'!$A$150, Discretionaries!$B$2:'Discretionaries'!$B$150)), (1+CPI!$B$15)*$N164, "")</f>
        <v>7792.4999999999991</v>
      </c>
      <c r="AT164" s="1">
        <f>IF(AND(AR164&gt;0, _xlfn.XLOOKUP($AM164, Discretionaries!$A$2:'Discretionaries'!$A$150, Discretionaries!$B$2:'Discretionaries'!$B$150)),AS164-$Q164,"")</f>
        <v>-707.50000000000091</v>
      </c>
    </row>
    <row r="165" spans="1:46" x14ac:dyDescent="0.3">
      <c r="A165" t="s">
        <v>420</v>
      </c>
      <c r="B165" t="str">
        <f t="shared" si="50"/>
        <v>15</v>
      </c>
      <c r="C165" t="s">
        <v>408</v>
      </c>
      <c r="D165" t="str">
        <f t="shared" si="51"/>
        <v>00</v>
      </c>
      <c r="E165" t="s">
        <v>30</v>
      </c>
      <c r="F165" s="139" t="s">
        <v>137</v>
      </c>
      <c r="G165" t="s">
        <v>138</v>
      </c>
      <c r="H165" s="156">
        <v>40000</v>
      </c>
      <c r="I165" s="156">
        <v>42776.639999999999</v>
      </c>
      <c r="J165" s="156">
        <v>41500</v>
      </c>
      <c r="K165" s="156">
        <v>44091.22</v>
      </c>
      <c r="L165" s="156">
        <v>41500</v>
      </c>
      <c r="M165" s="156">
        <v>90471</v>
      </c>
      <c r="N165" s="156">
        <v>41525</v>
      </c>
      <c r="O165" s="156">
        <v>42000</v>
      </c>
      <c r="P165" s="156">
        <v>42000</v>
      </c>
      <c r="Q165" s="156">
        <v>42000</v>
      </c>
      <c r="R165" s="156">
        <v>41525</v>
      </c>
      <c r="S165" s="156">
        <f t="shared" si="52"/>
        <v>475</v>
      </c>
      <c r="T165" s="156">
        <f t="shared" si="53"/>
        <v>475</v>
      </c>
      <c r="U165" s="140">
        <f t="shared" si="54"/>
        <v>1.1438892233594221E-2</v>
      </c>
      <c r="V165" s="140">
        <f t="shared" si="55"/>
        <v>6.9415999999999992E-2</v>
      </c>
      <c r="W165" s="140">
        <f t="shared" si="56"/>
        <v>6.2439036144578339E-2</v>
      </c>
      <c r="X165" s="140">
        <f t="shared" si="57"/>
        <v>1.1800240963855422</v>
      </c>
      <c r="Y165" s="140">
        <f t="shared" si="58"/>
        <v>3.7499999999999999E-2</v>
      </c>
      <c r="Z165" s="140">
        <f t="shared" si="59"/>
        <v>3.073125893010769E-2</v>
      </c>
      <c r="AA165" s="140">
        <f t="shared" si="60"/>
        <v>0</v>
      </c>
      <c r="AB165" s="140">
        <f t="shared" si="61"/>
        <v>1.0519051185247312</v>
      </c>
      <c r="AC165" s="140">
        <f t="shared" si="62"/>
        <v>6.0240963855421692E-4</v>
      </c>
      <c r="AD165" s="140">
        <f t="shared" si="63"/>
        <v>3.8124999999999999E-2</v>
      </c>
      <c r="AE165" s="140">
        <f t="shared" si="64"/>
        <v>1.1438892233594221E-2</v>
      </c>
      <c r="AF165" s="140">
        <f t="shared" si="65"/>
        <v>1.1438892233594221E-2</v>
      </c>
      <c r="AG165" s="140">
        <f t="shared" si="66"/>
        <v>1.1438892233594221E-2</v>
      </c>
      <c r="AH165" s="140">
        <f t="shared" si="67"/>
        <v>0</v>
      </c>
      <c r="AI165" s="140">
        <f t="shared" si="68"/>
        <v>0.05</v>
      </c>
      <c r="AJ165" s="140">
        <f t="shared" si="69"/>
        <v>0.05</v>
      </c>
      <c r="AK165" s="140">
        <f t="shared" si="70"/>
        <v>0.05</v>
      </c>
      <c r="AL165" s="140">
        <f t="shared" si="71"/>
        <v>3.8124999999999999E-2</v>
      </c>
      <c r="AM165" t="str">
        <f t="shared" si="72"/>
        <v>4630-000: Maint &amp; repairs Supplies</v>
      </c>
      <c r="AN165" s="140">
        <f t="shared" si="73"/>
        <v>1.2700803212851405E-2</v>
      </c>
      <c r="AO165" s="140">
        <f t="shared" si="74"/>
        <v>-1.2619109792571838E-3</v>
      </c>
      <c r="AP165" s="1" t="str">
        <f>IF(AND(AO165&gt;0, _xlfn.XLOOKUP($AM165, Discretionaries!$A$2:'Discretionaries'!$A$150, Discretionaries!$B$2:'Discretionaries'!$B$150)), (1+AN165)*$N165, "")</f>
        <v/>
      </c>
      <c r="AQ165" s="1" t="str">
        <f>IF(AND(AO165&gt;0, _xlfn.XLOOKUP($AM165, Discretionaries!$A$2:'Discretionaries'!$A$150, Discretionaries!$B$2:'Discretionaries'!$B$150)),AP165-$Q165,"")</f>
        <v/>
      </c>
      <c r="AR165" s="140">
        <f>IF(AG165="", 0-CPI!$B$15, AG165-CPI!$B$15)</f>
        <v>-2.7561107766405774E-2</v>
      </c>
      <c r="AS165" s="1" t="str">
        <f>IF(AND(AR165&gt;0, _xlfn.XLOOKUP($AM165, Discretionaries!$A$2:'Discretionaries'!$A$150, Discretionaries!$B$2:'Discretionaries'!$B$150)), (1+CPI!$B$15)*$N165, "")</f>
        <v/>
      </c>
      <c r="AT165" s="1" t="str">
        <f>IF(AND(AR165&gt;0, _xlfn.XLOOKUP($AM165, Discretionaries!$A$2:'Discretionaries'!$A$150, Discretionaries!$B$2:'Discretionaries'!$B$150)),AS165-$Q165,"")</f>
        <v/>
      </c>
    </row>
    <row r="166" spans="1:46" x14ac:dyDescent="0.3">
      <c r="A166" t="s">
        <v>420</v>
      </c>
      <c r="B166" t="str">
        <f t="shared" si="50"/>
        <v>15</v>
      </c>
      <c r="C166" t="s">
        <v>408</v>
      </c>
      <c r="D166" t="str">
        <f t="shared" si="51"/>
        <v>00</v>
      </c>
      <c r="E166" t="s">
        <v>30</v>
      </c>
      <c r="F166" s="139" t="s">
        <v>168</v>
      </c>
      <c r="G166" t="s">
        <v>169</v>
      </c>
      <c r="H166" s="156">
        <v>200790</v>
      </c>
      <c r="I166" s="156">
        <v>263148.67</v>
      </c>
      <c r="J166" s="156">
        <v>200790</v>
      </c>
      <c r="K166" s="156">
        <v>232946.74</v>
      </c>
      <c r="L166" s="156">
        <v>200790</v>
      </c>
      <c r="M166" s="156">
        <v>201736.76</v>
      </c>
      <c r="N166" s="156">
        <v>244000</v>
      </c>
      <c r="O166" s="156">
        <v>244000</v>
      </c>
      <c r="P166" s="156">
        <v>244000</v>
      </c>
      <c r="Q166" s="156">
        <v>244000</v>
      </c>
      <c r="R166" s="156">
        <v>244000</v>
      </c>
      <c r="S166" s="156">
        <f t="shared" si="52"/>
        <v>0</v>
      </c>
      <c r="T166" s="156">
        <f t="shared" si="53"/>
        <v>0</v>
      </c>
      <c r="U166" s="140">
        <f t="shared" si="54"/>
        <v>0</v>
      </c>
      <c r="V166" s="140">
        <f t="shared" si="55"/>
        <v>0.31056661188306184</v>
      </c>
      <c r="W166" s="140">
        <f t="shared" si="56"/>
        <v>0.16015110314258674</v>
      </c>
      <c r="X166" s="140">
        <f t="shared" si="57"/>
        <v>4.7151750585188966E-3</v>
      </c>
      <c r="Y166" s="140">
        <f t="shared" si="58"/>
        <v>0</v>
      </c>
      <c r="Z166" s="140">
        <f t="shared" si="59"/>
        <v>-0.1147713571951551</v>
      </c>
      <c r="AA166" s="140">
        <f t="shared" si="60"/>
        <v>0</v>
      </c>
      <c r="AB166" s="140">
        <f t="shared" si="61"/>
        <v>-0.13397903744006026</v>
      </c>
      <c r="AC166" s="140">
        <f t="shared" si="62"/>
        <v>0.21519996015737836</v>
      </c>
      <c r="AD166" s="140">
        <f t="shared" si="63"/>
        <v>0.21519996015737836</v>
      </c>
      <c r="AE166" s="140">
        <f t="shared" si="64"/>
        <v>0</v>
      </c>
      <c r="AF166" s="140">
        <f t="shared" si="65"/>
        <v>0</v>
      </c>
      <c r="AG166" s="140">
        <f t="shared" si="66"/>
        <v>0</v>
      </c>
      <c r="AH166" s="140">
        <f t="shared" si="67"/>
        <v>0</v>
      </c>
      <c r="AI166" s="140">
        <f t="shared" si="68"/>
        <v>0.21519996015737836</v>
      </c>
      <c r="AJ166" s="140">
        <f t="shared" si="69"/>
        <v>0.21519996015737836</v>
      </c>
      <c r="AK166" s="140">
        <f t="shared" si="70"/>
        <v>0.21519996015737836</v>
      </c>
      <c r="AL166" s="140">
        <f t="shared" si="71"/>
        <v>0.21519996015737836</v>
      </c>
      <c r="AM166" t="str">
        <f t="shared" si="72"/>
        <v>4635-000: Gasoline Supplies</v>
      </c>
      <c r="AN166" s="140">
        <f t="shared" si="73"/>
        <v>7.1733320052459457E-2</v>
      </c>
      <c r="AO166" s="140">
        <f t="shared" si="74"/>
        <v>-7.1733320052459457E-2</v>
      </c>
      <c r="AP166" s="1" t="str">
        <f>IF(AND(AO166&gt;0, _xlfn.XLOOKUP($AM166, Discretionaries!$A$2:'Discretionaries'!$A$150, Discretionaries!$B$2:'Discretionaries'!$B$150)), (1+AN166)*$N166, "")</f>
        <v/>
      </c>
      <c r="AQ166" s="1" t="str">
        <f>IF(AND(AO166&gt;0, _xlfn.XLOOKUP($AM166, Discretionaries!$A$2:'Discretionaries'!$A$150, Discretionaries!$B$2:'Discretionaries'!$B$150)),AP166-$Q166,"")</f>
        <v/>
      </c>
      <c r="AR166" s="140">
        <f>IF(AG166="", 0-CPI!$B$15, AG166-CPI!$B$15)</f>
        <v>-3.8999999999999993E-2</v>
      </c>
      <c r="AS166" s="1" t="str">
        <f>IF(AND(AR166&gt;0, _xlfn.XLOOKUP($AM166, Discretionaries!$A$2:'Discretionaries'!$A$150, Discretionaries!$B$2:'Discretionaries'!$B$150)), (1+CPI!$B$15)*$N166, "")</f>
        <v/>
      </c>
      <c r="AT166" s="1" t="str">
        <f>IF(AND(AR166&gt;0, _xlfn.XLOOKUP($AM166, Discretionaries!$A$2:'Discretionaries'!$A$150, Discretionaries!$B$2:'Discretionaries'!$B$150)),AS166-$Q166,"")</f>
        <v/>
      </c>
    </row>
    <row r="167" spans="1:46" x14ac:dyDescent="0.3">
      <c r="A167" t="s">
        <v>420</v>
      </c>
      <c r="B167" t="str">
        <f t="shared" si="50"/>
        <v>15</v>
      </c>
      <c r="C167" t="s">
        <v>408</v>
      </c>
      <c r="D167" t="str">
        <f t="shared" si="51"/>
        <v>00</v>
      </c>
      <c r="E167" t="s">
        <v>30</v>
      </c>
      <c r="F167" s="139" t="s">
        <v>170</v>
      </c>
      <c r="G167" t="s">
        <v>171</v>
      </c>
      <c r="H167" s="156">
        <v>3400</v>
      </c>
      <c r="I167" s="156">
        <v>10210.17</v>
      </c>
      <c r="J167" s="156">
        <v>3400</v>
      </c>
      <c r="K167" s="156">
        <v>1581.48</v>
      </c>
      <c r="L167" s="156">
        <v>4000</v>
      </c>
      <c r="M167" s="156">
        <v>1581.05</v>
      </c>
      <c r="N167" s="156">
        <v>4000</v>
      </c>
      <c r="O167" s="156">
        <v>4000</v>
      </c>
      <c r="P167" s="156">
        <v>4000</v>
      </c>
      <c r="Q167" s="156">
        <v>4000</v>
      </c>
      <c r="R167" s="156">
        <v>4000</v>
      </c>
      <c r="S167" s="156">
        <f t="shared" si="52"/>
        <v>0</v>
      </c>
      <c r="T167" s="156">
        <f t="shared" si="53"/>
        <v>0</v>
      </c>
      <c r="U167" s="140">
        <f t="shared" si="54"/>
        <v>0</v>
      </c>
      <c r="V167" s="140">
        <f t="shared" si="55"/>
        <v>2.0029911764705881</v>
      </c>
      <c r="W167" s="140">
        <f t="shared" si="56"/>
        <v>-0.53485882352941172</v>
      </c>
      <c r="X167" s="140">
        <f t="shared" si="57"/>
        <v>-0.60473749999999993</v>
      </c>
      <c r="Y167" s="140">
        <f t="shared" si="58"/>
        <v>0</v>
      </c>
      <c r="Z167" s="140">
        <f t="shared" si="59"/>
        <v>-0.84510737823170434</v>
      </c>
      <c r="AA167" s="140">
        <f t="shared" si="60"/>
        <v>0.17647058823529413</v>
      </c>
      <c r="AB167" s="140">
        <f t="shared" si="61"/>
        <v>-2.718972102081997E-4</v>
      </c>
      <c r="AC167" s="140">
        <f t="shared" si="62"/>
        <v>0</v>
      </c>
      <c r="AD167" s="140">
        <f t="shared" si="63"/>
        <v>0.17647058823529413</v>
      </c>
      <c r="AE167" s="140">
        <f t="shared" si="64"/>
        <v>0</v>
      </c>
      <c r="AF167" s="140">
        <f t="shared" si="65"/>
        <v>0</v>
      </c>
      <c r="AG167" s="140">
        <f t="shared" si="66"/>
        <v>0</v>
      </c>
      <c r="AH167" s="140">
        <f t="shared" si="67"/>
        <v>0</v>
      </c>
      <c r="AI167" s="140">
        <f t="shared" si="68"/>
        <v>0.17647058823529413</v>
      </c>
      <c r="AJ167" s="140">
        <f t="shared" si="69"/>
        <v>0.17647058823529413</v>
      </c>
      <c r="AK167" s="140">
        <f t="shared" si="70"/>
        <v>0.17647058823529413</v>
      </c>
      <c r="AL167" s="140">
        <f t="shared" si="71"/>
        <v>0.17647058823529413</v>
      </c>
      <c r="AM167" t="str">
        <f t="shared" si="72"/>
        <v>4660-000: Vehicle repairs Supplies</v>
      </c>
      <c r="AN167" s="140">
        <f t="shared" si="73"/>
        <v>5.8823529411764712E-2</v>
      </c>
      <c r="AO167" s="140">
        <f t="shared" si="74"/>
        <v>-5.8823529411764712E-2</v>
      </c>
      <c r="AP167" s="1" t="str">
        <f>IF(AND(AO167&gt;0, _xlfn.XLOOKUP($AM167, Discretionaries!$A$2:'Discretionaries'!$A$150, Discretionaries!$B$2:'Discretionaries'!$B$150)), (1+AN167)*$N167, "")</f>
        <v/>
      </c>
      <c r="AQ167" s="1" t="str">
        <f>IF(AND(AO167&gt;0, _xlfn.XLOOKUP($AM167, Discretionaries!$A$2:'Discretionaries'!$A$150, Discretionaries!$B$2:'Discretionaries'!$B$150)),AP167-$Q167,"")</f>
        <v/>
      </c>
      <c r="AR167" s="140">
        <f>IF(AG167="", 0-CPI!$B$15, AG167-CPI!$B$15)</f>
        <v>-3.8999999999999993E-2</v>
      </c>
      <c r="AS167" s="1" t="str">
        <f>IF(AND(AR167&gt;0, _xlfn.XLOOKUP($AM167, Discretionaries!$A$2:'Discretionaries'!$A$150, Discretionaries!$B$2:'Discretionaries'!$B$150)), (1+CPI!$B$15)*$N167, "")</f>
        <v/>
      </c>
      <c r="AT167" s="1" t="str">
        <f>IF(AND(AR167&gt;0, _xlfn.XLOOKUP($AM167, Discretionaries!$A$2:'Discretionaries'!$A$150, Discretionaries!$B$2:'Discretionaries'!$B$150)),AS167-$Q167,"")</f>
        <v/>
      </c>
    </row>
    <row r="168" spans="1:46" x14ac:dyDescent="0.3">
      <c r="A168" t="s">
        <v>420</v>
      </c>
      <c r="B168" t="str">
        <f t="shared" si="50"/>
        <v>15</v>
      </c>
      <c r="C168" t="s">
        <v>408</v>
      </c>
      <c r="D168" t="str">
        <f t="shared" si="51"/>
        <v>00</v>
      </c>
      <c r="E168" t="s">
        <v>54</v>
      </c>
      <c r="F168" s="139" t="s">
        <v>55</v>
      </c>
      <c r="G168" t="s">
        <v>56</v>
      </c>
      <c r="H168" s="156">
        <v>0</v>
      </c>
      <c r="I168" s="156">
        <v>0</v>
      </c>
      <c r="J168" s="156">
        <v>2600</v>
      </c>
      <c r="K168" s="156">
        <v>6597.05</v>
      </c>
      <c r="L168" s="156">
        <v>2600</v>
      </c>
      <c r="M168" s="156">
        <v>3596.13</v>
      </c>
      <c r="N168" s="156">
        <v>4775</v>
      </c>
      <c r="O168" s="156">
        <v>5000</v>
      </c>
      <c r="P168" s="156">
        <v>5000</v>
      </c>
      <c r="Q168" s="156">
        <v>5000</v>
      </c>
      <c r="R168" s="156">
        <v>4775</v>
      </c>
      <c r="S168" s="156">
        <f t="shared" si="52"/>
        <v>225</v>
      </c>
      <c r="T168" s="156">
        <f t="shared" si="53"/>
        <v>225</v>
      </c>
      <c r="U168" s="140">
        <f t="shared" si="54"/>
        <v>4.712041884816754E-2</v>
      </c>
      <c r="V168" s="140" t="str">
        <f t="shared" si="55"/>
        <v/>
      </c>
      <c r="W168" s="140">
        <f t="shared" si="56"/>
        <v>1.5373269230769231</v>
      </c>
      <c r="X168" s="140">
        <f t="shared" si="57"/>
        <v>0.38312692307692314</v>
      </c>
      <c r="Y168" s="140" t="str">
        <f t="shared" si="58"/>
        <v/>
      </c>
      <c r="Z168" s="140" t="str">
        <f t="shared" si="59"/>
        <v/>
      </c>
      <c r="AA168" s="140">
        <f t="shared" si="60"/>
        <v>0</v>
      </c>
      <c r="AB168" s="140">
        <f t="shared" si="61"/>
        <v>-0.45488816971221985</v>
      </c>
      <c r="AC168" s="140">
        <f t="shared" si="62"/>
        <v>0.83653846153846156</v>
      </c>
      <c r="AD168" s="140" t="str">
        <f t="shared" si="63"/>
        <v/>
      </c>
      <c r="AE168" s="140">
        <f t="shared" si="64"/>
        <v>4.712041884816754E-2</v>
      </c>
      <c r="AF168" s="140">
        <f t="shared" si="65"/>
        <v>4.712041884816754E-2</v>
      </c>
      <c r="AG168" s="140">
        <f t="shared" si="66"/>
        <v>4.712041884816754E-2</v>
      </c>
      <c r="AH168" s="140">
        <f t="shared" si="67"/>
        <v>0</v>
      </c>
      <c r="AI168" s="140" t="str">
        <f t="shared" si="68"/>
        <v/>
      </c>
      <c r="AJ168" s="140" t="str">
        <f t="shared" si="69"/>
        <v/>
      </c>
      <c r="AK168" s="140" t="str">
        <f t="shared" si="70"/>
        <v/>
      </c>
      <c r="AL168" s="140" t="str">
        <f t="shared" si="71"/>
        <v/>
      </c>
      <c r="AM168" t="str">
        <f t="shared" si="72"/>
        <v>4750-000: Furniture &amp; fixures Property</v>
      </c>
      <c r="AN168" s="140">
        <f t="shared" si="73"/>
        <v>0.41826923076923078</v>
      </c>
      <c r="AO168" s="140">
        <f t="shared" si="74"/>
        <v>-0.37114881192106325</v>
      </c>
      <c r="AP168" s="1" t="str">
        <f>IF(AND(AO168&gt;0, _xlfn.XLOOKUP($AM168, Discretionaries!$A$2:'Discretionaries'!$A$150, Discretionaries!$B$2:'Discretionaries'!$B$150)), (1+AN168)*$N168, "")</f>
        <v/>
      </c>
      <c r="AQ168" s="1" t="str">
        <f>IF(AND(AO168&gt;0, _xlfn.XLOOKUP($AM168, Discretionaries!$A$2:'Discretionaries'!$A$150, Discretionaries!$B$2:'Discretionaries'!$B$150)),AP168-$Q168,"")</f>
        <v/>
      </c>
      <c r="AR168" s="140">
        <f>IF(AG168="", 0-CPI!$B$15, AG168-CPI!$B$15)</f>
        <v>8.1204188481675474E-3</v>
      </c>
      <c r="AS168" s="1">
        <f>IF(AND(AR168&gt;0, _xlfn.XLOOKUP($AM168, Discretionaries!$A$2:'Discretionaries'!$A$150, Discretionaries!$B$2:'Discretionaries'!$B$150)), (1+CPI!$B$15)*$N168, "")</f>
        <v>4961.2249999999995</v>
      </c>
      <c r="AT168" s="1">
        <f>IF(AND(AR168&gt;0, _xlfn.XLOOKUP($AM168, Discretionaries!$A$2:'Discretionaries'!$A$150, Discretionaries!$B$2:'Discretionaries'!$B$150)),AS168-$Q168,"")</f>
        <v>-38.775000000000546</v>
      </c>
    </row>
    <row r="169" spans="1:46" x14ac:dyDescent="0.3">
      <c r="A169" t="s">
        <v>420</v>
      </c>
      <c r="B169" t="str">
        <f t="shared" si="50"/>
        <v>15</v>
      </c>
      <c r="C169" t="s">
        <v>408</v>
      </c>
      <c r="D169" t="str">
        <f t="shared" si="51"/>
        <v>00</v>
      </c>
      <c r="E169" t="s">
        <v>172</v>
      </c>
      <c r="F169" s="139" t="s">
        <v>173</v>
      </c>
      <c r="G169" t="s">
        <v>174</v>
      </c>
      <c r="H169" s="156">
        <v>0</v>
      </c>
      <c r="I169" s="156">
        <v>0</v>
      </c>
      <c r="J169" s="156">
        <v>0</v>
      </c>
      <c r="K169" s="156">
        <v>0</v>
      </c>
      <c r="L169" s="156">
        <v>0</v>
      </c>
      <c r="M169" s="156">
        <v>0</v>
      </c>
      <c r="N169" s="156">
        <v>0</v>
      </c>
      <c r="O169" s="156">
        <v>0</v>
      </c>
      <c r="P169" s="156">
        <v>0</v>
      </c>
      <c r="Q169" s="156">
        <v>0</v>
      </c>
      <c r="R169" s="156">
        <v>0</v>
      </c>
      <c r="S169" s="156">
        <f t="shared" si="52"/>
        <v>0</v>
      </c>
      <c r="T169" s="156">
        <f t="shared" si="53"/>
        <v>0</v>
      </c>
      <c r="U169" s="140" t="str">
        <f t="shared" si="54"/>
        <v/>
      </c>
      <c r="V169" s="140" t="str">
        <f t="shared" si="55"/>
        <v/>
      </c>
      <c r="W169" s="140" t="str">
        <f t="shared" si="56"/>
        <v/>
      </c>
      <c r="X169" s="140" t="str">
        <f t="shared" si="57"/>
        <v/>
      </c>
      <c r="Y169" s="140" t="str">
        <f t="shared" si="58"/>
        <v/>
      </c>
      <c r="Z169" s="140" t="str">
        <f t="shared" si="59"/>
        <v/>
      </c>
      <c r="AA169" s="140" t="str">
        <f t="shared" si="60"/>
        <v/>
      </c>
      <c r="AB169" s="140" t="str">
        <f t="shared" si="61"/>
        <v/>
      </c>
      <c r="AC169" s="140" t="str">
        <f t="shared" si="62"/>
        <v/>
      </c>
      <c r="AD169" s="140" t="str">
        <f t="shared" si="63"/>
        <v/>
      </c>
      <c r="AE169" s="140" t="str">
        <f t="shared" si="64"/>
        <v/>
      </c>
      <c r="AF169" s="140" t="str">
        <f t="shared" si="65"/>
        <v/>
      </c>
      <c r="AG169" s="140" t="str">
        <f t="shared" si="66"/>
        <v/>
      </c>
      <c r="AH169" s="140" t="str">
        <f t="shared" si="67"/>
        <v/>
      </c>
      <c r="AI169" s="140" t="str">
        <f t="shared" si="68"/>
        <v/>
      </c>
      <c r="AJ169" s="140" t="str">
        <f t="shared" si="69"/>
        <v/>
      </c>
      <c r="AK169" s="140" t="str">
        <f t="shared" si="70"/>
        <v/>
      </c>
      <c r="AL169" s="140" t="str">
        <f t="shared" si="71"/>
        <v/>
      </c>
      <c r="AM169" t="str">
        <f t="shared" si="72"/>
        <v>4866-000: Environ testing Other</v>
      </c>
      <c r="AN169" s="140">
        <f t="shared" si="73"/>
        <v>0</v>
      </c>
      <c r="AO169" s="140">
        <f t="shared" si="74"/>
        <v>0</v>
      </c>
      <c r="AP169" s="1" t="str">
        <f>IF(AND(AO169&gt;0, _xlfn.XLOOKUP($AM169, Discretionaries!$A$2:'Discretionaries'!$A$150, Discretionaries!$B$2:'Discretionaries'!$B$150)), (1+AN169)*$N169, "")</f>
        <v/>
      </c>
      <c r="AQ169" s="1" t="str">
        <f>IF(AND(AO169&gt;0, _xlfn.XLOOKUP($AM169, Discretionaries!$A$2:'Discretionaries'!$A$150, Discretionaries!$B$2:'Discretionaries'!$B$150)),AP169-$Q169,"")</f>
        <v/>
      </c>
      <c r="AR169" s="140">
        <f>IF(AG169="", 0-CPI!$B$15, AG169-CPI!$B$15)</f>
        <v>-3.8999999999999993E-2</v>
      </c>
      <c r="AS169" s="1" t="str">
        <f>IF(AND(AR169&gt;0, _xlfn.XLOOKUP($AM169, Discretionaries!$A$2:'Discretionaries'!$A$150, Discretionaries!$B$2:'Discretionaries'!$B$150)), (1+CPI!$B$15)*$N169, "")</f>
        <v/>
      </c>
      <c r="AT169" s="1" t="str">
        <f>IF(AND(AR169&gt;0, _xlfn.XLOOKUP($AM169, Discretionaries!$A$2:'Discretionaries'!$A$150, Discretionaries!$B$2:'Discretionaries'!$B$150)),AS169-$Q169,"")</f>
        <v/>
      </c>
    </row>
    <row r="170" spans="1:46" x14ac:dyDescent="0.3">
      <c r="A170" t="s">
        <v>420</v>
      </c>
      <c r="B170" t="str">
        <f t="shared" si="50"/>
        <v>15</v>
      </c>
      <c r="C170" t="s">
        <v>408</v>
      </c>
      <c r="D170" t="str">
        <f t="shared" si="51"/>
        <v>00</v>
      </c>
      <c r="E170" t="s">
        <v>172</v>
      </c>
      <c r="F170" s="139" t="s">
        <v>175</v>
      </c>
      <c r="G170" t="s">
        <v>176</v>
      </c>
      <c r="H170" s="156">
        <v>27188</v>
      </c>
      <c r="I170" s="156">
        <v>27187.88</v>
      </c>
      <c r="J170" s="156">
        <v>0</v>
      </c>
      <c r="K170" s="156">
        <v>0</v>
      </c>
      <c r="L170" s="156">
        <v>0</v>
      </c>
      <c r="M170" s="156">
        <v>0</v>
      </c>
      <c r="N170" s="156">
        <v>0</v>
      </c>
      <c r="O170" s="156">
        <v>0</v>
      </c>
      <c r="P170" s="156">
        <v>0</v>
      </c>
      <c r="Q170" s="156">
        <v>0</v>
      </c>
      <c r="R170" s="156">
        <v>0</v>
      </c>
      <c r="S170" s="156">
        <f t="shared" si="52"/>
        <v>0</v>
      </c>
      <c r="T170" s="156">
        <f t="shared" si="53"/>
        <v>0</v>
      </c>
      <c r="U170" s="140" t="str">
        <f t="shared" si="54"/>
        <v/>
      </c>
      <c r="V170" s="140">
        <f t="shared" si="55"/>
        <v>-4.4137119316971225E-6</v>
      </c>
      <c r="W170" s="140" t="str">
        <f t="shared" si="56"/>
        <v/>
      </c>
      <c r="X170" s="140" t="str">
        <f t="shared" si="57"/>
        <v/>
      </c>
      <c r="Y170" s="140">
        <f t="shared" si="58"/>
        <v>-1</v>
      </c>
      <c r="Z170" s="140">
        <f t="shared" si="59"/>
        <v>-1</v>
      </c>
      <c r="AA170" s="140" t="str">
        <f t="shared" si="60"/>
        <v/>
      </c>
      <c r="AB170" s="140" t="str">
        <f t="shared" si="61"/>
        <v/>
      </c>
      <c r="AC170" s="140" t="str">
        <f t="shared" si="62"/>
        <v/>
      </c>
      <c r="AD170" s="140">
        <f t="shared" si="63"/>
        <v>-1</v>
      </c>
      <c r="AE170" s="140" t="str">
        <f t="shared" si="64"/>
        <v/>
      </c>
      <c r="AF170" s="140" t="str">
        <f t="shared" si="65"/>
        <v/>
      </c>
      <c r="AG170" s="140" t="str">
        <f t="shared" si="66"/>
        <v/>
      </c>
      <c r="AH170" s="140" t="str">
        <f t="shared" si="67"/>
        <v/>
      </c>
      <c r="AI170" s="140">
        <f t="shared" si="68"/>
        <v>-1</v>
      </c>
      <c r="AJ170" s="140">
        <f t="shared" si="69"/>
        <v>-1</v>
      </c>
      <c r="AK170" s="140">
        <f t="shared" si="70"/>
        <v>-1</v>
      </c>
      <c r="AL170" s="140">
        <f t="shared" si="71"/>
        <v>-1</v>
      </c>
      <c r="AM170" t="str">
        <f t="shared" si="72"/>
        <v>4868-000: Regional trans initiative Other</v>
      </c>
      <c r="AN170" s="140">
        <f t="shared" si="73"/>
        <v>-1</v>
      </c>
      <c r="AO170" s="140">
        <f t="shared" si="74"/>
        <v>1</v>
      </c>
      <c r="AP170" s="1">
        <f>IF(AND(AO170&gt;0, _xlfn.XLOOKUP($AM170, Discretionaries!$A$2:'Discretionaries'!$A$150, Discretionaries!$B$2:'Discretionaries'!$B$150)), (1+AN170)*$N170, "")</f>
        <v>0</v>
      </c>
      <c r="AQ170" s="1">
        <f>IF(AND(AO170&gt;0, _xlfn.XLOOKUP($AM170, Discretionaries!$A$2:'Discretionaries'!$A$150, Discretionaries!$B$2:'Discretionaries'!$B$150)),AP170-$Q170,"")</f>
        <v>0</v>
      </c>
      <c r="AR170" s="140">
        <f>IF(AG170="", 0-CPI!$B$15, AG170-CPI!$B$15)</f>
        <v>-3.8999999999999993E-2</v>
      </c>
      <c r="AS170" s="1" t="str">
        <f>IF(AND(AR170&gt;0, _xlfn.XLOOKUP($AM170, Discretionaries!$A$2:'Discretionaries'!$A$150, Discretionaries!$B$2:'Discretionaries'!$B$150)), (1+CPI!$B$15)*$N170, "")</f>
        <v/>
      </c>
      <c r="AT170" s="1" t="str">
        <f>IF(AND(AR170&gt;0, _xlfn.XLOOKUP($AM170, Discretionaries!$A$2:'Discretionaries'!$A$150, Discretionaries!$B$2:'Discretionaries'!$B$150)),AS170-$Q170,"")</f>
        <v/>
      </c>
    </row>
    <row r="171" spans="1:46" x14ac:dyDescent="0.3">
      <c r="A171" t="s">
        <v>420</v>
      </c>
      <c r="B171" t="str">
        <f t="shared" si="50"/>
        <v>15</v>
      </c>
      <c r="C171" t="s">
        <v>421</v>
      </c>
      <c r="D171" t="str">
        <f t="shared" si="51"/>
        <v>42</v>
      </c>
      <c r="E171" t="s">
        <v>172</v>
      </c>
      <c r="F171" s="139" t="s">
        <v>180</v>
      </c>
      <c r="G171" t="s">
        <v>181</v>
      </c>
      <c r="H171" s="156">
        <v>10150</v>
      </c>
      <c r="I171" s="156">
        <v>10150</v>
      </c>
      <c r="J171" s="156">
        <v>10150</v>
      </c>
      <c r="K171" s="156">
        <v>10150</v>
      </c>
      <c r="L171" s="156">
        <v>10150</v>
      </c>
      <c r="M171" s="156">
        <v>10150</v>
      </c>
      <c r="N171" s="156">
        <v>10150</v>
      </c>
      <c r="O171" s="156">
        <v>10150</v>
      </c>
      <c r="P171" s="156">
        <v>10150</v>
      </c>
      <c r="Q171" s="156">
        <v>10150</v>
      </c>
      <c r="R171" s="156">
        <v>10150</v>
      </c>
      <c r="S171" s="156">
        <f t="shared" si="52"/>
        <v>0</v>
      </c>
      <c r="T171" s="156">
        <f t="shared" si="53"/>
        <v>0</v>
      </c>
      <c r="U171" s="140">
        <f t="shared" si="54"/>
        <v>0</v>
      </c>
      <c r="V171" s="140">
        <f t="shared" si="55"/>
        <v>0</v>
      </c>
      <c r="W171" s="140">
        <f t="shared" si="56"/>
        <v>0</v>
      </c>
      <c r="X171" s="140">
        <f t="shared" si="57"/>
        <v>0</v>
      </c>
      <c r="Y171" s="140">
        <f t="shared" si="58"/>
        <v>0</v>
      </c>
      <c r="Z171" s="140">
        <f t="shared" si="59"/>
        <v>0</v>
      </c>
      <c r="AA171" s="140">
        <f t="shared" si="60"/>
        <v>0</v>
      </c>
      <c r="AB171" s="140">
        <f t="shared" si="61"/>
        <v>0</v>
      </c>
      <c r="AC171" s="140">
        <f t="shared" si="62"/>
        <v>0</v>
      </c>
      <c r="AD171" s="140">
        <f t="shared" si="63"/>
        <v>0</v>
      </c>
      <c r="AE171" s="140">
        <f t="shared" si="64"/>
        <v>0</v>
      </c>
      <c r="AF171" s="140">
        <f t="shared" si="65"/>
        <v>0</v>
      </c>
      <c r="AG171" s="140">
        <f t="shared" si="66"/>
        <v>0</v>
      </c>
      <c r="AH171" s="140">
        <f t="shared" si="67"/>
        <v>0</v>
      </c>
      <c r="AI171" s="140">
        <f t="shared" si="68"/>
        <v>0</v>
      </c>
      <c r="AJ171" s="140">
        <f t="shared" si="69"/>
        <v>0</v>
      </c>
      <c r="AK171" s="140">
        <f t="shared" si="70"/>
        <v>0</v>
      </c>
      <c r="AL171" s="140">
        <f t="shared" si="71"/>
        <v>0</v>
      </c>
      <c r="AM171" t="str">
        <f t="shared" si="72"/>
        <v>4850-000: Old home day Other</v>
      </c>
      <c r="AN171" s="140">
        <f t="shared" si="73"/>
        <v>0</v>
      </c>
      <c r="AO171" s="140">
        <f t="shared" si="74"/>
        <v>0</v>
      </c>
      <c r="AP171" s="1" t="str">
        <f>IF(AND(AO171&gt;0, _xlfn.XLOOKUP($AM171, Discretionaries!$A$2:'Discretionaries'!$A$150, Discretionaries!$B$2:'Discretionaries'!$B$150)), (1+AN171)*$N171, "")</f>
        <v/>
      </c>
      <c r="AQ171" s="1" t="str">
        <f>IF(AND(AO171&gt;0, _xlfn.XLOOKUP($AM171, Discretionaries!$A$2:'Discretionaries'!$A$150, Discretionaries!$B$2:'Discretionaries'!$B$150)),AP171-$Q171,"")</f>
        <v/>
      </c>
      <c r="AR171" s="140">
        <f>IF(AG171="", 0-CPI!$B$15, AG171-CPI!$B$15)</f>
        <v>-3.8999999999999993E-2</v>
      </c>
      <c r="AS171" s="1" t="str">
        <f>IF(AND(AR171&gt;0, _xlfn.XLOOKUP($AM171, Discretionaries!$A$2:'Discretionaries'!$A$150, Discretionaries!$B$2:'Discretionaries'!$B$150)), (1+CPI!$B$15)*$N171, "")</f>
        <v/>
      </c>
      <c r="AT171" s="1" t="str">
        <f>IF(AND(AR171&gt;0, _xlfn.XLOOKUP($AM171, Discretionaries!$A$2:'Discretionaries'!$A$150, Discretionaries!$B$2:'Discretionaries'!$B$150)),AS171-$Q171,"")</f>
        <v/>
      </c>
    </row>
    <row r="172" spans="1:46" x14ac:dyDescent="0.3">
      <c r="A172" t="s">
        <v>420</v>
      </c>
      <c r="B172" t="str">
        <f t="shared" si="50"/>
        <v>15</v>
      </c>
      <c r="C172" t="s">
        <v>421</v>
      </c>
      <c r="D172" t="str">
        <f t="shared" si="51"/>
        <v>42</v>
      </c>
      <c r="E172" t="s">
        <v>172</v>
      </c>
      <c r="F172" s="139" t="s">
        <v>182</v>
      </c>
      <c r="G172" t="s">
        <v>183</v>
      </c>
      <c r="H172" s="156">
        <v>0</v>
      </c>
      <c r="I172" s="156">
        <v>0</v>
      </c>
      <c r="J172" s="156">
        <v>0</v>
      </c>
      <c r="K172" s="156">
        <v>0</v>
      </c>
      <c r="L172" s="156">
        <v>0</v>
      </c>
      <c r="M172" s="156">
        <v>0</v>
      </c>
      <c r="N172" s="156">
        <v>25000</v>
      </c>
      <c r="O172" s="156">
        <v>25000</v>
      </c>
      <c r="P172" s="156">
        <v>25000</v>
      </c>
      <c r="Q172" s="156">
        <v>25000</v>
      </c>
      <c r="R172" s="156">
        <v>25000</v>
      </c>
      <c r="S172" s="156">
        <f t="shared" si="52"/>
        <v>0</v>
      </c>
      <c r="T172" s="156">
        <f t="shared" si="53"/>
        <v>0</v>
      </c>
      <c r="U172" s="140">
        <f t="shared" si="54"/>
        <v>0</v>
      </c>
      <c r="V172" s="140" t="str">
        <f t="shared" si="55"/>
        <v/>
      </c>
      <c r="W172" s="140" t="str">
        <f t="shared" si="56"/>
        <v/>
      </c>
      <c r="X172" s="140" t="str">
        <f t="shared" si="57"/>
        <v/>
      </c>
      <c r="Y172" s="140" t="str">
        <f t="shared" si="58"/>
        <v/>
      </c>
      <c r="Z172" s="140" t="str">
        <f t="shared" si="59"/>
        <v/>
      </c>
      <c r="AA172" s="140" t="str">
        <f t="shared" si="60"/>
        <v/>
      </c>
      <c r="AB172" s="140" t="str">
        <f t="shared" si="61"/>
        <v/>
      </c>
      <c r="AC172" s="140" t="str">
        <f t="shared" si="62"/>
        <v/>
      </c>
      <c r="AD172" s="140" t="str">
        <f t="shared" si="63"/>
        <v/>
      </c>
      <c r="AE172" s="140">
        <f t="shared" si="64"/>
        <v>0</v>
      </c>
      <c r="AF172" s="140">
        <f t="shared" si="65"/>
        <v>0</v>
      </c>
      <c r="AG172" s="140">
        <f t="shared" si="66"/>
        <v>0</v>
      </c>
      <c r="AH172" s="140">
        <f t="shared" si="67"/>
        <v>0</v>
      </c>
      <c r="AI172" s="140" t="str">
        <f t="shared" si="68"/>
        <v/>
      </c>
      <c r="AJ172" s="140" t="str">
        <f t="shared" si="69"/>
        <v/>
      </c>
      <c r="AK172" s="140" t="str">
        <f t="shared" si="70"/>
        <v/>
      </c>
      <c r="AL172" s="140" t="str">
        <f t="shared" si="71"/>
        <v/>
      </c>
      <c r="AM172" t="str">
        <f t="shared" si="72"/>
        <v>4851-000: Fireworks/Anniversary Celebrations</v>
      </c>
      <c r="AN172" s="140">
        <f t="shared" si="73"/>
        <v>0</v>
      </c>
      <c r="AO172" s="140">
        <f t="shared" si="74"/>
        <v>0</v>
      </c>
      <c r="AP172" s="1" t="str">
        <f>IF(AND(AO172&gt;0, _xlfn.XLOOKUP($AM172, Discretionaries!$A$2:'Discretionaries'!$A$150, Discretionaries!$B$2:'Discretionaries'!$B$150)), (1+AN172)*$N172, "")</f>
        <v/>
      </c>
      <c r="AQ172" s="1" t="str">
        <f>IF(AND(AO172&gt;0, _xlfn.XLOOKUP($AM172, Discretionaries!$A$2:'Discretionaries'!$A$150, Discretionaries!$B$2:'Discretionaries'!$B$150)),AP172-$Q172,"")</f>
        <v/>
      </c>
      <c r="AR172" s="140">
        <f>IF(AG172="", 0-CPI!$B$15, AG172-CPI!$B$15)</f>
        <v>-3.8999999999999993E-2</v>
      </c>
      <c r="AS172" s="1" t="str">
        <f>IF(AND(AR172&gt;0, _xlfn.XLOOKUP($AM172, Discretionaries!$A$2:'Discretionaries'!$A$150, Discretionaries!$B$2:'Discretionaries'!$B$150)), (1+CPI!$B$15)*$N172, "")</f>
        <v/>
      </c>
      <c r="AT172" s="1" t="str">
        <f>IF(AND(AR172&gt;0, _xlfn.XLOOKUP($AM172, Discretionaries!$A$2:'Discretionaries'!$A$150, Discretionaries!$B$2:'Discretionaries'!$B$150)),AS172-$Q172,"")</f>
        <v/>
      </c>
    </row>
    <row r="173" spans="1:46" x14ac:dyDescent="0.3">
      <c r="A173" t="s">
        <v>420</v>
      </c>
      <c r="B173" t="str">
        <f t="shared" si="50"/>
        <v>15</v>
      </c>
      <c r="C173" t="s">
        <v>421</v>
      </c>
      <c r="D173" t="str">
        <f t="shared" si="51"/>
        <v>42</v>
      </c>
      <c r="E173" t="s">
        <v>172</v>
      </c>
      <c r="F173" s="139" t="s">
        <v>184</v>
      </c>
      <c r="G173" t="s">
        <v>185</v>
      </c>
      <c r="H173" s="156">
        <v>7500</v>
      </c>
      <c r="I173" s="156">
        <v>0</v>
      </c>
      <c r="J173" s="156">
        <v>7500</v>
      </c>
      <c r="K173" s="156">
        <v>7500</v>
      </c>
      <c r="L173" s="156">
        <v>7500</v>
      </c>
      <c r="M173" s="156">
        <v>7500</v>
      </c>
      <c r="N173" s="156">
        <v>7500</v>
      </c>
      <c r="O173" s="156">
        <v>7500</v>
      </c>
      <c r="P173" s="156">
        <v>7500</v>
      </c>
      <c r="Q173" s="156">
        <v>7500</v>
      </c>
      <c r="R173" s="156">
        <v>7500</v>
      </c>
      <c r="S173" s="156">
        <f t="shared" si="52"/>
        <v>0</v>
      </c>
      <c r="T173" s="156">
        <f t="shared" si="53"/>
        <v>0</v>
      </c>
      <c r="U173" s="140">
        <f t="shared" si="54"/>
        <v>0</v>
      </c>
      <c r="V173" s="140">
        <f t="shared" si="55"/>
        <v>-1</v>
      </c>
      <c r="W173" s="140">
        <f t="shared" si="56"/>
        <v>0</v>
      </c>
      <c r="X173" s="140">
        <f t="shared" si="57"/>
        <v>0</v>
      </c>
      <c r="Y173" s="140">
        <f t="shared" si="58"/>
        <v>0</v>
      </c>
      <c r="Z173" s="140" t="str">
        <f t="shared" si="59"/>
        <v/>
      </c>
      <c r="AA173" s="140">
        <f t="shared" si="60"/>
        <v>0</v>
      </c>
      <c r="AB173" s="140">
        <f t="shared" si="61"/>
        <v>0</v>
      </c>
      <c r="AC173" s="140">
        <f t="shared" si="62"/>
        <v>0</v>
      </c>
      <c r="AD173" s="140">
        <f t="shared" si="63"/>
        <v>0</v>
      </c>
      <c r="AE173" s="140">
        <f t="shared" si="64"/>
        <v>0</v>
      </c>
      <c r="AF173" s="140">
        <f t="shared" si="65"/>
        <v>0</v>
      </c>
      <c r="AG173" s="140">
        <f t="shared" si="66"/>
        <v>0</v>
      </c>
      <c r="AH173" s="140">
        <f t="shared" si="67"/>
        <v>0</v>
      </c>
      <c r="AI173" s="140">
        <f t="shared" si="68"/>
        <v>0</v>
      </c>
      <c r="AJ173" s="140">
        <f t="shared" si="69"/>
        <v>0</v>
      </c>
      <c r="AK173" s="140">
        <f t="shared" si="70"/>
        <v>0</v>
      </c>
      <c r="AL173" s="140">
        <f t="shared" si="71"/>
        <v>0</v>
      </c>
      <c r="AM173" t="str">
        <f t="shared" si="72"/>
        <v>4860-000: Morrison house Other</v>
      </c>
      <c r="AN173" s="140">
        <f t="shared" si="73"/>
        <v>0</v>
      </c>
      <c r="AO173" s="140">
        <f t="shared" si="74"/>
        <v>0</v>
      </c>
      <c r="AP173" s="1" t="str">
        <f>IF(AND(AO173&gt;0, _xlfn.XLOOKUP($AM173, Discretionaries!$A$2:'Discretionaries'!$A$150, Discretionaries!$B$2:'Discretionaries'!$B$150)), (1+AN173)*$N173, "")</f>
        <v/>
      </c>
      <c r="AQ173" s="1" t="str">
        <f>IF(AND(AO173&gt;0, _xlfn.XLOOKUP($AM173, Discretionaries!$A$2:'Discretionaries'!$A$150, Discretionaries!$B$2:'Discretionaries'!$B$150)),AP173-$Q173,"")</f>
        <v/>
      </c>
      <c r="AR173" s="140">
        <f>IF(AG173="", 0-CPI!$B$15, AG173-CPI!$B$15)</f>
        <v>-3.8999999999999993E-2</v>
      </c>
      <c r="AS173" s="1" t="str">
        <f>IF(AND(AR173&gt;0, _xlfn.XLOOKUP($AM173, Discretionaries!$A$2:'Discretionaries'!$A$150, Discretionaries!$B$2:'Discretionaries'!$B$150)), (1+CPI!$B$15)*$N173, "")</f>
        <v/>
      </c>
      <c r="AT173" s="1" t="str">
        <f>IF(AND(AR173&gt;0, _xlfn.XLOOKUP($AM173, Discretionaries!$A$2:'Discretionaries'!$A$150, Discretionaries!$B$2:'Discretionaries'!$B$150)),AS173-$Q173,"")</f>
        <v/>
      </c>
    </row>
    <row r="174" spans="1:46" x14ac:dyDescent="0.3">
      <c r="A174" t="s">
        <v>420</v>
      </c>
      <c r="B174" t="str">
        <f t="shared" si="50"/>
        <v>15</v>
      </c>
      <c r="C174" t="s">
        <v>421</v>
      </c>
      <c r="D174" t="str">
        <f t="shared" si="51"/>
        <v>42</v>
      </c>
      <c r="E174" t="s">
        <v>172</v>
      </c>
      <c r="F174" s="139" t="s">
        <v>186</v>
      </c>
      <c r="G174" t="s">
        <v>187</v>
      </c>
      <c r="H174" s="156">
        <v>827</v>
      </c>
      <c r="I174" s="156">
        <v>0</v>
      </c>
      <c r="J174" s="156">
        <v>827</v>
      </c>
      <c r="K174" s="156">
        <v>80</v>
      </c>
      <c r="L174" s="156">
        <v>827</v>
      </c>
      <c r="M174" s="156">
        <v>0</v>
      </c>
      <c r="N174" s="156">
        <v>827</v>
      </c>
      <c r="O174" s="156">
        <v>827</v>
      </c>
      <c r="P174" s="156">
        <v>827</v>
      </c>
      <c r="Q174" s="156">
        <v>827</v>
      </c>
      <c r="R174" s="156">
        <v>827</v>
      </c>
      <c r="S174" s="156">
        <f t="shared" si="52"/>
        <v>0</v>
      </c>
      <c r="T174" s="156">
        <f t="shared" si="53"/>
        <v>0</v>
      </c>
      <c r="U174" s="140">
        <f t="shared" si="54"/>
        <v>0</v>
      </c>
      <c r="V174" s="140">
        <f t="shared" si="55"/>
        <v>-1</v>
      </c>
      <c r="W174" s="140">
        <f t="shared" si="56"/>
        <v>-0.90326481257557434</v>
      </c>
      <c r="X174" s="140">
        <f t="shared" si="57"/>
        <v>-1</v>
      </c>
      <c r="Y174" s="140">
        <f t="shared" si="58"/>
        <v>0</v>
      </c>
      <c r="Z174" s="140" t="str">
        <f t="shared" si="59"/>
        <v/>
      </c>
      <c r="AA174" s="140">
        <f t="shared" si="60"/>
        <v>0</v>
      </c>
      <c r="AB174" s="140">
        <f t="shared" si="61"/>
        <v>-1</v>
      </c>
      <c r="AC174" s="140">
        <f t="shared" si="62"/>
        <v>0</v>
      </c>
      <c r="AD174" s="140">
        <f t="shared" si="63"/>
        <v>0</v>
      </c>
      <c r="AE174" s="140">
        <f t="shared" si="64"/>
        <v>0</v>
      </c>
      <c r="AF174" s="140">
        <f t="shared" si="65"/>
        <v>0</v>
      </c>
      <c r="AG174" s="140">
        <f t="shared" si="66"/>
        <v>0</v>
      </c>
      <c r="AH174" s="140">
        <f t="shared" si="67"/>
        <v>0</v>
      </c>
      <c r="AI174" s="140">
        <f t="shared" si="68"/>
        <v>0</v>
      </c>
      <c r="AJ174" s="140">
        <f t="shared" si="69"/>
        <v>0</v>
      </c>
      <c r="AK174" s="140">
        <f t="shared" si="70"/>
        <v>0</v>
      </c>
      <c r="AL174" s="140">
        <f t="shared" si="71"/>
        <v>0</v>
      </c>
      <c r="AM174" t="str">
        <f t="shared" si="72"/>
        <v>4861-000: Heritage comm exp Other</v>
      </c>
      <c r="AN174" s="140">
        <f t="shared" si="73"/>
        <v>0</v>
      </c>
      <c r="AO174" s="140">
        <f t="shared" si="74"/>
        <v>0</v>
      </c>
      <c r="AP174" s="1" t="str">
        <f>IF(AND(AO174&gt;0, _xlfn.XLOOKUP($AM174, Discretionaries!$A$2:'Discretionaries'!$A$150, Discretionaries!$B$2:'Discretionaries'!$B$150)), (1+AN174)*$N174, "")</f>
        <v/>
      </c>
      <c r="AQ174" s="1" t="str">
        <f>IF(AND(AO174&gt;0, _xlfn.XLOOKUP($AM174, Discretionaries!$A$2:'Discretionaries'!$A$150, Discretionaries!$B$2:'Discretionaries'!$B$150)),AP174-$Q174,"")</f>
        <v/>
      </c>
      <c r="AR174" s="140">
        <f>IF(AG174="", 0-CPI!$B$15, AG174-CPI!$B$15)</f>
        <v>-3.8999999999999993E-2</v>
      </c>
      <c r="AS174" s="1" t="str">
        <f>IF(AND(AR174&gt;0, _xlfn.XLOOKUP($AM174, Discretionaries!$A$2:'Discretionaries'!$A$150, Discretionaries!$B$2:'Discretionaries'!$B$150)), (1+CPI!$B$15)*$N174, "")</f>
        <v/>
      </c>
      <c r="AT174" s="1" t="str">
        <f>IF(AND(AR174&gt;0, _xlfn.XLOOKUP($AM174, Discretionaries!$A$2:'Discretionaries'!$A$150, Discretionaries!$B$2:'Discretionaries'!$B$150)),AS174-$Q174,"")</f>
        <v/>
      </c>
    </row>
    <row r="175" spans="1:46" x14ac:dyDescent="0.3">
      <c r="A175" t="s">
        <v>420</v>
      </c>
      <c r="B175" t="str">
        <f t="shared" si="50"/>
        <v>15</v>
      </c>
      <c r="C175" t="s">
        <v>421</v>
      </c>
      <c r="D175" t="str">
        <f t="shared" si="51"/>
        <v>42</v>
      </c>
      <c r="E175" t="s">
        <v>172</v>
      </c>
      <c r="F175" s="139" t="s">
        <v>188</v>
      </c>
      <c r="G175" t="s">
        <v>189</v>
      </c>
      <c r="H175" s="156">
        <v>10000</v>
      </c>
      <c r="I175" s="156">
        <v>10000</v>
      </c>
      <c r="J175" s="156">
        <v>10000</v>
      </c>
      <c r="K175" s="156">
        <v>10000</v>
      </c>
      <c r="L175" s="156">
        <v>10000</v>
      </c>
      <c r="M175" s="156">
        <v>10000</v>
      </c>
      <c r="N175" s="156">
        <v>10000</v>
      </c>
      <c r="O175" s="156">
        <v>17000</v>
      </c>
      <c r="P175" s="156">
        <v>17000</v>
      </c>
      <c r="Q175" s="156">
        <v>17000</v>
      </c>
      <c r="R175" s="156">
        <v>10000</v>
      </c>
      <c r="S175" s="156">
        <f t="shared" si="52"/>
        <v>7000</v>
      </c>
      <c r="T175" s="156">
        <f t="shared" si="53"/>
        <v>7000</v>
      </c>
      <c r="U175" s="140">
        <f t="shared" si="54"/>
        <v>0.7</v>
      </c>
      <c r="V175" s="140">
        <f t="shared" si="55"/>
        <v>0</v>
      </c>
      <c r="W175" s="140">
        <f t="shared" si="56"/>
        <v>0</v>
      </c>
      <c r="X175" s="140">
        <f t="shared" si="57"/>
        <v>0</v>
      </c>
      <c r="Y175" s="140">
        <f t="shared" si="58"/>
        <v>0</v>
      </c>
      <c r="Z175" s="140">
        <f t="shared" si="59"/>
        <v>0</v>
      </c>
      <c r="AA175" s="140">
        <f t="shared" si="60"/>
        <v>0</v>
      </c>
      <c r="AB175" s="140">
        <f t="shared" si="61"/>
        <v>0</v>
      </c>
      <c r="AC175" s="140">
        <f t="shared" si="62"/>
        <v>0</v>
      </c>
      <c r="AD175" s="140">
        <f t="shared" si="63"/>
        <v>0</v>
      </c>
      <c r="AE175" s="140">
        <f t="shared" si="64"/>
        <v>0.7</v>
      </c>
      <c r="AF175" s="140">
        <f t="shared" si="65"/>
        <v>0.7</v>
      </c>
      <c r="AG175" s="140">
        <f t="shared" si="66"/>
        <v>0.7</v>
      </c>
      <c r="AH175" s="140">
        <f t="shared" si="67"/>
        <v>0</v>
      </c>
      <c r="AI175" s="140">
        <f t="shared" si="68"/>
        <v>0.7</v>
      </c>
      <c r="AJ175" s="140">
        <f t="shared" si="69"/>
        <v>0.7</v>
      </c>
      <c r="AK175" s="140">
        <f t="shared" si="70"/>
        <v>0.7</v>
      </c>
      <c r="AL175" s="140">
        <f t="shared" si="71"/>
        <v>0</v>
      </c>
      <c r="AM175" t="str">
        <f t="shared" si="72"/>
        <v>4864-000: Cultural affairs cmte Other</v>
      </c>
      <c r="AN175" s="140">
        <f t="shared" si="73"/>
        <v>0</v>
      </c>
      <c r="AO175" s="140">
        <f t="shared" si="74"/>
        <v>0.7</v>
      </c>
      <c r="AP175" s="1">
        <f>IF(AND(AO175&gt;0, _xlfn.XLOOKUP($AM175, Discretionaries!$A$2:'Discretionaries'!$A$150, Discretionaries!$B$2:'Discretionaries'!$B$150)), (1+AN175)*$N175, "")</f>
        <v>10000</v>
      </c>
      <c r="AQ175" s="1">
        <f>IF(AND(AO175&gt;0, _xlfn.XLOOKUP($AM175, Discretionaries!$A$2:'Discretionaries'!$A$150, Discretionaries!$B$2:'Discretionaries'!$B$150)),AP175-$Q175,"")</f>
        <v>-7000</v>
      </c>
      <c r="AR175" s="140">
        <f>IF(AG175="", 0-CPI!$B$15, AG175-CPI!$B$15)</f>
        <v>0.66099999999999992</v>
      </c>
      <c r="AS175" s="1">
        <f>IF(AND(AR175&gt;0, _xlfn.XLOOKUP($AM175, Discretionaries!$A$2:'Discretionaries'!$A$150, Discretionaries!$B$2:'Discretionaries'!$B$150)), (1+CPI!$B$15)*$N175, "")</f>
        <v>10390</v>
      </c>
      <c r="AT175" s="1">
        <f>IF(AND(AR175&gt;0, _xlfn.XLOOKUP($AM175, Discretionaries!$A$2:'Discretionaries'!$A$150, Discretionaries!$B$2:'Discretionaries'!$B$150)),AS175-$Q175,"")</f>
        <v>-6610</v>
      </c>
    </row>
    <row r="176" spans="1:46" x14ac:dyDescent="0.3">
      <c r="A176" t="s">
        <v>422</v>
      </c>
      <c r="B176" t="str">
        <f t="shared" si="50"/>
        <v>16</v>
      </c>
      <c r="C176" t="s">
        <v>408</v>
      </c>
      <c r="D176" t="str">
        <f t="shared" si="51"/>
        <v>00</v>
      </c>
      <c r="E176" t="s">
        <v>30</v>
      </c>
      <c r="F176" s="139" t="s">
        <v>137</v>
      </c>
      <c r="G176" t="s">
        <v>138</v>
      </c>
      <c r="H176" s="156">
        <v>38000</v>
      </c>
      <c r="I176" s="156">
        <v>33612.04</v>
      </c>
      <c r="J176" s="156">
        <v>42540</v>
      </c>
      <c r="K176" s="156">
        <v>39321.199999999997</v>
      </c>
      <c r="L176" s="156">
        <v>42540</v>
      </c>
      <c r="M176" s="156">
        <v>35033.440000000002</v>
      </c>
      <c r="N176" s="156">
        <v>42540</v>
      </c>
      <c r="O176" s="156">
        <v>42540</v>
      </c>
      <c r="P176" s="156">
        <v>42540</v>
      </c>
      <c r="Q176" s="156">
        <v>42540</v>
      </c>
      <c r="R176" s="156">
        <v>42540</v>
      </c>
      <c r="S176" s="156">
        <f t="shared" si="52"/>
        <v>0</v>
      </c>
      <c r="T176" s="156">
        <f t="shared" si="53"/>
        <v>0</v>
      </c>
      <c r="U176" s="140">
        <f t="shared" si="54"/>
        <v>0</v>
      </c>
      <c r="V176" s="140">
        <f t="shared" si="55"/>
        <v>-0.11547263157894734</v>
      </c>
      <c r="W176" s="140">
        <f t="shared" si="56"/>
        <v>-7.5665256229431196E-2</v>
      </c>
      <c r="X176" s="140">
        <f t="shared" si="57"/>
        <v>-0.17645886224729659</v>
      </c>
      <c r="Y176" s="140">
        <f t="shared" si="58"/>
        <v>0.11947368421052632</v>
      </c>
      <c r="Z176" s="140">
        <f t="shared" si="59"/>
        <v>0.16985461162131177</v>
      </c>
      <c r="AA176" s="140">
        <f t="shared" si="60"/>
        <v>0</v>
      </c>
      <c r="AB176" s="140">
        <f t="shared" si="61"/>
        <v>-0.10904448490890398</v>
      </c>
      <c r="AC176" s="140">
        <f t="shared" si="62"/>
        <v>0</v>
      </c>
      <c r="AD176" s="140">
        <f t="shared" si="63"/>
        <v>0.11947368421052632</v>
      </c>
      <c r="AE176" s="140">
        <f t="shared" si="64"/>
        <v>0</v>
      </c>
      <c r="AF176" s="140">
        <f t="shared" si="65"/>
        <v>0</v>
      </c>
      <c r="AG176" s="140">
        <f t="shared" si="66"/>
        <v>0</v>
      </c>
      <c r="AH176" s="140">
        <f t="shared" si="67"/>
        <v>0</v>
      </c>
      <c r="AI176" s="140">
        <f t="shared" si="68"/>
        <v>0.11947368421052632</v>
      </c>
      <c r="AJ176" s="140">
        <f t="shared" si="69"/>
        <v>0.11947368421052632</v>
      </c>
      <c r="AK176" s="140">
        <f t="shared" si="70"/>
        <v>0.11947368421052632</v>
      </c>
      <c r="AL176" s="140">
        <f t="shared" si="71"/>
        <v>0.11947368421052632</v>
      </c>
      <c r="AM176" t="str">
        <f t="shared" si="72"/>
        <v>4630-000: Maint &amp; repairs Supplies</v>
      </c>
      <c r="AN176" s="140">
        <f t="shared" si="73"/>
        <v>3.9824561403508769E-2</v>
      </c>
      <c r="AO176" s="140">
        <f t="shared" si="74"/>
        <v>-3.9824561403508769E-2</v>
      </c>
      <c r="AP176" s="1" t="str">
        <f>IF(AND(AO176&gt;0, _xlfn.XLOOKUP($AM176, Discretionaries!$A$2:'Discretionaries'!$A$150, Discretionaries!$B$2:'Discretionaries'!$B$150)), (1+AN176)*$N176, "")</f>
        <v/>
      </c>
      <c r="AQ176" s="1" t="str">
        <f>IF(AND(AO176&gt;0, _xlfn.XLOOKUP($AM176, Discretionaries!$A$2:'Discretionaries'!$A$150, Discretionaries!$B$2:'Discretionaries'!$B$150)),AP176-$Q176,"")</f>
        <v/>
      </c>
      <c r="AR176" s="140">
        <f>IF(AG176="", 0-CPI!$B$15, AG176-CPI!$B$15)</f>
        <v>-3.8999999999999993E-2</v>
      </c>
      <c r="AS176" s="1" t="str">
        <f>IF(AND(AR176&gt;0, _xlfn.XLOOKUP($AM176, Discretionaries!$A$2:'Discretionaries'!$A$150, Discretionaries!$B$2:'Discretionaries'!$B$150)), (1+CPI!$B$15)*$N176, "")</f>
        <v/>
      </c>
      <c r="AT176" s="1" t="str">
        <f>IF(AND(AR176&gt;0, _xlfn.XLOOKUP($AM176, Discretionaries!$A$2:'Discretionaries'!$A$150, Discretionaries!$B$2:'Discretionaries'!$B$150)),AS176-$Q176,"")</f>
        <v/>
      </c>
    </row>
    <row r="177" spans="1:46" x14ac:dyDescent="0.3">
      <c r="A177" t="s">
        <v>423</v>
      </c>
      <c r="B177" t="str">
        <f t="shared" si="50"/>
        <v>17</v>
      </c>
      <c r="C177" t="s">
        <v>408</v>
      </c>
      <c r="D177" t="str">
        <f t="shared" si="51"/>
        <v>00</v>
      </c>
      <c r="E177" t="s">
        <v>14</v>
      </c>
      <c r="F177" s="139" t="s">
        <v>57</v>
      </c>
      <c r="G177" t="s">
        <v>58</v>
      </c>
      <c r="H177" s="156">
        <v>3630865</v>
      </c>
      <c r="I177" s="156">
        <v>3181281.69</v>
      </c>
      <c r="J177" s="156">
        <v>3913132</v>
      </c>
      <c r="K177" s="156">
        <v>3708516.29</v>
      </c>
      <c r="L177" s="156">
        <v>5030005</v>
      </c>
      <c r="M177" s="156">
        <v>4535358.8600000003</v>
      </c>
      <c r="N177" s="156">
        <v>5488229</v>
      </c>
      <c r="O177" s="156">
        <v>5904683</v>
      </c>
      <c r="P177" s="156">
        <v>5904683</v>
      </c>
      <c r="Q177" s="156">
        <v>5904683</v>
      </c>
      <c r="R177" s="156">
        <v>5919179</v>
      </c>
      <c r="S177" s="156">
        <f t="shared" si="52"/>
        <v>416454</v>
      </c>
      <c r="T177" s="156">
        <f t="shared" si="53"/>
        <v>-14496</v>
      </c>
      <c r="U177" s="140">
        <f t="shared" si="54"/>
        <v>7.5881308888532159E-2</v>
      </c>
      <c r="V177" s="140">
        <f t="shared" si="55"/>
        <v>-0.12382264556792942</v>
      </c>
      <c r="W177" s="140">
        <f t="shared" si="56"/>
        <v>-5.2289498539788579E-2</v>
      </c>
      <c r="X177" s="140">
        <f t="shared" si="57"/>
        <v>-9.8339095090362663E-2</v>
      </c>
      <c r="Y177" s="140">
        <f t="shared" si="58"/>
        <v>7.7740979077988298E-2</v>
      </c>
      <c r="Z177" s="140">
        <f t="shared" si="59"/>
        <v>0.16573024691818475</v>
      </c>
      <c r="AA177" s="140">
        <f t="shared" si="60"/>
        <v>0.2854166432412707</v>
      </c>
      <c r="AB177" s="140">
        <f t="shared" si="61"/>
        <v>0.22295778293588142</v>
      </c>
      <c r="AC177" s="140">
        <f t="shared" si="62"/>
        <v>9.109812018079505E-2</v>
      </c>
      <c r="AD177" s="140">
        <f t="shared" si="63"/>
        <v>0.51154862546528168</v>
      </c>
      <c r="AE177" s="140">
        <f t="shared" si="64"/>
        <v>7.5881308888532159E-2</v>
      </c>
      <c r="AF177" s="140">
        <f t="shared" si="65"/>
        <v>7.5881308888532159E-2</v>
      </c>
      <c r="AG177" s="140">
        <f t="shared" si="66"/>
        <v>7.5881308888532159E-2</v>
      </c>
      <c r="AH177" s="140">
        <f t="shared" si="67"/>
        <v>7.8522598091296844E-2</v>
      </c>
      <c r="AI177" s="140">
        <f t="shared" si="68"/>
        <v>0.626246913614249</v>
      </c>
      <c r="AJ177" s="140">
        <f t="shared" si="69"/>
        <v>0.626246913614249</v>
      </c>
      <c r="AK177" s="140">
        <f t="shared" si="70"/>
        <v>0.626246913614249</v>
      </c>
      <c r="AL177" s="140">
        <f t="shared" si="71"/>
        <v>0.63023935067814418</v>
      </c>
      <c r="AM177" t="str">
        <f t="shared" si="72"/>
        <v>4210-000: Health Ins Benefits</v>
      </c>
      <c r="AN177" s="140">
        <f t="shared" si="73"/>
        <v>0.15141858083335133</v>
      </c>
      <c r="AO177" s="140">
        <f t="shared" si="74"/>
        <v>-7.553727194481917E-2</v>
      </c>
      <c r="AP177" s="1" t="str">
        <f>IF(AND(AO177&gt;0, _xlfn.XLOOKUP($AM177, Discretionaries!$A$2:'Discretionaries'!$A$150, Discretionaries!$B$2:'Discretionaries'!$B$150)), (1+AN177)*$N177, "")</f>
        <v/>
      </c>
      <c r="AQ177" s="1" t="str">
        <f>IF(AND(AO177&gt;0, _xlfn.XLOOKUP($AM177, Discretionaries!$A$2:'Discretionaries'!$A$150, Discretionaries!$B$2:'Discretionaries'!$B$150)),AP177-$Q177,"")</f>
        <v/>
      </c>
      <c r="AR177" s="140">
        <f>IF(AG177="", 0-CPI!$B$15, AG177-CPI!$B$15)</f>
        <v>3.6881308888532166E-2</v>
      </c>
      <c r="AS177" s="1" t="str">
        <f>IF(AND(AR177&gt;0, _xlfn.XLOOKUP($AM177, Discretionaries!$A$2:'Discretionaries'!$A$150, Discretionaries!$B$2:'Discretionaries'!$B$150)), (1+CPI!$B$15)*$N177, "")</f>
        <v/>
      </c>
      <c r="AT177" s="1" t="str">
        <f>IF(AND(AR177&gt;0, _xlfn.XLOOKUP($AM177, Discretionaries!$A$2:'Discretionaries'!$A$150, Discretionaries!$B$2:'Discretionaries'!$B$150)),AS177-$Q177,"")</f>
        <v/>
      </c>
    </row>
    <row r="178" spans="1:46" x14ac:dyDescent="0.3">
      <c r="A178" t="s">
        <v>423</v>
      </c>
      <c r="B178" t="str">
        <f t="shared" si="50"/>
        <v>17</v>
      </c>
      <c r="C178" t="s">
        <v>408</v>
      </c>
      <c r="D178" t="str">
        <f t="shared" si="51"/>
        <v>00</v>
      </c>
      <c r="E178" t="s">
        <v>14</v>
      </c>
      <c r="F178" s="139" t="s">
        <v>106</v>
      </c>
      <c r="G178" t="s">
        <v>626</v>
      </c>
      <c r="H178" s="156">
        <v>220356</v>
      </c>
      <c r="I178" s="156">
        <v>184499.75</v>
      </c>
      <c r="J178" s="156">
        <v>212990</v>
      </c>
      <c r="K178" s="156">
        <v>192156.48</v>
      </c>
      <c r="L178" s="156">
        <v>239460</v>
      </c>
      <c r="M178" s="156">
        <v>214686.5</v>
      </c>
      <c r="N178" s="156">
        <v>264745</v>
      </c>
      <c r="O178" s="156">
        <v>284940</v>
      </c>
      <c r="P178" s="156">
        <v>284940</v>
      </c>
      <c r="Q178" s="156">
        <v>284940</v>
      </c>
      <c r="R178" s="156">
        <v>289070</v>
      </c>
      <c r="S178" s="156">
        <f t="shared" si="52"/>
        <v>20195</v>
      </c>
      <c r="T178" s="156">
        <f t="shared" si="53"/>
        <v>-4130</v>
      </c>
      <c r="U178" s="140">
        <f t="shared" si="54"/>
        <v>7.6280949593004591E-2</v>
      </c>
      <c r="V178" s="140">
        <f t="shared" si="55"/>
        <v>-0.16271964457514204</v>
      </c>
      <c r="W178" s="140">
        <f t="shared" si="56"/>
        <v>-9.7814545283816098E-2</v>
      </c>
      <c r="X178" s="140">
        <f t="shared" si="57"/>
        <v>-0.10345569197360728</v>
      </c>
      <c r="Y178" s="140">
        <f t="shared" si="58"/>
        <v>-3.3427726043311734E-2</v>
      </c>
      <c r="Z178" s="140">
        <f t="shared" si="59"/>
        <v>4.1499947831907691E-2</v>
      </c>
      <c r="AA178" s="140">
        <f t="shared" si="60"/>
        <v>0.12427813512371473</v>
      </c>
      <c r="AB178" s="140">
        <f t="shared" si="61"/>
        <v>0.11724829680477072</v>
      </c>
      <c r="AC178" s="140">
        <f t="shared" si="62"/>
        <v>0.10559174809989143</v>
      </c>
      <c r="AD178" s="140">
        <f t="shared" si="63"/>
        <v>0.20144221169380458</v>
      </c>
      <c r="AE178" s="140">
        <f t="shared" si="64"/>
        <v>7.6280949593004591E-2</v>
      </c>
      <c r="AF178" s="140">
        <f t="shared" si="65"/>
        <v>7.6280949593004591E-2</v>
      </c>
      <c r="AG178" s="140">
        <f t="shared" si="66"/>
        <v>7.6280949593004591E-2</v>
      </c>
      <c r="AH178" s="140">
        <f t="shared" si="67"/>
        <v>9.1880866494173638E-2</v>
      </c>
      <c r="AI178" s="140">
        <f t="shared" si="68"/>
        <v>0.29308936448292761</v>
      </c>
      <c r="AJ178" s="140">
        <f t="shared" si="69"/>
        <v>0.29308936448292761</v>
      </c>
      <c r="AK178" s="140">
        <f t="shared" si="70"/>
        <v>0.29308936448292761</v>
      </c>
      <c r="AL178" s="140">
        <f t="shared" si="71"/>
        <v>0.31183176314690775</v>
      </c>
      <c r="AM178" t="str">
        <f t="shared" si="72"/>
        <v>4219-000: Dental Insurance Benefits</v>
      </c>
      <c r="AN178" s="140">
        <f t="shared" si="73"/>
        <v>6.5480719060098141E-2</v>
      </c>
      <c r="AO178" s="140">
        <f t="shared" si="74"/>
        <v>1.0800230532906449E-2</v>
      </c>
      <c r="AP178" s="1" t="str">
        <f>IF(AND(AO178&gt;0, _xlfn.XLOOKUP($AM178, Discretionaries!$A$2:'Discretionaries'!$A$150, Discretionaries!$B$2:'Discretionaries'!$B$150)), (1+AN178)*$N178, "")</f>
        <v/>
      </c>
      <c r="AQ178" s="1" t="str">
        <f>IF(AND(AO178&gt;0, _xlfn.XLOOKUP($AM178, Discretionaries!$A$2:'Discretionaries'!$A$150, Discretionaries!$B$2:'Discretionaries'!$B$150)),AP178-$Q178,"")</f>
        <v/>
      </c>
      <c r="AR178" s="140">
        <f>IF(AG178="", 0-CPI!$B$15, AG178-CPI!$B$15)</f>
        <v>3.7280949593004598E-2</v>
      </c>
      <c r="AS178" s="1" t="str">
        <f>IF(AND(AR178&gt;0, _xlfn.XLOOKUP($AM178, Discretionaries!$A$2:'Discretionaries'!$A$150, Discretionaries!$B$2:'Discretionaries'!$B$150)), (1+CPI!$B$15)*$N178, "")</f>
        <v/>
      </c>
      <c r="AT178" s="1" t="str">
        <f>IF(AND(AR178&gt;0, _xlfn.XLOOKUP($AM178, Discretionaries!$A$2:'Discretionaries'!$A$150, Discretionaries!$B$2:'Discretionaries'!$B$150)),AS178-$Q178,"")</f>
        <v/>
      </c>
    </row>
    <row r="179" spans="1:46" x14ac:dyDescent="0.3">
      <c r="A179" t="s">
        <v>423</v>
      </c>
      <c r="B179" t="str">
        <f t="shared" si="50"/>
        <v>17</v>
      </c>
      <c r="C179" t="s">
        <v>408</v>
      </c>
      <c r="D179" t="str">
        <f t="shared" si="51"/>
        <v>00</v>
      </c>
      <c r="E179" t="s">
        <v>14</v>
      </c>
      <c r="F179" s="139" t="s">
        <v>200</v>
      </c>
      <c r="G179" t="s">
        <v>201</v>
      </c>
      <c r="H179" s="156">
        <v>4981</v>
      </c>
      <c r="I179" s="156">
        <v>808.29</v>
      </c>
      <c r="J179" s="156">
        <v>4568</v>
      </c>
      <c r="K179" s="156">
        <v>5317</v>
      </c>
      <c r="L179" s="156">
        <v>5317</v>
      </c>
      <c r="M179" s="156">
        <v>6022</v>
      </c>
      <c r="N179" s="156">
        <v>6022</v>
      </c>
      <c r="O179" s="156">
        <v>6617</v>
      </c>
      <c r="P179" s="156">
        <v>6617</v>
      </c>
      <c r="Q179" s="156">
        <v>6617</v>
      </c>
      <c r="R179" s="156">
        <v>6617</v>
      </c>
      <c r="S179" s="156">
        <f t="shared" si="52"/>
        <v>595</v>
      </c>
      <c r="T179" s="156">
        <f t="shared" si="53"/>
        <v>0</v>
      </c>
      <c r="U179" s="140">
        <f t="shared" si="54"/>
        <v>9.8804383925606115E-2</v>
      </c>
      <c r="V179" s="140">
        <f t="shared" si="55"/>
        <v>-0.8377253563541458</v>
      </c>
      <c r="W179" s="140">
        <f t="shared" si="56"/>
        <v>0.16396672504378285</v>
      </c>
      <c r="X179" s="140">
        <f t="shared" si="57"/>
        <v>0.13259356780139175</v>
      </c>
      <c r="Y179" s="140">
        <f t="shared" si="58"/>
        <v>-8.2915077293716125E-2</v>
      </c>
      <c r="Z179" s="140">
        <f t="shared" si="59"/>
        <v>5.5780845983496024</v>
      </c>
      <c r="AA179" s="140">
        <f t="shared" si="60"/>
        <v>0.16396672504378285</v>
      </c>
      <c r="AB179" s="140">
        <f t="shared" si="61"/>
        <v>0.13259356780139175</v>
      </c>
      <c r="AC179" s="140">
        <f t="shared" si="62"/>
        <v>0.13259356780139175</v>
      </c>
      <c r="AD179" s="140">
        <f t="shared" si="63"/>
        <v>0.20899417787592853</v>
      </c>
      <c r="AE179" s="140">
        <f t="shared" si="64"/>
        <v>9.8804383925606115E-2</v>
      </c>
      <c r="AF179" s="140">
        <f t="shared" si="65"/>
        <v>9.8804383925606115E-2</v>
      </c>
      <c r="AG179" s="140">
        <f t="shared" si="66"/>
        <v>9.8804383925606115E-2</v>
      </c>
      <c r="AH179" s="140">
        <f t="shared" si="67"/>
        <v>9.8804383925606115E-2</v>
      </c>
      <c r="AI179" s="140">
        <f t="shared" si="68"/>
        <v>0.32844810279060432</v>
      </c>
      <c r="AJ179" s="140">
        <f t="shared" si="69"/>
        <v>0.32844810279060432</v>
      </c>
      <c r="AK179" s="140">
        <f t="shared" si="70"/>
        <v>0.32844810279060432</v>
      </c>
      <c r="AL179" s="140">
        <f t="shared" si="71"/>
        <v>0.32844810279060432</v>
      </c>
      <c r="AM179" t="str">
        <f t="shared" si="72"/>
        <v>4250-000: Unemployment ins Benefits</v>
      </c>
      <c r="AN179" s="140">
        <f t="shared" si="73"/>
        <v>7.1215071850486159E-2</v>
      </c>
      <c r="AO179" s="140">
        <f t="shared" si="74"/>
        <v>2.7589312075119957E-2</v>
      </c>
      <c r="AP179" s="1" t="str">
        <f>IF(AND(AO179&gt;0, _xlfn.XLOOKUP($AM179, Discretionaries!$A$2:'Discretionaries'!$A$150, Discretionaries!$B$2:'Discretionaries'!$B$150)), (1+AN179)*$N179, "")</f>
        <v/>
      </c>
      <c r="AQ179" s="1" t="str">
        <f>IF(AND(AO179&gt;0, _xlfn.XLOOKUP($AM179, Discretionaries!$A$2:'Discretionaries'!$A$150, Discretionaries!$B$2:'Discretionaries'!$B$150)),AP179-$Q179,"")</f>
        <v/>
      </c>
      <c r="AR179" s="140">
        <f>IF(AG179="", 0-CPI!$B$15, AG179-CPI!$B$15)</f>
        <v>5.9804383925606122E-2</v>
      </c>
      <c r="AS179" s="1" t="str">
        <f>IF(AND(AR179&gt;0, _xlfn.XLOOKUP($AM179, Discretionaries!$A$2:'Discretionaries'!$A$150, Discretionaries!$B$2:'Discretionaries'!$B$150)), (1+CPI!$B$15)*$N179, "")</f>
        <v/>
      </c>
      <c r="AT179" s="1" t="str">
        <f>IF(AND(AR179&gt;0, _xlfn.XLOOKUP($AM179, Discretionaries!$A$2:'Discretionaries'!$A$150, Discretionaries!$B$2:'Discretionaries'!$B$150)),AS179-$Q179,"")</f>
        <v/>
      </c>
    </row>
    <row r="180" spans="1:46" x14ac:dyDescent="0.3">
      <c r="A180" t="s">
        <v>423</v>
      </c>
      <c r="B180" t="str">
        <f t="shared" si="50"/>
        <v>17</v>
      </c>
      <c r="C180" t="s">
        <v>408</v>
      </c>
      <c r="D180" t="str">
        <f t="shared" si="51"/>
        <v>00</v>
      </c>
      <c r="E180" t="s">
        <v>45</v>
      </c>
      <c r="F180" s="139" t="s">
        <v>202</v>
      </c>
      <c r="G180" t="s">
        <v>203</v>
      </c>
      <c r="H180" s="156">
        <v>213975</v>
      </c>
      <c r="I180" s="156">
        <v>196460.63</v>
      </c>
      <c r="J180" s="156">
        <v>224496</v>
      </c>
      <c r="K180" s="156">
        <v>224313.88</v>
      </c>
      <c r="L180" s="156">
        <v>235530</v>
      </c>
      <c r="M180" s="156">
        <v>235672.9</v>
      </c>
      <c r="N180" s="156">
        <v>248058</v>
      </c>
      <c r="O180" s="156">
        <v>327043</v>
      </c>
      <c r="P180" s="156">
        <v>327043</v>
      </c>
      <c r="Q180" s="156">
        <v>327043</v>
      </c>
      <c r="R180" s="156">
        <v>327043</v>
      </c>
      <c r="S180" s="156">
        <f t="shared" si="52"/>
        <v>78985</v>
      </c>
      <c r="T180" s="156">
        <f t="shared" si="53"/>
        <v>0</v>
      </c>
      <c r="U180" s="140">
        <f t="shared" si="54"/>
        <v>0.31841343556748825</v>
      </c>
      <c r="V180" s="140">
        <f t="shared" si="55"/>
        <v>-8.1852412665030946E-2</v>
      </c>
      <c r="W180" s="140">
        <f t="shared" si="56"/>
        <v>-8.1123939847478502E-4</v>
      </c>
      <c r="X180" s="140">
        <f t="shared" si="57"/>
        <v>6.0671676644161751E-4</v>
      </c>
      <c r="Y180" s="140">
        <f t="shared" si="58"/>
        <v>4.9169295478443745E-2</v>
      </c>
      <c r="Z180" s="140">
        <f t="shared" si="59"/>
        <v>0.14177522488856928</v>
      </c>
      <c r="AA180" s="140">
        <f t="shared" si="60"/>
        <v>4.9150096215522771E-2</v>
      </c>
      <c r="AB180" s="140">
        <f t="shared" si="61"/>
        <v>5.0638952881560381E-2</v>
      </c>
      <c r="AC180" s="140">
        <f t="shared" si="62"/>
        <v>5.3190676346962174E-2</v>
      </c>
      <c r="AD180" s="140">
        <f t="shared" si="63"/>
        <v>0.15928496319663513</v>
      </c>
      <c r="AE180" s="140">
        <f t="shared" si="64"/>
        <v>0.31841343556748825</v>
      </c>
      <c r="AF180" s="140">
        <f t="shared" si="65"/>
        <v>0.31841343556748825</v>
      </c>
      <c r="AG180" s="140">
        <f t="shared" si="66"/>
        <v>0.31841343556748825</v>
      </c>
      <c r="AH180" s="140">
        <f t="shared" si="67"/>
        <v>0.31841343556748825</v>
      </c>
      <c r="AI180" s="140">
        <f t="shared" si="68"/>
        <v>0.52841687112980484</v>
      </c>
      <c r="AJ180" s="140">
        <f t="shared" si="69"/>
        <v>0.52841687112980484</v>
      </c>
      <c r="AK180" s="140">
        <f t="shared" si="70"/>
        <v>0.52841687112980484</v>
      </c>
      <c r="AL180" s="140">
        <f t="shared" si="71"/>
        <v>0.52841687112980484</v>
      </c>
      <c r="AM180" t="str">
        <f t="shared" si="72"/>
        <v>4520-000: Property ins Services</v>
      </c>
      <c r="AN180" s="140">
        <f t="shared" si="73"/>
        <v>5.0503356013642899E-2</v>
      </c>
      <c r="AO180" s="140">
        <f t="shared" si="74"/>
        <v>0.26791007955384533</v>
      </c>
      <c r="AP180" s="1">
        <f>IF(AND(AO180&gt;0, _xlfn.XLOOKUP($AM180, Discretionaries!$A$2:'Discretionaries'!$A$150, Discretionaries!$B$2:'Discretionaries'!$B$150)), (1+AN180)*$N180, "")</f>
        <v>260585.76148603225</v>
      </c>
      <c r="AQ180" s="1">
        <f>IF(AND(AO180&gt;0, _xlfn.XLOOKUP($AM180, Discretionaries!$A$2:'Discretionaries'!$A$150, Discretionaries!$B$2:'Discretionaries'!$B$150)),AP180-$Q180,"")</f>
        <v>-66457.23851396775</v>
      </c>
      <c r="AR180" s="140">
        <f>IF(AG180="", 0-CPI!$B$15, AG180-CPI!$B$15)</f>
        <v>0.27941343556748827</v>
      </c>
      <c r="AS180" s="1">
        <f>IF(AND(AR180&gt;0, _xlfn.XLOOKUP($AM180, Discretionaries!$A$2:'Discretionaries'!$A$150, Discretionaries!$B$2:'Discretionaries'!$B$150)), (1+CPI!$B$15)*$N180, "")</f>
        <v>257732.26199999999</v>
      </c>
      <c r="AT180" s="1">
        <f>IF(AND(AR180&gt;0, _xlfn.XLOOKUP($AM180, Discretionaries!$A$2:'Discretionaries'!$A$150, Discretionaries!$B$2:'Discretionaries'!$B$150)),AS180-$Q180,"")</f>
        <v>-69310.738000000012</v>
      </c>
    </row>
    <row r="181" spans="1:46" x14ac:dyDescent="0.3">
      <c r="A181" t="s">
        <v>423</v>
      </c>
      <c r="B181" t="str">
        <f t="shared" si="50"/>
        <v>17</v>
      </c>
      <c r="C181" t="s">
        <v>408</v>
      </c>
      <c r="D181" t="str">
        <f t="shared" si="51"/>
        <v>00</v>
      </c>
      <c r="E181" t="s">
        <v>45</v>
      </c>
      <c r="F181" s="139" t="s">
        <v>204</v>
      </c>
      <c r="G181" t="s">
        <v>205</v>
      </c>
      <c r="H181" s="156">
        <v>5000</v>
      </c>
      <c r="I181" s="156">
        <v>7782</v>
      </c>
      <c r="J181" s="156">
        <v>5000</v>
      </c>
      <c r="K181" s="156">
        <v>2000</v>
      </c>
      <c r="L181" s="156">
        <v>5000</v>
      </c>
      <c r="M181" s="156">
        <v>0</v>
      </c>
      <c r="N181" s="156">
        <v>5000</v>
      </c>
      <c r="O181" s="156">
        <v>5000</v>
      </c>
      <c r="P181" s="156">
        <v>5000</v>
      </c>
      <c r="Q181" s="156">
        <v>5000</v>
      </c>
      <c r="R181" s="156">
        <v>5000</v>
      </c>
      <c r="S181" s="156">
        <f t="shared" si="52"/>
        <v>0</v>
      </c>
      <c r="T181" s="156">
        <f t="shared" si="53"/>
        <v>0</v>
      </c>
      <c r="U181" s="140">
        <f t="shared" si="54"/>
        <v>0</v>
      </c>
      <c r="V181" s="140">
        <f t="shared" si="55"/>
        <v>0.55640000000000001</v>
      </c>
      <c r="W181" s="140">
        <f t="shared" si="56"/>
        <v>-0.6</v>
      </c>
      <c r="X181" s="140">
        <f t="shared" si="57"/>
        <v>-1</v>
      </c>
      <c r="Y181" s="140">
        <f t="shared" si="58"/>
        <v>0</v>
      </c>
      <c r="Z181" s="140">
        <f t="shared" si="59"/>
        <v>-0.74299665895656641</v>
      </c>
      <c r="AA181" s="140">
        <f t="shared" si="60"/>
        <v>0</v>
      </c>
      <c r="AB181" s="140">
        <f t="shared" si="61"/>
        <v>-1</v>
      </c>
      <c r="AC181" s="140">
        <f t="shared" si="62"/>
        <v>0</v>
      </c>
      <c r="AD181" s="140">
        <f t="shared" si="63"/>
        <v>0</v>
      </c>
      <c r="AE181" s="140">
        <f t="shared" si="64"/>
        <v>0</v>
      </c>
      <c r="AF181" s="140">
        <f t="shared" si="65"/>
        <v>0</v>
      </c>
      <c r="AG181" s="140">
        <f t="shared" si="66"/>
        <v>0</v>
      </c>
      <c r="AH181" s="140">
        <f t="shared" si="67"/>
        <v>0</v>
      </c>
      <c r="AI181" s="140">
        <f t="shared" si="68"/>
        <v>0</v>
      </c>
      <c r="AJ181" s="140">
        <f t="shared" si="69"/>
        <v>0</v>
      </c>
      <c r="AK181" s="140">
        <f t="shared" si="70"/>
        <v>0</v>
      </c>
      <c r="AL181" s="140">
        <f t="shared" si="71"/>
        <v>0</v>
      </c>
      <c r="AM181" t="str">
        <f t="shared" si="72"/>
        <v>4521-000: Ins deductible Services</v>
      </c>
      <c r="AN181" s="140">
        <f t="shared" si="73"/>
        <v>0</v>
      </c>
      <c r="AO181" s="140">
        <f t="shared" si="74"/>
        <v>0</v>
      </c>
      <c r="AP181" s="1" t="str">
        <f>IF(AND(AO181&gt;0, _xlfn.XLOOKUP($AM181, Discretionaries!$A$2:'Discretionaries'!$A$150, Discretionaries!$B$2:'Discretionaries'!$B$150)), (1+AN181)*$N181, "")</f>
        <v/>
      </c>
      <c r="AQ181" s="1" t="str">
        <f>IF(AND(AO181&gt;0, _xlfn.XLOOKUP($AM181, Discretionaries!$A$2:'Discretionaries'!$A$150, Discretionaries!$B$2:'Discretionaries'!$B$150)),AP181-$Q181,"")</f>
        <v/>
      </c>
      <c r="AR181" s="140">
        <f>IF(AG181="", 0-CPI!$B$15, AG181-CPI!$B$15)</f>
        <v>-3.8999999999999993E-2</v>
      </c>
      <c r="AS181" s="1" t="str">
        <f>IF(AND(AR181&gt;0, _xlfn.XLOOKUP($AM181, Discretionaries!$A$2:'Discretionaries'!$A$150, Discretionaries!$B$2:'Discretionaries'!$B$150)), (1+CPI!$B$15)*$N181, "")</f>
        <v/>
      </c>
      <c r="AT181" s="1" t="str">
        <f>IF(AND(AR181&gt;0, _xlfn.XLOOKUP($AM181, Discretionaries!$A$2:'Discretionaries'!$A$150, Discretionaries!$B$2:'Discretionaries'!$B$150)),AS181-$Q181,"")</f>
        <v/>
      </c>
    </row>
    <row r="182" spans="1:46" x14ac:dyDescent="0.3">
      <c r="A182" t="s">
        <v>424</v>
      </c>
      <c r="B182" t="str">
        <f t="shared" si="50"/>
        <v>18</v>
      </c>
      <c r="C182" t="s">
        <v>408</v>
      </c>
      <c r="D182" t="str">
        <f t="shared" si="51"/>
        <v>00</v>
      </c>
      <c r="E182" t="s">
        <v>30</v>
      </c>
      <c r="F182" s="139" t="s">
        <v>210</v>
      </c>
      <c r="G182" t="s">
        <v>211</v>
      </c>
      <c r="H182" s="156">
        <v>3350</v>
      </c>
      <c r="I182" s="156">
        <v>3202.1</v>
      </c>
      <c r="J182" s="156">
        <v>3500</v>
      </c>
      <c r="K182" s="156">
        <v>3310.19</v>
      </c>
      <c r="L182" s="156">
        <v>3500</v>
      </c>
      <c r="M182" s="156">
        <v>2042.82</v>
      </c>
      <c r="N182" s="156">
        <v>3500</v>
      </c>
      <c r="O182" s="156">
        <v>3500</v>
      </c>
      <c r="P182" s="156">
        <v>3500</v>
      </c>
      <c r="Q182" s="156">
        <v>3500</v>
      </c>
      <c r="R182" s="156">
        <v>3500</v>
      </c>
      <c r="S182" s="156">
        <f t="shared" si="52"/>
        <v>0</v>
      </c>
      <c r="T182" s="156">
        <f t="shared" si="53"/>
        <v>0</v>
      </c>
      <c r="U182" s="140">
        <f t="shared" si="54"/>
        <v>0</v>
      </c>
      <c r="V182" s="140">
        <f t="shared" si="55"/>
        <v>-4.4149253731343312E-2</v>
      </c>
      <c r="W182" s="140">
        <f t="shared" si="56"/>
        <v>-5.4231428571428555E-2</v>
      </c>
      <c r="X182" s="140">
        <f t="shared" si="57"/>
        <v>-0.41633714285714285</v>
      </c>
      <c r="Y182" s="140">
        <f t="shared" si="58"/>
        <v>4.4776119402985072E-2</v>
      </c>
      <c r="Z182" s="140">
        <f t="shared" si="59"/>
        <v>3.375597264295311E-2</v>
      </c>
      <c r="AA182" s="140">
        <f t="shared" si="60"/>
        <v>0</v>
      </c>
      <c r="AB182" s="140">
        <f t="shared" si="61"/>
        <v>-0.38286926128107451</v>
      </c>
      <c r="AC182" s="140">
        <f t="shared" si="62"/>
        <v>0</v>
      </c>
      <c r="AD182" s="140">
        <f t="shared" si="63"/>
        <v>4.4776119402985072E-2</v>
      </c>
      <c r="AE182" s="140">
        <f t="shared" si="64"/>
        <v>0</v>
      </c>
      <c r="AF182" s="140">
        <f t="shared" si="65"/>
        <v>0</v>
      </c>
      <c r="AG182" s="140">
        <f t="shared" si="66"/>
        <v>0</v>
      </c>
      <c r="AH182" s="140">
        <f t="shared" si="67"/>
        <v>0</v>
      </c>
      <c r="AI182" s="140">
        <f t="shared" si="68"/>
        <v>4.4776119402985072E-2</v>
      </c>
      <c r="AJ182" s="140">
        <f t="shared" si="69"/>
        <v>4.4776119402985072E-2</v>
      </c>
      <c r="AK182" s="140">
        <f t="shared" si="70"/>
        <v>4.4776119402985072E-2</v>
      </c>
      <c r="AL182" s="140">
        <f t="shared" si="71"/>
        <v>4.4776119402985072E-2</v>
      </c>
      <c r="AM182" t="str">
        <f t="shared" si="72"/>
        <v>4690-000: Other misc Supplies</v>
      </c>
      <c r="AN182" s="140">
        <f t="shared" si="73"/>
        <v>1.4925373134328358E-2</v>
      </c>
      <c r="AO182" s="140">
        <f t="shared" si="74"/>
        <v>-1.4925373134328358E-2</v>
      </c>
      <c r="AP182" s="1" t="str">
        <f>IF(AND(AO182&gt;0, _xlfn.XLOOKUP($AM182, Discretionaries!$A$2:'Discretionaries'!$A$150, Discretionaries!$B$2:'Discretionaries'!$B$150)), (1+AN182)*$N182, "")</f>
        <v/>
      </c>
      <c r="AQ182" s="1" t="str">
        <f>IF(AND(AO182&gt;0, _xlfn.XLOOKUP($AM182, Discretionaries!$A$2:'Discretionaries'!$A$150, Discretionaries!$B$2:'Discretionaries'!$B$150)),AP182-$Q182,"")</f>
        <v/>
      </c>
      <c r="AR182" s="140">
        <f>IF(AG182="", 0-CPI!$B$15, AG182-CPI!$B$15)</f>
        <v>-3.8999999999999993E-2</v>
      </c>
      <c r="AS182" s="1" t="str">
        <f>IF(AND(AR182&gt;0, _xlfn.XLOOKUP($AM182, Discretionaries!$A$2:'Discretionaries'!$A$150, Discretionaries!$B$2:'Discretionaries'!$B$150)), (1+CPI!$B$15)*$N182, "")</f>
        <v/>
      </c>
      <c r="AT182" s="1" t="str">
        <f>IF(AND(AR182&gt;0, _xlfn.XLOOKUP($AM182, Discretionaries!$A$2:'Discretionaries'!$A$150, Discretionaries!$B$2:'Discretionaries'!$B$150)),AS182-$Q182,"")</f>
        <v/>
      </c>
    </row>
    <row r="183" spans="1:46" x14ac:dyDescent="0.3">
      <c r="A183" t="s">
        <v>425</v>
      </c>
      <c r="B183" t="str">
        <f t="shared" si="50"/>
        <v>20</v>
      </c>
      <c r="C183" t="s">
        <v>426</v>
      </c>
      <c r="D183" t="str">
        <f t="shared" si="51"/>
        <v>01</v>
      </c>
      <c r="E183" t="s">
        <v>11</v>
      </c>
      <c r="F183" s="139" t="s">
        <v>35</v>
      </c>
      <c r="G183" t="s">
        <v>36</v>
      </c>
      <c r="H183" s="156">
        <v>1289314</v>
      </c>
      <c r="I183" s="156">
        <v>1288939.45</v>
      </c>
      <c r="J183" s="156">
        <v>1335900</v>
      </c>
      <c r="K183" s="156">
        <v>1385689.46</v>
      </c>
      <c r="L183" s="156">
        <v>1498476</v>
      </c>
      <c r="M183" s="156">
        <v>1566517.74</v>
      </c>
      <c r="N183" s="156">
        <v>1790115</v>
      </c>
      <c r="O183" s="156">
        <v>1907330</v>
      </c>
      <c r="P183" s="156">
        <v>1907330</v>
      </c>
      <c r="Q183" s="156">
        <v>1907330</v>
      </c>
      <c r="R183" s="156">
        <v>1907330</v>
      </c>
      <c r="S183" s="156">
        <f t="shared" si="52"/>
        <v>117215</v>
      </c>
      <c r="T183" s="156">
        <f t="shared" si="53"/>
        <v>0</v>
      </c>
      <c r="U183" s="140">
        <f t="shared" si="54"/>
        <v>6.5479033469916736E-2</v>
      </c>
      <c r="V183" s="140">
        <f t="shared" si="55"/>
        <v>-2.9050332192161611E-4</v>
      </c>
      <c r="W183" s="140">
        <f t="shared" si="56"/>
        <v>3.7270349577064127E-2</v>
      </c>
      <c r="X183" s="140">
        <f t="shared" si="57"/>
        <v>4.5407293810511472E-2</v>
      </c>
      <c r="Y183" s="140">
        <f t="shared" si="58"/>
        <v>3.613239288489848E-2</v>
      </c>
      <c r="Z183" s="140">
        <f t="shared" si="59"/>
        <v>7.5061718376297673E-2</v>
      </c>
      <c r="AA183" s="140">
        <f t="shared" si="60"/>
        <v>0.12169773186615765</v>
      </c>
      <c r="AB183" s="140">
        <f t="shared" si="61"/>
        <v>0.13049697296535692</v>
      </c>
      <c r="AC183" s="140">
        <f t="shared" si="62"/>
        <v>0.19462373771752101</v>
      </c>
      <c r="AD183" s="140">
        <f t="shared" si="63"/>
        <v>0.38842438692203762</v>
      </c>
      <c r="AE183" s="140">
        <f t="shared" si="64"/>
        <v>6.5479033469916736E-2</v>
      </c>
      <c r="AF183" s="140">
        <f t="shared" si="65"/>
        <v>6.5479033469916736E-2</v>
      </c>
      <c r="AG183" s="140">
        <f t="shared" si="66"/>
        <v>6.5479033469916736E-2</v>
      </c>
      <c r="AH183" s="140">
        <f t="shared" si="67"/>
        <v>6.5479033469916736E-2</v>
      </c>
      <c r="AI183" s="140">
        <f t="shared" si="68"/>
        <v>0.47933707382375434</v>
      </c>
      <c r="AJ183" s="140">
        <f t="shared" si="69"/>
        <v>0.47933707382375434</v>
      </c>
      <c r="AK183" s="140">
        <f t="shared" si="70"/>
        <v>0.47933707382375434</v>
      </c>
      <c r="AL183" s="140">
        <f t="shared" si="71"/>
        <v>0.47933707382375434</v>
      </c>
      <c r="AM183" t="str">
        <f t="shared" si="72"/>
        <v>4110-000: Regular Salaries</v>
      </c>
      <c r="AN183" s="140">
        <f t="shared" si="73"/>
        <v>0.11748462082285904</v>
      </c>
      <c r="AO183" s="140">
        <f t="shared" si="74"/>
        <v>-5.2005587352942306E-2</v>
      </c>
      <c r="AP183" s="1" t="str">
        <f>IF(AND(AO183&gt;0, _xlfn.XLOOKUP($AM183, Discretionaries!$A$2:'Discretionaries'!$A$150, Discretionaries!$B$2:'Discretionaries'!$B$150)), (1+AN183)*$N183, "")</f>
        <v/>
      </c>
      <c r="AQ183" s="1" t="str">
        <f>IF(AND(AO183&gt;0, _xlfn.XLOOKUP($AM183, Discretionaries!$A$2:'Discretionaries'!$A$150, Discretionaries!$B$2:'Discretionaries'!$B$150)),AP183-$Q183,"")</f>
        <v/>
      </c>
      <c r="AR183" s="140">
        <f>IF(AG183="", 0-CPI!$B$15, AG183-CPI!$B$15)</f>
        <v>2.6479033469916743E-2</v>
      </c>
      <c r="AS183" s="1" t="str">
        <f>IF(AND(AR183&gt;0, _xlfn.XLOOKUP($AM183, Discretionaries!$A$2:'Discretionaries'!$A$150, Discretionaries!$B$2:'Discretionaries'!$B$150)), (1+CPI!$B$15)*$N183, "")</f>
        <v/>
      </c>
      <c r="AT183" s="1" t="str">
        <f>IF(AND(AR183&gt;0, _xlfn.XLOOKUP($AM183, Discretionaries!$A$2:'Discretionaries'!$A$150, Discretionaries!$B$2:'Discretionaries'!$B$150)),AS183-$Q183,"")</f>
        <v/>
      </c>
    </row>
    <row r="184" spans="1:46" x14ac:dyDescent="0.3">
      <c r="A184" t="s">
        <v>425</v>
      </c>
      <c r="B184" t="str">
        <f t="shared" si="50"/>
        <v>20</v>
      </c>
      <c r="C184" t="s">
        <v>426</v>
      </c>
      <c r="D184" t="str">
        <f t="shared" si="51"/>
        <v>01</v>
      </c>
      <c r="E184" t="s">
        <v>11</v>
      </c>
      <c r="F184" s="139" t="s">
        <v>37</v>
      </c>
      <c r="G184" t="s">
        <v>38</v>
      </c>
      <c r="H184" s="156">
        <v>0</v>
      </c>
      <c r="I184" s="156">
        <v>0</v>
      </c>
      <c r="J184" s="156">
        <v>0</v>
      </c>
      <c r="K184" s="156">
        <v>0</v>
      </c>
      <c r="L184" s="156">
        <v>0</v>
      </c>
      <c r="M184" s="156">
        <v>0</v>
      </c>
      <c r="N184" s="156">
        <v>0</v>
      </c>
      <c r="O184" s="156">
        <v>0</v>
      </c>
      <c r="P184" s="156">
        <v>0</v>
      </c>
      <c r="Q184" s="156">
        <v>0</v>
      </c>
      <c r="R184" s="156">
        <v>0</v>
      </c>
      <c r="S184" s="156">
        <f t="shared" si="52"/>
        <v>0</v>
      </c>
      <c r="T184" s="156">
        <f t="shared" si="53"/>
        <v>0</v>
      </c>
      <c r="U184" s="140" t="str">
        <f t="shared" si="54"/>
        <v/>
      </c>
      <c r="V184" s="140" t="str">
        <f t="shared" si="55"/>
        <v/>
      </c>
      <c r="W184" s="140" t="str">
        <f t="shared" si="56"/>
        <v/>
      </c>
      <c r="X184" s="140" t="str">
        <f t="shared" si="57"/>
        <v/>
      </c>
      <c r="Y184" s="140" t="str">
        <f t="shared" si="58"/>
        <v/>
      </c>
      <c r="Z184" s="140" t="str">
        <f t="shared" si="59"/>
        <v/>
      </c>
      <c r="AA184" s="140" t="str">
        <f t="shared" si="60"/>
        <v/>
      </c>
      <c r="AB184" s="140" t="str">
        <f t="shared" si="61"/>
        <v/>
      </c>
      <c r="AC184" s="140" t="str">
        <f t="shared" si="62"/>
        <v/>
      </c>
      <c r="AD184" s="140" t="str">
        <f t="shared" si="63"/>
        <v/>
      </c>
      <c r="AE184" s="140" t="str">
        <f t="shared" si="64"/>
        <v/>
      </c>
      <c r="AF184" s="140" t="str">
        <f t="shared" si="65"/>
        <v/>
      </c>
      <c r="AG184" s="140" t="str">
        <f t="shared" si="66"/>
        <v/>
      </c>
      <c r="AH184" s="140" t="str">
        <f t="shared" si="67"/>
        <v/>
      </c>
      <c r="AI184" s="140" t="str">
        <f t="shared" si="68"/>
        <v/>
      </c>
      <c r="AJ184" s="140" t="str">
        <f t="shared" si="69"/>
        <v/>
      </c>
      <c r="AK184" s="140" t="str">
        <f t="shared" si="70"/>
        <v/>
      </c>
      <c r="AL184" s="140" t="str">
        <f t="shared" si="71"/>
        <v/>
      </c>
      <c r="AM184" t="str">
        <f t="shared" si="72"/>
        <v>4120-000: Part-time Salaries</v>
      </c>
      <c r="AN184" s="140">
        <f t="shared" si="73"/>
        <v>0</v>
      </c>
      <c r="AO184" s="140">
        <f t="shared" si="74"/>
        <v>0</v>
      </c>
      <c r="AP184" s="1" t="str">
        <f>IF(AND(AO184&gt;0, _xlfn.XLOOKUP($AM184, Discretionaries!$A$2:'Discretionaries'!$A$150, Discretionaries!$B$2:'Discretionaries'!$B$150)), (1+AN184)*$N184, "")</f>
        <v/>
      </c>
      <c r="AQ184" s="1" t="str">
        <f>IF(AND(AO184&gt;0, _xlfn.XLOOKUP($AM184, Discretionaries!$A$2:'Discretionaries'!$A$150, Discretionaries!$B$2:'Discretionaries'!$B$150)),AP184-$Q184,"")</f>
        <v/>
      </c>
      <c r="AR184" s="140">
        <f>IF(AG184="", 0-CPI!$B$15, AG184-CPI!$B$15)</f>
        <v>-3.8999999999999993E-2</v>
      </c>
      <c r="AS184" s="1" t="str">
        <f>IF(AND(AR184&gt;0, _xlfn.XLOOKUP($AM184, Discretionaries!$A$2:'Discretionaries'!$A$150, Discretionaries!$B$2:'Discretionaries'!$B$150)), (1+CPI!$B$15)*$N184, "")</f>
        <v/>
      </c>
      <c r="AT184" s="1" t="str">
        <f>IF(AND(AR184&gt;0, _xlfn.XLOOKUP($AM184, Discretionaries!$A$2:'Discretionaries'!$A$150, Discretionaries!$B$2:'Discretionaries'!$B$150)),AS184-$Q184,"")</f>
        <v/>
      </c>
    </row>
    <row r="185" spans="1:46" x14ac:dyDescent="0.3">
      <c r="A185" t="s">
        <v>425</v>
      </c>
      <c r="B185" t="str">
        <f t="shared" si="50"/>
        <v>20</v>
      </c>
      <c r="C185" t="s">
        <v>426</v>
      </c>
      <c r="D185" t="str">
        <f t="shared" si="51"/>
        <v>01</v>
      </c>
      <c r="E185" t="s">
        <v>11</v>
      </c>
      <c r="F185" s="139" t="s">
        <v>39</v>
      </c>
      <c r="G185" t="s">
        <v>40</v>
      </c>
      <c r="H185" s="156">
        <v>99850</v>
      </c>
      <c r="I185" s="156">
        <v>90970.99</v>
      </c>
      <c r="J185" s="156">
        <v>99913</v>
      </c>
      <c r="K185" s="156">
        <v>76074.289999999994</v>
      </c>
      <c r="L185" s="156">
        <v>94058</v>
      </c>
      <c r="M185" s="156">
        <v>86043.65</v>
      </c>
      <c r="N185" s="156">
        <v>105090</v>
      </c>
      <c r="O185" s="156">
        <v>105090</v>
      </c>
      <c r="P185" s="156">
        <v>105090</v>
      </c>
      <c r="Q185" s="156">
        <v>105090</v>
      </c>
      <c r="R185" s="156">
        <v>105090</v>
      </c>
      <c r="S185" s="156">
        <f t="shared" si="52"/>
        <v>0</v>
      </c>
      <c r="T185" s="156">
        <f t="shared" si="53"/>
        <v>0</v>
      </c>
      <c r="U185" s="140">
        <f t="shared" si="54"/>
        <v>0</v>
      </c>
      <c r="V185" s="140">
        <f t="shared" si="55"/>
        <v>-8.8923485227841714E-2</v>
      </c>
      <c r="W185" s="140">
        <f t="shared" si="56"/>
        <v>-0.23859467736931136</v>
      </c>
      <c r="X185" s="140">
        <f t="shared" si="57"/>
        <v>-8.5206468349316444E-2</v>
      </c>
      <c r="Y185" s="140">
        <f t="shared" si="58"/>
        <v>6.3094641962944422E-4</v>
      </c>
      <c r="Z185" s="140">
        <f t="shared" si="59"/>
        <v>-0.16375220276266106</v>
      </c>
      <c r="AA185" s="140">
        <f t="shared" si="60"/>
        <v>-5.8600982855083923E-2</v>
      </c>
      <c r="AB185" s="140">
        <f t="shared" si="61"/>
        <v>0.13104769035636088</v>
      </c>
      <c r="AC185" s="140">
        <f t="shared" si="62"/>
        <v>0.11728933211422739</v>
      </c>
      <c r="AD185" s="140">
        <f t="shared" si="63"/>
        <v>5.2478718077115676E-2</v>
      </c>
      <c r="AE185" s="140">
        <f t="shared" si="64"/>
        <v>0</v>
      </c>
      <c r="AF185" s="140">
        <f t="shared" si="65"/>
        <v>0</v>
      </c>
      <c r="AG185" s="140">
        <f t="shared" si="66"/>
        <v>0</v>
      </c>
      <c r="AH185" s="140">
        <f t="shared" si="67"/>
        <v>0</v>
      </c>
      <c r="AI185" s="140">
        <f t="shared" si="68"/>
        <v>5.2478718077115676E-2</v>
      </c>
      <c r="AJ185" s="140">
        <f t="shared" si="69"/>
        <v>5.2478718077115676E-2</v>
      </c>
      <c r="AK185" s="140">
        <f t="shared" si="70"/>
        <v>5.2478718077115676E-2</v>
      </c>
      <c r="AL185" s="140">
        <f t="shared" si="71"/>
        <v>5.2478718077115676E-2</v>
      </c>
      <c r="AM185" t="str">
        <f t="shared" si="72"/>
        <v>4140-000: Overtime Salaries</v>
      </c>
      <c r="AN185" s="140">
        <f t="shared" si="73"/>
        <v>1.977309855959097E-2</v>
      </c>
      <c r="AO185" s="140">
        <f t="shared" si="74"/>
        <v>-1.977309855959097E-2</v>
      </c>
      <c r="AP185" s="1" t="str">
        <f>IF(AND(AO185&gt;0, _xlfn.XLOOKUP($AM185, Discretionaries!$A$2:'Discretionaries'!$A$150, Discretionaries!$B$2:'Discretionaries'!$B$150)), (1+AN185)*$N185, "")</f>
        <v/>
      </c>
      <c r="AQ185" s="1" t="str">
        <f>IF(AND(AO185&gt;0, _xlfn.XLOOKUP($AM185, Discretionaries!$A$2:'Discretionaries'!$A$150, Discretionaries!$B$2:'Discretionaries'!$B$150)),AP185-$Q185,"")</f>
        <v/>
      </c>
      <c r="AR185" s="140">
        <f>IF(AG185="", 0-CPI!$B$15, AG185-CPI!$B$15)</f>
        <v>-3.8999999999999993E-2</v>
      </c>
      <c r="AS185" s="1" t="str">
        <f>IF(AND(AR185&gt;0, _xlfn.XLOOKUP($AM185, Discretionaries!$A$2:'Discretionaries'!$A$150, Discretionaries!$B$2:'Discretionaries'!$B$150)), (1+CPI!$B$15)*$N185, "")</f>
        <v/>
      </c>
      <c r="AT185" s="1" t="str">
        <f>IF(AND(AR185&gt;0, _xlfn.XLOOKUP($AM185, Discretionaries!$A$2:'Discretionaries'!$A$150, Discretionaries!$B$2:'Discretionaries'!$B$150)),AS185-$Q185,"")</f>
        <v/>
      </c>
    </row>
    <row r="186" spans="1:46" x14ac:dyDescent="0.3">
      <c r="A186" t="s">
        <v>425</v>
      </c>
      <c r="B186" t="str">
        <f t="shared" si="50"/>
        <v>20</v>
      </c>
      <c r="C186" t="s">
        <v>426</v>
      </c>
      <c r="D186" t="str">
        <f t="shared" si="51"/>
        <v>01</v>
      </c>
      <c r="E186" t="s">
        <v>11</v>
      </c>
      <c r="F186" s="139" t="s">
        <v>222</v>
      </c>
      <c r="G186" t="s">
        <v>266</v>
      </c>
      <c r="H186" s="156">
        <v>0</v>
      </c>
      <c r="I186" s="156">
        <v>0</v>
      </c>
      <c r="J186" s="156">
        <v>0</v>
      </c>
      <c r="K186" s="156">
        <v>0</v>
      </c>
      <c r="L186" s="156">
        <v>12398</v>
      </c>
      <c r="M186" s="156">
        <v>17182.91</v>
      </c>
      <c r="N186" s="156">
        <v>4536</v>
      </c>
      <c r="O186" s="156">
        <v>6261</v>
      </c>
      <c r="P186" s="156">
        <v>6261</v>
      </c>
      <c r="Q186" s="156">
        <v>6261</v>
      </c>
      <c r="R186" s="156">
        <v>6261</v>
      </c>
      <c r="S186" s="156">
        <f t="shared" si="52"/>
        <v>1725</v>
      </c>
      <c r="T186" s="156">
        <f t="shared" si="53"/>
        <v>0</v>
      </c>
      <c r="U186" s="140">
        <f t="shared" si="54"/>
        <v>0.38029100529100529</v>
      </c>
      <c r="V186" s="140" t="str">
        <f t="shared" si="55"/>
        <v/>
      </c>
      <c r="W186" s="140" t="str">
        <f t="shared" si="56"/>
        <v/>
      </c>
      <c r="X186" s="140">
        <f t="shared" si="57"/>
        <v>0.38594208743345698</v>
      </c>
      <c r="Y186" s="140" t="str">
        <f t="shared" si="58"/>
        <v/>
      </c>
      <c r="Z186" s="140" t="str">
        <f t="shared" si="59"/>
        <v/>
      </c>
      <c r="AA186" s="140" t="str">
        <f t="shared" si="60"/>
        <v/>
      </c>
      <c r="AB186" s="140" t="str">
        <f t="shared" si="61"/>
        <v/>
      </c>
      <c r="AC186" s="140">
        <f t="shared" si="62"/>
        <v>-0.63413453782868201</v>
      </c>
      <c r="AD186" s="140" t="str">
        <f t="shared" si="63"/>
        <v/>
      </c>
      <c r="AE186" s="140">
        <f t="shared" si="64"/>
        <v>0.38029100529100529</v>
      </c>
      <c r="AF186" s="140">
        <f t="shared" si="65"/>
        <v>0.38029100529100529</v>
      </c>
      <c r="AG186" s="140">
        <f t="shared" si="66"/>
        <v>0.38029100529100529</v>
      </c>
      <c r="AH186" s="140">
        <f t="shared" si="67"/>
        <v>0.38029100529100529</v>
      </c>
      <c r="AI186" s="140" t="str">
        <f t="shared" si="68"/>
        <v/>
      </c>
      <c r="AJ186" s="140" t="str">
        <f t="shared" si="69"/>
        <v/>
      </c>
      <c r="AK186" s="140" t="str">
        <f t="shared" si="70"/>
        <v/>
      </c>
      <c r="AL186" s="140" t="str">
        <f t="shared" si="71"/>
        <v/>
      </c>
      <c r="AM186" t="str">
        <f t="shared" si="72"/>
        <v>4151-000: Contractually Mandated Training Overtime</v>
      </c>
      <c r="AN186" s="140">
        <f t="shared" si="73"/>
        <v>-0.63413453782868201</v>
      </c>
      <c r="AO186" s="140">
        <f t="shared" si="74"/>
        <v>1.0144255431196874</v>
      </c>
      <c r="AP186" s="1" t="str">
        <f>IF(AND(AO186&gt;0, _xlfn.XLOOKUP($AM186, Discretionaries!$A$2:'Discretionaries'!$A$150, Discretionaries!$B$2:'Discretionaries'!$B$150)), (1+AN186)*$N186, "")</f>
        <v/>
      </c>
      <c r="AQ186" s="1" t="str">
        <f>IF(AND(AO186&gt;0, _xlfn.XLOOKUP($AM186, Discretionaries!$A$2:'Discretionaries'!$A$150, Discretionaries!$B$2:'Discretionaries'!$B$150)),AP186-$Q186,"")</f>
        <v/>
      </c>
      <c r="AR186" s="140">
        <f>IF(AG186="", 0-CPI!$B$15, AG186-CPI!$B$15)</f>
        <v>0.34129100529100531</v>
      </c>
      <c r="AS186" s="1" t="str">
        <f>IF(AND(AR186&gt;0, _xlfn.XLOOKUP($AM186, Discretionaries!$A$2:'Discretionaries'!$A$150, Discretionaries!$B$2:'Discretionaries'!$B$150)), (1+CPI!$B$15)*$N186, "")</f>
        <v/>
      </c>
      <c r="AT186" s="1" t="str">
        <f>IF(AND(AR186&gt;0, _xlfn.XLOOKUP($AM186, Discretionaries!$A$2:'Discretionaries'!$A$150, Discretionaries!$B$2:'Discretionaries'!$B$150)),AS186-$Q186,"")</f>
        <v/>
      </c>
    </row>
    <row r="187" spans="1:46" x14ac:dyDescent="0.3">
      <c r="A187" t="s">
        <v>425</v>
      </c>
      <c r="B187" t="str">
        <f t="shared" si="50"/>
        <v>20</v>
      </c>
      <c r="C187" t="s">
        <v>426</v>
      </c>
      <c r="D187" t="str">
        <f t="shared" si="51"/>
        <v>01</v>
      </c>
      <c r="E187" t="s">
        <v>11</v>
      </c>
      <c r="F187" s="139" t="s">
        <v>223</v>
      </c>
      <c r="G187" t="s">
        <v>224</v>
      </c>
      <c r="H187" s="156">
        <v>0</v>
      </c>
      <c r="I187" s="156">
        <v>0</v>
      </c>
      <c r="J187" s="156">
        <v>0</v>
      </c>
      <c r="K187" s="156">
        <v>0</v>
      </c>
      <c r="L187" s="156">
        <v>0</v>
      </c>
      <c r="M187" s="156">
        <v>0</v>
      </c>
      <c r="N187" s="156">
        <v>16983</v>
      </c>
      <c r="O187" s="156">
        <v>26665</v>
      </c>
      <c r="P187" s="156">
        <v>26665</v>
      </c>
      <c r="Q187" s="156">
        <v>26665</v>
      </c>
      <c r="R187" s="156">
        <v>26665</v>
      </c>
      <c r="S187" s="156">
        <f t="shared" si="52"/>
        <v>9682</v>
      </c>
      <c r="T187" s="156">
        <f t="shared" si="53"/>
        <v>0</v>
      </c>
      <c r="U187" s="140">
        <f t="shared" si="54"/>
        <v>0.57009951127598191</v>
      </c>
      <c r="V187" s="140" t="str">
        <f t="shared" si="55"/>
        <v/>
      </c>
      <c r="W187" s="140" t="str">
        <f t="shared" si="56"/>
        <v/>
      </c>
      <c r="X187" s="140" t="str">
        <f t="shared" si="57"/>
        <v/>
      </c>
      <c r="Y187" s="140" t="str">
        <f t="shared" si="58"/>
        <v/>
      </c>
      <c r="Z187" s="140" t="str">
        <f t="shared" si="59"/>
        <v/>
      </c>
      <c r="AA187" s="140" t="str">
        <f t="shared" si="60"/>
        <v/>
      </c>
      <c r="AB187" s="140" t="str">
        <f t="shared" si="61"/>
        <v/>
      </c>
      <c r="AC187" s="140" t="str">
        <f t="shared" si="62"/>
        <v/>
      </c>
      <c r="AD187" s="140" t="str">
        <f t="shared" si="63"/>
        <v/>
      </c>
      <c r="AE187" s="140">
        <f t="shared" si="64"/>
        <v>0.57009951127598191</v>
      </c>
      <c r="AF187" s="140">
        <f t="shared" si="65"/>
        <v>0.57009951127598191</v>
      </c>
      <c r="AG187" s="140">
        <f t="shared" si="66"/>
        <v>0.57009951127598191</v>
      </c>
      <c r="AH187" s="140">
        <f t="shared" si="67"/>
        <v>0.57009951127598191</v>
      </c>
      <c r="AI187" s="140" t="str">
        <f t="shared" si="68"/>
        <v/>
      </c>
      <c r="AJ187" s="140" t="str">
        <f t="shared" si="69"/>
        <v/>
      </c>
      <c r="AK187" s="140" t="str">
        <f t="shared" si="70"/>
        <v/>
      </c>
      <c r="AL187" s="140" t="str">
        <f t="shared" si="71"/>
        <v/>
      </c>
      <c r="AM187" t="str">
        <f t="shared" si="72"/>
        <v>4151-001: Legally Mandated Training - Salaries</v>
      </c>
      <c r="AN187" s="140">
        <f t="shared" si="73"/>
        <v>0</v>
      </c>
      <c r="AO187" s="140">
        <f t="shared" si="74"/>
        <v>0.57009951127598191</v>
      </c>
      <c r="AP187" s="1" t="str">
        <f>IF(AND(AO187&gt;0, _xlfn.XLOOKUP($AM187, Discretionaries!$A$2:'Discretionaries'!$A$150, Discretionaries!$B$2:'Discretionaries'!$B$150)), (1+AN187)*$N187, "")</f>
        <v/>
      </c>
      <c r="AQ187" s="1" t="str">
        <f>IF(AND(AO187&gt;0, _xlfn.XLOOKUP($AM187, Discretionaries!$A$2:'Discretionaries'!$A$150, Discretionaries!$B$2:'Discretionaries'!$B$150)),AP187-$Q187,"")</f>
        <v/>
      </c>
      <c r="AR187" s="140">
        <f>IF(AG187="", 0-CPI!$B$15, AG187-CPI!$B$15)</f>
        <v>0.53109951127598187</v>
      </c>
      <c r="AS187" s="1" t="str">
        <f>IF(AND(AR187&gt;0, _xlfn.XLOOKUP($AM187, Discretionaries!$A$2:'Discretionaries'!$A$150, Discretionaries!$B$2:'Discretionaries'!$B$150)), (1+CPI!$B$15)*$N187, "")</f>
        <v/>
      </c>
      <c r="AT187" s="1" t="str">
        <f>IF(AND(AR187&gt;0, _xlfn.XLOOKUP($AM187, Discretionaries!$A$2:'Discretionaries'!$A$150, Discretionaries!$B$2:'Discretionaries'!$B$150)),AS187-$Q187,"")</f>
        <v/>
      </c>
    </row>
    <row r="188" spans="1:46" x14ac:dyDescent="0.3">
      <c r="A188" t="s">
        <v>425</v>
      </c>
      <c r="B188" t="str">
        <f t="shared" si="50"/>
        <v>20</v>
      </c>
      <c r="C188" t="s">
        <v>426</v>
      </c>
      <c r="D188" t="str">
        <f t="shared" si="51"/>
        <v>01</v>
      </c>
      <c r="E188" t="s">
        <v>14</v>
      </c>
      <c r="F188" s="139" t="s">
        <v>41</v>
      </c>
      <c r="G188" t="s">
        <v>42</v>
      </c>
      <c r="H188" s="156">
        <v>81467</v>
      </c>
      <c r="I188" s="156">
        <v>51015.31</v>
      </c>
      <c r="J188" s="156">
        <v>88620</v>
      </c>
      <c r="K188" s="156">
        <v>59392.2</v>
      </c>
      <c r="L188" s="156">
        <v>84569</v>
      </c>
      <c r="M188" s="156">
        <v>46491.81</v>
      </c>
      <c r="N188" s="156">
        <v>42671</v>
      </c>
      <c r="O188" s="156">
        <v>51925</v>
      </c>
      <c r="P188" s="156">
        <v>51925</v>
      </c>
      <c r="Q188" s="156">
        <v>51925</v>
      </c>
      <c r="R188" s="156">
        <v>51925</v>
      </c>
      <c r="S188" s="156">
        <f t="shared" si="52"/>
        <v>9254</v>
      </c>
      <c r="T188" s="156">
        <f t="shared" si="53"/>
        <v>0</v>
      </c>
      <c r="U188" s="140">
        <f t="shared" si="54"/>
        <v>0.21686859928288532</v>
      </c>
      <c r="V188" s="140">
        <f t="shared" si="55"/>
        <v>-0.37379171934648386</v>
      </c>
      <c r="W188" s="140">
        <f t="shared" si="56"/>
        <v>-0.32981042654028442</v>
      </c>
      <c r="X188" s="140">
        <f t="shared" si="57"/>
        <v>-0.45024997339450629</v>
      </c>
      <c r="Y188" s="140">
        <f t="shared" si="58"/>
        <v>8.7802423067008722E-2</v>
      </c>
      <c r="Z188" s="140">
        <f t="shared" si="59"/>
        <v>0.16420345186572421</v>
      </c>
      <c r="AA188" s="140">
        <f t="shared" si="60"/>
        <v>-4.5712028887384334E-2</v>
      </c>
      <c r="AB188" s="140">
        <f t="shared" si="61"/>
        <v>-0.21720680493398123</v>
      </c>
      <c r="AC188" s="140">
        <f t="shared" si="62"/>
        <v>-0.49542976740886141</v>
      </c>
      <c r="AD188" s="140">
        <f t="shared" si="63"/>
        <v>-0.47621736408607168</v>
      </c>
      <c r="AE188" s="140">
        <f t="shared" si="64"/>
        <v>0.21686859928288532</v>
      </c>
      <c r="AF188" s="140">
        <f t="shared" si="65"/>
        <v>0.21686859928288532</v>
      </c>
      <c r="AG188" s="140">
        <f t="shared" si="66"/>
        <v>0.21686859928288532</v>
      </c>
      <c r="AH188" s="140">
        <f t="shared" si="67"/>
        <v>0.21686859928288532</v>
      </c>
      <c r="AI188" s="140">
        <f t="shared" si="68"/>
        <v>-0.36262535750672054</v>
      </c>
      <c r="AJ188" s="140">
        <f t="shared" si="69"/>
        <v>-0.36262535750672054</v>
      </c>
      <c r="AK188" s="140">
        <f t="shared" si="70"/>
        <v>-0.36262535750672054</v>
      </c>
      <c r="AL188" s="140">
        <f t="shared" si="71"/>
        <v>-0.36262535750672054</v>
      </c>
      <c r="AM188" t="str">
        <f t="shared" si="72"/>
        <v>4215-000: STD, LTD, &amp; Life Benefits</v>
      </c>
      <c r="AN188" s="140">
        <f t="shared" si="73"/>
        <v>-0.15111312440974567</v>
      </c>
      <c r="AO188" s="140">
        <f t="shared" si="74"/>
        <v>0.36798172369263099</v>
      </c>
      <c r="AP188" s="1" t="str">
        <f>IF(AND(AO188&gt;0, _xlfn.XLOOKUP($AM188, Discretionaries!$A$2:'Discretionaries'!$A$150, Discretionaries!$B$2:'Discretionaries'!$B$150)), (1+AN188)*$N188, "")</f>
        <v/>
      </c>
      <c r="AQ188" s="1" t="str">
        <f>IF(AND(AO188&gt;0, _xlfn.XLOOKUP($AM188, Discretionaries!$A$2:'Discretionaries'!$A$150, Discretionaries!$B$2:'Discretionaries'!$B$150)),AP188-$Q188,"")</f>
        <v/>
      </c>
      <c r="AR188" s="140">
        <f>IF(AG188="", 0-CPI!$B$15, AG188-CPI!$B$15)</f>
        <v>0.17786859928288534</v>
      </c>
      <c r="AS188" s="1" t="str">
        <f>IF(AND(AR188&gt;0, _xlfn.XLOOKUP($AM188, Discretionaries!$A$2:'Discretionaries'!$A$150, Discretionaries!$B$2:'Discretionaries'!$B$150)), (1+CPI!$B$15)*$N188, "")</f>
        <v/>
      </c>
      <c r="AT188" s="1" t="str">
        <f>IF(AND(AR188&gt;0, _xlfn.XLOOKUP($AM188, Discretionaries!$A$2:'Discretionaries'!$A$150, Discretionaries!$B$2:'Discretionaries'!$B$150)),AS188-$Q188,"")</f>
        <v/>
      </c>
    </row>
    <row r="189" spans="1:46" x14ac:dyDescent="0.3">
      <c r="A189" t="s">
        <v>425</v>
      </c>
      <c r="B189" t="str">
        <f t="shared" si="50"/>
        <v>20</v>
      </c>
      <c r="C189" t="s">
        <v>426</v>
      </c>
      <c r="D189" t="str">
        <f t="shared" si="51"/>
        <v>01</v>
      </c>
      <c r="E189" t="s">
        <v>14</v>
      </c>
      <c r="F189" s="139" t="s">
        <v>15</v>
      </c>
      <c r="G189" t="s">
        <v>16</v>
      </c>
      <c r="H189" s="156">
        <v>12758</v>
      </c>
      <c r="I189" s="156">
        <v>13733.95</v>
      </c>
      <c r="J189" s="156">
        <v>13369</v>
      </c>
      <c r="K189" s="156">
        <v>13154.73</v>
      </c>
      <c r="L189" s="156">
        <v>21008</v>
      </c>
      <c r="M189" s="156">
        <v>21092.29</v>
      </c>
      <c r="N189" s="156">
        <v>27358</v>
      </c>
      <c r="O189" s="156">
        <v>29147</v>
      </c>
      <c r="P189" s="156">
        <v>29147</v>
      </c>
      <c r="Q189" s="156">
        <v>29147</v>
      </c>
      <c r="R189" s="156">
        <v>29147</v>
      </c>
      <c r="S189" s="156">
        <f t="shared" si="52"/>
        <v>1789</v>
      </c>
      <c r="T189" s="156">
        <f t="shared" si="53"/>
        <v>0</v>
      </c>
      <c r="U189" s="140">
        <f t="shared" si="54"/>
        <v>6.5392207032677827E-2</v>
      </c>
      <c r="V189" s="140">
        <f t="shared" si="55"/>
        <v>7.6497099858912107E-2</v>
      </c>
      <c r="W189" s="140">
        <f t="shared" si="56"/>
        <v>-1.6027376767147911E-2</v>
      </c>
      <c r="X189" s="140">
        <f t="shared" si="57"/>
        <v>4.0122810357959291E-3</v>
      </c>
      <c r="Y189" s="140">
        <f t="shared" si="58"/>
        <v>4.7891519046872548E-2</v>
      </c>
      <c r="Z189" s="140">
        <f t="shared" si="59"/>
        <v>-4.2174319842434339E-2</v>
      </c>
      <c r="AA189" s="140">
        <f t="shared" si="60"/>
        <v>0.57139651432418281</v>
      </c>
      <c r="AB189" s="140">
        <f t="shared" si="61"/>
        <v>0.60339968969336522</v>
      </c>
      <c r="AC189" s="140">
        <f t="shared" si="62"/>
        <v>0.30226580350342724</v>
      </c>
      <c r="AD189" s="140">
        <f t="shared" si="63"/>
        <v>1.1443799968647124</v>
      </c>
      <c r="AE189" s="140">
        <f t="shared" si="64"/>
        <v>6.5392207032677827E-2</v>
      </c>
      <c r="AF189" s="140">
        <f t="shared" si="65"/>
        <v>6.5392207032677827E-2</v>
      </c>
      <c r="AG189" s="140">
        <f t="shared" si="66"/>
        <v>6.5392207032677827E-2</v>
      </c>
      <c r="AH189" s="140">
        <f t="shared" si="67"/>
        <v>6.5392207032677827E-2</v>
      </c>
      <c r="AI189" s="140">
        <f t="shared" si="68"/>
        <v>1.2846057375764226</v>
      </c>
      <c r="AJ189" s="140">
        <f t="shared" si="69"/>
        <v>1.2846057375764226</v>
      </c>
      <c r="AK189" s="140">
        <f t="shared" si="70"/>
        <v>1.2846057375764226</v>
      </c>
      <c r="AL189" s="140">
        <f t="shared" si="71"/>
        <v>1.2846057375764226</v>
      </c>
      <c r="AM189" t="str">
        <f t="shared" si="72"/>
        <v>4220-000: FICA Benefits</v>
      </c>
      <c r="AN189" s="140">
        <f t="shared" si="73"/>
        <v>0.30718461229149419</v>
      </c>
      <c r="AO189" s="140">
        <f t="shared" si="74"/>
        <v>-0.24179240525881635</v>
      </c>
      <c r="AP189" s="1" t="str">
        <f>IF(AND(AO189&gt;0, _xlfn.XLOOKUP($AM189, Discretionaries!$A$2:'Discretionaries'!$A$150, Discretionaries!$B$2:'Discretionaries'!$B$150)), (1+AN189)*$N189, "")</f>
        <v/>
      </c>
      <c r="AQ189" s="1" t="str">
        <f>IF(AND(AO189&gt;0, _xlfn.XLOOKUP($AM189, Discretionaries!$A$2:'Discretionaries'!$A$150, Discretionaries!$B$2:'Discretionaries'!$B$150)),AP189-$Q189,"")</f>
        <v/>
      </c>
      <c r="AR189" s="140">
        <f>IF(AG189="", 0-CPI!$B$15, AG189-CPI!$B$15)</f>
        <v>2.6392207032677834E-2</v>
      </c>
      <c r="AS189" s="1" t="str">
        <f>IF(AND(AR189&gt;0, _xlfn.XLOOKUP($AM189, Discretionaries!$A$2:'Discretionaries'!$A$150, Discretionaries!$B$2:'Discretionaries'!$B$150)), (1+CPI!$B$15)*$N189, "")</f>
        <v/>
      </c>
      <c r="AT189" s="1" t="str">
        <f>IF(AND(AR189&gt;0, _xlfn.XLOOKUP($AM189, Discretionaries!$A$2:'Discretionaries'!$A$150, Discretionaries!$B$2:'Discretionaries'!$B$150)),AS189-$Q189,"")</f>
        <v/>
      </c>
    </row>
    <row r="190" spans="1:46" x14ac:dyDescent="0.3">
      <c r="A190" t="s">
        <v>425</v>
      </c>
      <c r="B190" t="str">
        <f t="shared" si="50"/>
        <v>20</v>
      </c>
      <c r="C190" t="s">
        <v>426</v>
      </c>
      <c r="D190" t="str">
        <f t="shared" si="51"/>
        <v>01</v>
      </c>
      <c r="E190" t="s">
        <v>14</v>
      </c>
      <c r="F190" s="139" t="s">
        <v>17</v>
      </c>
      <c r="G190" t="s">
        <v>18</v>
      </c>
      <c r="H190" s="156">
        <v>20143</v>
      </c>
      <c r="I190" s="156">
        <v>20514.23</v>
      </c>
      <c r="J190" s="156">
        <v>20820</v>
      </c>
      <c r="K190" s="156">
        <v>20661.93</v>
      </c>
      <c r="L190" s="156">
        <v>23272</v>
      </c>
      <c r="M190" s="156">
        <v>23905.65</v>
      </c>
      <c r="N190" s="156">
        <v>27794</v>
      </c>
      <c r="O190" s="156">
        <v>29658</v>
      </c>
      <c r="P190" s="156">
        <v>29658</v>
      </c>
      <c r="Q190" s="156">
        <v>29658</v>
      </c>
      <c r="R190" s="156">
        <v>29658</v>
      </c>
      <c r="S190" s="156">
        <f t="shared" si="52"/>
        <v>1864</v>
      </c>
      <c r="T190" s="156">
        <f t="shared" si="53"/>
        <v>0</v>
      </c>
      <c r="U190" s="140">
        <f t="shared" si="54"/>
        <v>6.7064834136864065E-2</v>
      </c>
      <c r="V190" s="140">
        <f t="shared" si="55"/>
        <v>1.8429727448741478E-2</v>
      </c>
      <c r="W190" s="140">
        <f t="shared" si="56"/>
        <v>-7.5922190201728971E-3</v>
      </c>
      <c r="X190" s="140">
        <f t="shared" si="57"/>
        <v>2.7227999312478577E-2</v>
      </c>
      <c r="Y190" s="140">
        <f t="shared" si="58"/>
        <v>3.3609690711413391E-2</v>
      </c>
      <c r="Z190" s="140">
        <f t="shared" si="59"/>
        <v>7.1998802782264181E-3</v>
      </c>
      <c r="AA190" s="140">
        <f t="shared" si="60"/>
        <v>0.11777137367915466</v>
      </c>
      <c r="AB190" s="140">
        <f t="shared" si="61"/>
        <v>0.15699017468358478</v>
      </c>
      <c r="AC190" s="140">
        <f t="shared" si="62"/>
        <v>0.19431075971124098</v>
      </c>
      <c r="AD190" s="140">
        <f t="shared" si="63"/>
        <v>0.37983418557315196</v>
      </c>
      <c r="AE190" s="140">
        <f t="shared" si="64"/>
        <v>6.7064834136864065E-2</v>
      </c>
      <c r="AF190" s="140">
        <f t="shared" si="65"/>
        <v>6.7064834136864065E-2</v>
      </c>
      <c r="AG190" s="140">
        <f t="shared" si="66"/>
        <v>6.7064834136864065E-2</v>
      </c>
      <c r="AH190" s="140">
        <f t="shared" si="67"/>
        <v>6.7064834136864065E-2</v>
      </c>
      <c r="AI190" s="140">
        <f t="shared" si="68"/>
        <v>0.47237253636499033</v>
      </c>
      <c r="AJ190" s="140">
        <f t="shared" si="69"/>
        <v>0.47237253636499033</v>
      </c>
      <c r="AK190" s="140">
        <f t="shared" si="70"/>
        <v>0.47237253636499033</v>
      </c>
      <c r="AL190" s="140">
        <f t="shared" si="71"/>
        <v>0.47237253636499033</v>
      </c>
      <c r="AM190" t="str">
        <f t="shared" si="72"/>
        <v>4225-000: Medicare Benefits</v>
      </c>
      <c r="AN190" s="140">
        <f t="shared" si="73"/>
        <v>0.11523060803393635</v>
      </c>
      <c r="AO190" s="140">
        <f t="shared" si="74"/>
        <v>-4.8165773897072287E-2</v>
      </c>
      <c r="AP190" s="1" t="str">
        <f>IF(AND(AO190&gt;0, _xlfn.XLOOKUP($AM190, Discretionaries!$A$2:'Discretionaries'!$A$150, Discretionaries!$B$2:'Discretionaries'!$B$150)), (1+AN190)*$N190, "")</f>
        <v/>
      </c>
      <c r="AQ190" s="1" t="str">
        <f>IF(AND(AO190&gt;0, _xlfn.XLOOKUP($AM190, Discretionaries!$A$2:'Discretionaries'!$A$150, Discretionaries!$B$2:'Discretionaries'!$B$150)),AP190-$Q190,"")</f>
        <v/>
      </c>
      <c r="AR190" s="140">
        <f>IF(AG190="", 0-CPI!$B$15, AG190-CPI!$B$15)</f>
        <v>2.8064834136864072E-2</v>
      </c>
      <c r="AS190" s="1" t="str">
        <f>IF(AND(AR190&gt;0, _xlfn.XLOOKUP($AM190, Discretionaries!$A$2:'Discretionaries'!$A$150, Discretionaries!$B$2:'Discretionaries'!$B$150)), (1+CPI!$B$15)*$N190, "")</f>
        <v/>
      </c>
      <c r="AT190" s="1" t="str">
        <f>IF(AND(AR190&gt;0, _xlfn.XLOOKUP($AM190, Discretionaries!$A$2:'Discretionaries'!$A$150, Discretionaries!$B$2:'Discretionaries'!$B$150)),AS190-$Q190,"")</f>
        <v/>
      </c>
    </row>
    <row r="191" spans="1:46" x14ac:dyDescent="0.3">
      <c r="A191" t="s">
        <v>425</v>
      </c>
      <c r="B191" t="str">
        <f t="shared" si="50"/>
        <v>20</v>
      </c>
      <c r="C191" t="s">
        <v>426</v>
      </c>
      <c r="D191" t="str">
        <f t="shared" si="51"/>
        <v>01</v>
      </c>
      <c r="E191" t="s">
        <v>14</v>
      </c>
      <c r="F191" s="139" t="s">
        <v>43</v>
      </c>
      <c r="G191" t="s">
        <v>44</v>
      </c>
      <c r="H191" s="156">
        <v>429865</v>
      </c>
      <c r="I191" s="156">
        <v>439917.04</v>
      </c>
      <c r="J191" s="156">
        <v>410850</v>
      </c>
      <c r="K191" s="156">
        <v>403223.11</v>
      </c>
      <c r="L191" s="156">
        <v>441879</v>
      </c>
      <c r="M191" s="156">
        <v>453659.15</v>
      </c>
      <c r="N191" s="156">
        <v>515576</v>
      </c>
      <c r="O191" s="156">
        <v>547474</v>
      </c>
      <c r="P191" s="156">
        <v>547474</v>
      </c>
      <c r="Q191" s="156">
        <v>547474</v>
      </c>
      <c r="R191" s="156">
        <v>547474</v>
      </c>
      <c r="S191" s="156">
        <f t="shared" si="52"/>
        <v>31898</v>
      </c>
      <c r="T191" s="156">
        <f t="shared" si="53"/>
        <v>0</v>
      </c>
      <c r="U191" s="140">
        <f t="shared" si="54"/>
        <v>6.1868667276987289E-2</v>
      </c>
      <c r="V191" s="140">
        <f t="shared" si="55"/>
        <v>2.3384178753794747E-2</v>
      </c>
      <c r="W191" s="140">
        <f t="shared" si="56"/>
        <v>-1.8563685043203149E-2</v>
      </c>
      <c r="X191" s="140">
        <f t="shared" si="57"/>
        <v>2.6659221189511209E-2</v>
      </c>
      <c r="Y191" s="140">
        <f t="shared" si="58"/>
        <v>-4.4234817907947845E-2</v>
      </c>
      <c r="Z191" s="140">
        <f t="shared" si="59"/>
        <v>-8.3411022223644701E-2</v>
      </c>
      <c r="AA191" s="140">
        <f t="shared" si="60"/>
        <v>7.5523913837166848E-2</v>
      </c>
      <c r="AB191" s="140">
        <f t="shared" si="61"/>
        <v>0.12508221564979258</v>
      </c>
      <c r="AC191" s="140">
        <f t="shared" si="62"/>
        <v>0.1667809513464093</v>
      </c>
      <c r="AD191" s="140">
        <f t="shared" si="63"/>
        <v>0.19939050632175218</v>
      </c>
      <c r="AE191" s="140">
        <f t="shared" si="64"/>
        <v>6.1868667276987289E-2</v>
      </c>
      <c r="AF191" s="140">
        <f t="shared" si="65"/>
        <v>6.1868667276987289E-2</v>
      </c>
      <c r="AG191" s="140">
        <f t="shared" si="66"/>
        <v>6.1868667276987289E-2</v>
      </c>
      <c r="AH191" s="140">
        <f t="shared" si="67"/>
        <v>6.1868667276987289E-2</v>
      </c>
      <c r="AI191" s="140">
        <f t="shared" si="68"/>
        <v>0.27359519849254998</v>
      </c>
      <c r="AJ191" s="140">
        <f t="shared" si="69"/>
        <v>0.27359519849254998</v>
      </c>
      <c r="AK191" s="140">
        <f t="shared" si="70"/>
        <v>0.27359519849254998</v>
      </c>
      <c r="AL191" s="140">
        <f t="shared" si="71"/>
        <v>0.27359519849254998</v>
      </c>
      <c r="AM191" t="str">
        <f t="shared" si="72"/>
        <v>4230-000: Retirement Benefits</v>
      </c>
      <c r="AN191" s="140">
        <f t="shared" si="73"/>
        <v>6.6023349091876099E-2</v>
      </c>
      <c r="AO191" s="140">
        <f t="shared" si="74"/>
        <v>-4.1546818148888096E-3</v>
      </c>
      <c r="AP191" s="1" t="str">
        <f>IF(AND(AO191&gt;0, _xlfn.XLOOKUP($AM191, Discretionaries!$A$2:'Discretionaries'!$A$150, Discretionaries!$B$2:'Discretionaries'!$B$150)), (1+AN191)*$N191, "")</f>
        <v/>
      </c>
      <c r="AQ191" s="1" t="str">
        <f>IF(AND(AO191&gt;0, _xlfn.XLOOKUP($AM191, Discretionaries!$A$2:'Discretionaries'!$A$150, Discretionaries!$B$2:'Discretionaries'!$B$150)),AP191-$Q191,"")</f>
        <v/>
      </c>
      <c r="AR191" s="140">
        <f>IF(AG191="", 0-CPI!$B$15, AG191-CPI!$B$15)</f>
        <v>2.2868667276987296E-2</v>
      </c>
      <c r="AS191" s="1" t="str">
        <f>IF(AND(AR191&gt;0, _xlfn.XLOOKUP($AM191, Discretionaries!$A$2:'Discretionaries'!$A$150, Discretionaries!$B$2:'Discretionaries'!$B$150)), (1+CPI!$B$15)*$N191, "")</f>
        <v/>
      </c>
      <c r="AT191" s="1" t="str">
        <f>IF(AND(AR191&gt;0, _xlfn.XLOOKUP($AM191, Discretionaries!$A$2:'Discretionaries'!$A$150, Discretionaries!$B$2:'Discretionaries'!$B$150)),AS191-$Q191,"")</f>
        <v/>
      </c>
    </row>
    <row r="192" spans="1:46" x14ac:dyDescent="0.3">
      <c r="A192" t="s">
        <v>425</v>
      </c>
      <c r="B192" t="str">
        <f t="shared" si="50"/>
        <v>20</v>
      </c>
      <c r="C192" t="s">
        <v>426</v>
      </c>
      <c r="D192" t="str">
        <f t="shared" si="51"/>
        <v>01</v>
      </c>
      <c r="E192" t="s">
        <v>14</v>
      </c>
      <c r="F192" s="139" t="s">
        <v>59</v>
      </c>
      <c r="G192" t="s">
        <v>60</v>
      </c>
      <c r="H192" s="156">
        <v>60000</v>
      </c>
      <c r="I192" s="156">
        <v>13869.65</v>
      </c>
      <c r="J192" s="156">
        <v>60000</v>
      </c>
      <c r="K192" s="156">
        <v>17994</v>
      </c>
      <c r="L192" s="156">
        <v>60000</v>
      </c>
      <c r="M192" s="156">
        <v>5232</v>
      </c>
      <c r="N192" s="156">
        <v>60000</v>
      </c>
      <c r="O192" s="156">
        <v>60000</v>
      </c>
      <c r="P192" s="156">
        <v>60000</v>
      </c>
      <c r="Q192" s="156">
        <v>60000</v>
      </c>
      <c r="R192" s="156">
        <v>60000</v>
      </c>
      <c r="S192" s="156">
        <f t="shared" si="52"/>
        <v>0</v>
      </c>
      <c r="T192" s="156">
        <f t="shared" si="53"/>
        <v>0</v>
      </c>
      <c r="U192" s="140">
        <f t="shared" si="54"/>
        <v>0</v>
      </c>
      <c r="V192" s="140">
        <f t="shared" si="55"/>
        <v>-0.76883916666666663</v>
      </c>
      <c r="W192" s="140">
        <f t="shared" si="56"/>
        <v>-0.70009999999999994</v>
      </c>
      <c r="X192" s="140">
        <f t="shared" si="57"/>
        <v>-0.91279999999999994</v>
      </c>
      <c r="Y192" s="140">
        <f t="shared" si="58"/>
        <v>0</v>
      </c>
      <c r="Z192" s="140">
        <f t="shared" si="59"/>
        <v>0.29736511015058059</v>
      </c>
      <c r="AA192" s="140">
        <f t="shared" si="60"/>
        <v>0</v>
      </c>
      <c r="AB192" s="140">
        <f t="shared" si="61"/>
        <v>-0.70923641213737909</v>
      </c>
      <c r="AC192" s="140">
        <f t="shared" si="62"/>
        <v>0</v>
      </c>
      <c r="AD192" s="140">
        <f t="shared" si="63"/>
        <v>0</v>
      </c>
      <c r="AE192" s="140">
        <f t="shared" si="64"/>
        <v>0</v>
      </c>
      <c r="AF192" s="140">
        <f t="shared" si="65"/>
        <v>0</v>
      </c>
      <c r="AG192" s="140">
        <f t="shared" si="66"/>
        <v>0</v>
      </c>
      <c r="AH192" s="140">
        <f t="shared" si="67"/>
        <v>0</v>
      </c>
      <c r="AI192" s="140">
        <f t="shared" si="68"/>
        <v>0</v>
      </c>
      <c r="AJ192" s="140">
        <f t="shared" si="69"/>
        <v>0</v>
      </c>
      <c r="AK192" s="140">
        <f t="shared" si="70"/>
        <v>0</v>
      </c>
      <c r="AL192" s="140">
        <f t="shared" si="71"/>
        <v>0</v>
      </c>
      <c r="AM192" t="str">
        <f t="shared" si="72"/>
        <v>4240-000: Tuition reimbursement Benefits</v>
      </c>
      <c r="AN192" s="140">
        <f t="shared" si="73"/>
        <v>0</v>
      </c>
      <c r="AO192" s="140">
        <f t="shared" si="74"/>
        <v>0</v>
      </c>
      <c r="AP192" s="1" t="str">
        <f>IF(AND(AO192&gt;0, _xlfn.XLOOKUP($AM192, Discretionaries!$A$2:'Discretionaries'!$A$150, Discretionaries!$B$2:'Discretionaries'!$B$150)), (1+AN192)*$N192, "")</f>
        <v/>
      </c>
      <c r="AQ192" s="1" t="str">
        <f>IF(AND(AO192&gt;0, _xlfn.XLOOKUP($AM192, Discretionaries!$A$2:'Discretionaries'!$A$150, Discretionaries!$B$2:'Discretionaries'!$B$150)),AP192-$Q192,"")</f>
        <v/>
      </c>
      <c r="AR192" s="140">
        <f>IF(AG192="", 0-CPI!$B$15, AG192-CPI!$B$15)</f>
        <v>-3.8999999999999993E-2</v>
      </c>
      <c r="AS192" s="1" t="str">
        <f>IF(AND(AR192&gt;0, _xlfn.XLOOKUP($AM192, Discretionaries!$A$2:'Discretionaries'!$A$150, Discretionaries!$B$2:'Discretionaries'!$B$150)), (1+CPI!$B$15)*$N192, "")</f>
        <v/>
      </c>
      <c r="AT192" s="1" t="str">
        <f>IF(AND(AR192&gt;0, _xlfn.XLOOKUP($AM192, Discretionaries!$A$2:'Discretionaries'!$A$150, Discretionaries!$B$2:'Discretionaries'!$B$150)),AS192-$Q192,"")</f>
        <v/>
      </c>
    </row>
    <row r="193" spans="1:46" x14ac:dyDescent="0.3">
      <c r="A193" t="s">
        <v>425</v>
      </c>
      <c r="B193" t="str">
        <f t="shared" si="50"/>
        <v>20</v>
      </c>
      <c r="C193" t="s">
        <v>426</v>
      </c>
      <c r="D193" t="str">
        <f t="shared" si="51"/>
        <v>01</v>
      </c>
      <c r="E193" t="s">
        <v>14</v>
      </c>
      <c r="F193" s="139" t="s">
        <v>19</v>
      </c>
      <c r="G193" t="s">
        <v>20</v>
      </c>
      <c r="H193" s="156">
        <v>20547</v>
      </c>
      <c r="I193" s="156">
        <v>21097.67</v>
      </c>
      <c r="J193" s="156">
        <v>21761</v>
      </c>
      <c r="K193" s="156">
        <v>23187.08</v>
      </c>
      <c r="L193" s="156">
        <v>25984</v>
      </c>
      <c r="M193" s="156">
        <v>25984.16</v>
      </c>
      <c r="N193" s="156">
        <v>30701</v>
      </c>
      <c r="O193" s="156">
        <v>30244</v>
      </c>
      <c r="P193" s="156">
        <v>30244</v>
      </c>
      <c r="Q193" s="156">
        <v>30244</v>
      </c>
      <c r="R193" s="156">
        <v>30244</v>
      </c>
      <c r="S193" s="156">
        <f t="shared" si="52"/>
        <v>-457</v>
      </c>
      <c r="T193" s="156">
        <f t="shared" si="53"/>
        <v>0</v>
      </c>
      <c r="U193" s="140">
        <f t="shared" si="54"/>
        <v>-1.4885508615354549E-2</v>
      </c>
      <c r="V193" s="140">
        <f t="shared" si="55"/>
        <v>2.6800506156616454E-2</v>
      </c>
      <c r="W193" s="140">
        <f t="shared" si="56"/>
        <v>6.5533753044437371E-2</v>
      </c>
      <c r="X193" s="140">
        <f t="shared" si="57"/>
        <v>6.1576354679746954E-6</v>
      </c>
      <c r="Y193" s="140">
        <f t="shared" si="58"/>
        <v>5.9084051199688521E-2</v>
      </c>
      <c r="Z193" s="140">
        <f t="shared" si="59"/>
        <v>9.9035106720315735E-2</v>
      </c>
      <c r="AA193" s="140">
        <f t="shared" si="60"/>
        <v>0.19406277285051238</v>
      </c>
      <c r="AB193" s="140">
        <f t="shared" si="61"/>
        <v>0.12063097207582835</v>
      </c>
      <c r="AC193" s="140">
        <f t="shared" si="62"/>
        <v>0.1815347906403941</v>
      </c>
      <c r="AD193" s="140">
        <f t="shared" si="63"/>
        <v>0.49418406580036017</v>
      </c>
      <c r="AE193" s="140">
        <f t="shared" si="64"/>
        <v>-1.4885508615354549E-2</v>
      </c>
      <c r="AF193" s="140">
        <f t="shared" si="65"/>
        <v>-1.4885508615354549E-2</v>
      </c>
      <c r="AG193" s="140">
        <f t="shared" si="66"/>
        <v>-1.4885508615354549E-2</v>
      </c>
      <c r="AH193" s="140">
        <f t="shared" si="67"/>
        <v>-1.4885508615354549E-2</v>
      </c>
      <c r="AI193" s="140">
        <f t="shared" si="68"/>
        <v>0.47194237601596339</v>
      </c>
      <c r="AJ193" s="140">
        <f t="shared" si="69"/>
        <v>0.47194237601596339</v>
      </c>
      <c r="AK193" s="140">
        <f t="shared" si="70"/>
        <v>0.47194237601596339</v>
      </c>
      <c r="AL193" s="140">
        <f t="shared" si="71"/>
        <v>0.47194237601596339</v>
      </c>
      <c r="AM193" t="str">
        <f t="shared" si="72"/>
        <v>4260-000: Workers' comp Benefits</v>
      </c>
      <c r="AN193" s="140">
        <f t="shared" si="73"/>
        <v>0.14489387156353165</v>
      </c>
      <c r="AO193" s="140">
        <f t="shared" si="74"/>
        <v>-0.15977938017888618</v>
      </c>
      <c r="AP193" s="1" t="str">
        <f>IF(AND(AO193&gt;0, _xlfn.XLOOKUP($AM193, Discretionaries!$A$2:'Discretionaries'!$A$150, Discretionaries!$B$2:'Discretionaries'!$B$150)), (1+AN193)*$N193, "")</f>
        <v/>
      </c>
      <c r="AQ193" s="1" t="str">
        <f>IF(AND(AO193&gt;0, _xlfn.XLOOKUP($AM193, Discretionaries!$A$2:'Discretionaries'!$A$150, Discretionaries!$B$2:'Discretionaries'!$B$150)),AP193-$Q193,"")</f>
        <v/>
      </c>
      <c r="AR193" s="140">
        <f>IF(AG193="", 0-CPI!$B$15, AG193-CPI!$B$15)</f>
        <v>-5.3885508615354544E-2</v>
      </c>
      <c r="AS193" s="1" t="str">
        <f>IF(AND(AR193&gt;0, _xlfn.XLOOKUP($AM193, Discretionaries!$A$2:'Discretionaries'!$A$150, Discretionaries!$B$2:'Discretionaries'!$B$150)), (1+CPI!$B$15)*$N193, "")</f>
        <v/>
      </c>
      <c r="AT193" s="1" t="str">
        <f>IF(AND(AR193&gt;0, _xlfn.XLOOKUP($AM193, Discretionaries!$A$2:'Discretionaries'!$A$150, Discretionaries!$B$2:'Discretionaries'!$B$150)),AS193-$Q193,"")</f>
        <v/>
      </c>
    </row>
    <row r="194" spans="1:46" x14ac:dyDescent="0.3">
      <c r="A194" t="s">
        <v>425</v>
      </c>
      <c r="B194" t="str">
        <f t="shared" ref="B194:B257" si="75">LEFT(A194, 2)</f>
        <v>20</v>
      </c>
      <c r="C194" t="s">
        <v>426</v>
      </c>
      <c r="D194" t="str">
        <f t="shared" ref="D194:D257" si="76">LEFT(C194, 2)</f>
        <v>01</v>
      </c>
      <c r="E194" t="s">
        <v>21</v>
      </c>
      <c r="F194" s="139" t="s">
        <v>225</v>
      </c>
      <c r="G194" t="s">
        <v>226</v>
      </c>
      <c r="H194" s="156">
        <v>0</v>
      </c>
      <c r="I194" s="156">
        <v>0</v>
      </c>
      <c r="J194" s="156">
        <v>0</v>
      </c>
      <c r="K194" s="156">
        <v>0</v>
      </c>
      <c r="L194" s="156">
        <v>0</v>
      </c>
      <c r="M194" s="156">
        <v>0</v>
      </c>
      <c r="N194" s="156">
        <v>0</v>
      </c>
      <c r="O194" s="156">
        <v>0</v>
      </c>
      <c r="P194" s="156">
        <v>0</v>
      </c>
      <c r="Q194" s="156">
        <v>0</v>
      </c>
      <c r="R194" s="156">
        <v>0</v>
      </c>
      <c r="S194" s="156">
        <f t="shared" ref="S194:S257" si="77">Q194 - N194</f>
        <v>0</v>
      </c>
      <c r="T194" s="156">
        <f t="shared" ref="T194:T257" si="78">Q194 - R194</f>
        <v>0</v>
      </c>
      <c r="U194" s="140" t="str">
        <f t="shared" ref="U194:U257" si="79">IFERROR((Q194 - N194) / N194, "")</f>
        <v/>
      </c>
      <c r="V194" s="140" t="str">
        <f t="shared" ref="V194:V257" si="80">IFERROR((I194 - H194) / H194, "")</f>
        <v/>
      </c>
      <c r="W194" s="140" t="str">
        <f t="shared" ref="W194:W257" si="81">IFERROR((K194 - J194) / J194, "")</f>
        <v/>
      </c>
      <c r="X194" s="140" t="str">
        <f t="shared" ref="X194:X257" si="82">IFERROR((M194 - L194) / L194, "")</f>
        <v/>
      </c>
      <c r="Y194" s="140" t="str">
        <f t="shared" ref="Y194:Y257" si="83">IFERROR((J194 - H194) / H194, "")</f>
        <v/>
      </c>
      <c r="Z194" s="140" t="str">
        <f t="shared" ref="Z194:Z257" si="84">IFERROR((K194 - I194) / I194, "")</f>
        <v/>
      </c>
      <c r="AA194" s="140" t="str">
        <f t="shared" ref="AA194:AA257" si="85">IFERROR((L194 - J194) / J194, "")</f>
        <v/>
      </c>
      <c r="AB194" s="140" t="str">
        <f t="shared" ref="AB194:AB257" si="86">IFERROR((M194 - K194) / K194, "")</f>
        <v/>
      </c>
      <c r="AC194" s="140" t="str">
        <f t="shared" ref="AC194:AC257" si="87">IFERROR((N194 - L194) / L194, "")</f>
        <v/>
      </c>
      <c r="AD194" s="140" t="str">
        <f t="shared" ref="AD194:AD257" si="88">IFERROR((N194 - H194) / H194, "")</f>
        <v/>
      </c>
      <c r="AE194" s="140" t="str">
        <f t="shared" ref="AE194:AE257" si="89">IFERROR((O194 - N194) / N194, "")</f>
        <v/>
      </c>
      <c r="AF194" s="140" t="str">
        <f t="shared" ref="AF194:AF257" si="90">IFERROR((P194 - N194) / N194, "")</f>
        <v/>
      </c>
      <c r="AG194" s="140" t="str">
        <f t="shared" ref="AG194:AG257" si="91">IFERROR((Q194 - N194) / N194, "")</f>
        <v/>
      </c>
      <c r="AH194" s="140" t="str">
        <f t="shared" ref="AH194:AH257" si="92">IFERROR((R194 - N194) / N194, "")</f>
        <v/>
      </c>
      <c r="AI194" s="140" t="str">
        <f t="shared" ref="AI194:AI257" si="93">IFERROR((O194 - H194) / H194, "")</f>
        <v/>
      </c>
      <c r="AJ194" s="140" t="str">
        <f t="shared" ref="AJ194:AJ257" si="94">IFERROR((P194 - H194) / H194, "")</f>
        <v/>
      </c>
      <c r="AK194" s="140" t="str">
        <f t="shared" ref="AK194:AK257" si="95">IFERROR((Q194 - H194) / H194, "")</f>
        <v/>
      </c>
      <c r="AL194" s="140" t="str">
        <f t="shared" ref="AL194:AL257" si="96">IFERROR((R194 - H194) / H194, "")</f>
        <v/>
      </c>
      <c r="AM194" t="str">
        <f t="shared" ref="AM194:AM257" si="97">_xlfn.CONCAT(TRIM(F194), ": ", TRIM(G194))</f>
        <v>4290-000: Uniforms &amp; cleaning Benefits</v>
      </c>
      <c r="AN194" s="140">
        <f t="shared" si="73"/>
        <v>0</v>
      </c>
      <c r="AO194" s="140">
        <f t="shared" si="74"/>
        <v>0</v>
      </c>
      <c r="AP194" s="1" t="str">
        <f>IF(AND(AO194&gt;0, _xlfn.XLOOKUP($AM194, Discretionaries!$A$2:'Discretionaries'!$A$150, Discretionaries!$B$2:'Discretionaries'!$B$150)), (1+AN194)*$N194, "")</f>
        <v/>
      </c>
      <c r="AQ194" s="1" t="str">
        <f>IF(AND(AO194&gt;0, _xlfn.XLOOKUP($AM194, Discretionaries!$A$2:'Discretionaries'!$A$150, Discretionaries!$B$2:'Discretionaries'!$B$150)),AP194-$Q194,"")</f>
        <v/>
      </c>
      <c r="AR194" s="140">
        <f>IF(AG194="", 0-CPI!$B$15, AG194-CPI!$B$15)</f>
        <v>-3.8999999999999993E-2</v>
      </c>
      <c r="AS194" s="1" t="str">
        <f>IF(AND(AR194&gt;0, _xlfn.XLOOKUP($AM194, Discretionaries!$A$2:'Discretionaries'!$A$150, Discretionaries!$B$2:'Discretionaries'!$B$150)), (1+CPI!$B$15)*$N194, "")</f>
        <v/>
      </c>
      <c r="AT194" s="1" t="str">
        <f>IF(AND(AR194&gt;0, _xlfn.XLOOKUP($AM194, Discretionaries!$A$2:'Discretionaries'!$A$150, Discretionaries!$B$2:'Discretionaries'!$B$150)),AS194-$Q194,"")</f>
        <v/>
      </c>
    </row>
    <row r="195" spans="1:46" x14ac:dyDescent="0.3">
      <c r="A195" t="s">
        <v>425</v>
      </c>
      <c r="B195" t="str">
        <f t="shared" si="75"/>
        <v>20</v>
      </c>
      <c r="C195" t="s">
        <v>426</v>
      </c>
      <c r="D195" t="str">
        <f t="shared" si="76"/>
        <v>01</v>
      </c>
      <c r="E195" t="s">
        <v>21</v>
      </c>
      <c r="F195" s="139" t="s">
        <v>227</v>
      </c>
      <c r="G195" t="s">
        <v>228</v>
      </c>
      <c r="H195" s="156">
        <v>0</v>
      </c>
      <c r="I195" s="156">
        <v>0</v>
      </c>
      <c r="J195" s="156">
        <v>0</v>
      </c>
      <c r="K195" s="156">
        <v>0</v>
      </c>
      <c r="L195" s="156">
        <v>0</v>
      </c>
      <c r="M195" s="156">
        <v>0</v>
      </c>
      <c r="N195" s="156">
        <v>32177</v>
      </c>
      <c r="O195" s="156">
        <v>32177</v>
      </c>
      <c r="P195" s="156">
        <v>32177</v>
      </c>
      <c r="Q195" s="156">
        <v>32177</v>
      </c>
      <c r="R195" s="156">
        <v>32177</v>
      </c>
      <c r="S195" s="156">
        <f t="shared" si="77"/>
        <v>0</v>
      </c>
      <c r="T195" s="156">
        <f t="shared" si="78"/>
        <v>0</v>
      </c>
      <c r="U195" s="140">
        <f t="shared" si="79"/>
        <v>0</v>
      </c>
      <c r="V195" s="140" t="str">
        <f t="shared" si="80"/>
        <v/>
      </c>
      <c r="W195" s="140" t="str">
        <f t="shared" si="81"/>
        <v/>
      </c>
      <c r="X195" s="140" t="str">
        <f t="shared" si="82"/>
        <v/>
      </c>
      <c r="Y195" s="140" t="str">
        <f t="shared" si="83"/>
        <v/>
      </c>
      <c r="Z195" s="140" t="str">
        <f t="shared" si="84"/>
        <v/>
      </c>
      <c r="AA195" s="140" t="str">
        <f t="shared" si="85"/>
        <v/>
      </c>
      <c r="AB195" s="140" t="str">
        <f t="shared" si="86"/>
        <v/>
      </c>
      <c r="AC195" s="140" t="str">
        <f t="shared" si="87"/>
        <v/>
      </c>
      <c r="AD195" s="140" t="str">
        <f t="shared" si="88"/>
        <v/>
      </c>
      <c r="AE195" s="140">
        <f t="shared" si="89"/>
        <v>0</v>
      </c>
      <c r="AF195" s="140">
        <f t="shared" si="90"/>
        <v>0</v>
      </c>
      <c r="AG195" s="140">
        <f t="shared" si="91"/>
        <v>0</v>
      </c>
      <c r="AH195" s="140">
        <f t="shared" si="92"/>
        <v>0</v>
      </c>
      <c r="AI195" s="140" t="str">
        <f t="shared" si="93"/>
        <v/>
      </c>
      <c r="AJ195" s="140" t="str">
        <f t="shared" si="94"/>
        <v/>
      </c>
      <c r="AK195" s="140" t="str">
        <f t="shared" si="95"/>
        <v/>
      </c>
      <c r="AL195" s="140" t="str">
        <f t="shared" si="96"/>
        <v/>
      </c>
      <c r="AM195" t="str">
        <f t="shared" si="97"/>
        <v>4323-000: Legal &amp; Profesional Standards</v>
      </c>
      <c r="AN195" s="140">
        <f t="shared" ref="AN195:AN258" si="98">IFERROR(AVERAGE(Y195, AA195, AC195), 0)</f>
        <v>0</v>
      </c>
      <c r="AO195" s="140">
        <f t="shared" ref="AO195:AO258" si="99">IF($AG195="", 0-AN195, $AG195-AN195)</f>
        <v>0</v>
      </c>
      <c r="AP195" s="1" t="str">
        <f>IF(AND(AO195&gt;0, _xlfn.XLOOKUP($AM195, Discretionaries!$A$2:'Discretionaries'!$A$150, Discretionaries!$B$2:'Discretionaries'!$B$150)), (1+AN195)*$N195, "")</f>
        <v/>
      </c>
      <c r="AQ195" s="1" t="str">
        <f>IF(AND(AO195&gt;0, _xlfn.XLOOKUP($AM195, Discretionaries!$A$2:'Discretionaries'!$A$150, Discretionaries!$B$2:'Discretionaries'!$B$150)),AP195-$Q195,"")</f>
        <v/>
      </c>
      <c r="AR195" s="140">
        <f>IF(AG195="", 0-CPI!$B$15, AG195-CPI!$B$15)</f>
        <v>-3.8999999999999993E-2</v>
      </c>
      <c r="AS195" s="1" t="str">
        <f>IF(AND(AR195&gt;0, _xlfn.XLOOKUP($AM195, Discretionaries!$A$2:'Discretionaries'!$A$150, Discretionaries!$B$2:'Discretionaries'!$B$150)), (1+CPI!$B$15)*$N195, "")</f>
        <v/>
      </c>
      <c r="AT195" s="1" t="str">
        <f>IF(AND(AR195&gt;0, _xlfn.XLOOKUP($AM195, Discretionaries!$A$2:'Discretionaries'!$A$150, Discretionaries!$B$2:'Discretionaries'!$B$150)),AS195-$Q195,"")</f>
        <v/>
      </c>
    </row>
    <row r="196" spans="1:46" x14ac:dyDescent="0.3">
      <c r="A196" t="s">
        <v>425</v>
      </c>
      <c r="B196" t="str">
        <f t="shared" si="75"/>
        <v>20</v>
      </c>
      <c r="C196" t="s">
        <v>426</v>
      </c>
      <c r="D196" t="str">
        <f t="shared" si="76"/>
        <v>01</v>
      </c>
      <c r="E196" t="s">
        <v>21</v>
      </c>
      <c r="F196" s="139" t="s">
        <v>28</v>
      </c>
      <c r="G196" t="s">
        <v>29</v>
      </c>
      <c r="H196" s="156">
        <v>5000</v>
      </c>
      <c r="I196" s="156">
        <v>26745.79</v>
      </c>
      <c r="J196" s="156">
        <v>7500</v>
      </c>
      <c r="K196" s="156">
        <v>25005.18</v>
      </c>
      <c r="L196" s="156">
        <v>7500</v>
      </c>
      <c r="M196" s="156">
        <v>22177.83</v>
      </c>
      <c r="N196" s="156">
        <v>7500</v>
      </c>
      <c r="O196" s="156">
        <v>7500</v>
      </c>
      <c r="P196" s="156">
        <v>7500</v>
      </c>
      <c r="Q196" s="156">
        <v>7500</v>
      </c>
      <c r="R196" s="156">
        <v>7500</v>
      </c>
      <c r="S196" s="156">
        <f t="shared" si="77"/>
        <v>0</v>
      </c>
      <c r="T196" s="156">
        <f t="shared" si="78"/>
        <v>0</v>
      </c>
      <c r="U196" s="140">
        <f t="shared" si="79"/>
        <v>0</v>
      </c>
      <c r="V196" s="140">
        <f t="shared" si="80"/>
        <v>4.3491580000000001</v>
      </c>
      <c r="W196" s="140">
        <f t="shared" si="81"/>
        <v>2.3340239999999999</v>
      </c>
      <c r="X196" s="140">
        <f t="shared" si="82"/>
        <v>1.9570440000000002</v>
      </c>
      <c r="Y196" s="140">
        <f t="shared" si="83"/>
        <v>0.5</v>
      </c>
      <c r="Z196" s="140">
        <f t="shared" si="84"/>
        <v>-6.5079775172092527E-2</v>
      </c>
      <c r="AA196" s="140">
        <f t="shared" si="85"/>
        <v>0</v>
      </c>
      <c r="AB196" s="140">
        <f t="shared" si="86"/>
        <v>-0.11307057177752763</v>
      </c>
      <c r="AC196" s="140">
        <f t="shared" si="87"/>
        <v>0</v>
      </c>
      <c r="AD196" s="140">
        <f t="shared" si="88"/>
        <v>0.5</v>
      </c>
      <c r="AE196" s="140">
        <f t="shared" si="89"/>
        <v>0</v>
      </c>
      <c r="AF196" s="140">
        <f t="shared" si="90"/>
        <v>0</v>
      </c>
      <c r="AG196" s="140">
        <f t="shared" si="91"/>
        <v>0</v>
      </c>
      <c r="AH196" s="140">
        <f t="shared" si="92"/>
        <v>0</v>
      </c>
      <c r="AI196" s="140">
        <f t="shared" si="93"/>
        <v>0.5</v>
      </c>
      <c r="AJ196" s="140">
        <f t="shared" si="94"/>
        <v>0.5</v>
      </c>
      <c r="AK196" s="140">
        <f t="shared" si="95"/>
        <v>0.5</v>
      </c>
      <c r="AL196" s="140">
        <f t="shared" si="96"/>
        <v>0.5</v>
      </c>
      <c r="AM196" t="str">
        <f t="shared" si="97"/>
        <v>4330-000: MGMT services Services</v>
      </c>
      <c r="AN196" s="140">
        <f t="shared" si="98"/>
        <v>0.16666666666666666</v>
      </c>
      <c r="AO196" s="140">
        <f t="shared" si="99"/>
        <v>-0.16666666666666666</v>
      </c>
      <c r="AP196" s="1" t="str">
        <f>IF(AND(AO196&gt;0, _xlfn.XLOOKUP($AM196, Discretionaries!$A$2:'Discretionaries'!$A$150, Discretionaries!$B$2:'Discretionaries'!$B$150)), (1+AN196)*$N196, "")</f>
        <v/>
      </c>
      <c r="AQ196" s="1" t="str">
        <f>IF(AND(AO196&gt;0, _xlfn.XLOOKUP($AM196, Discretionaries!$A$2:'Discretionaries'!$A$150, Discretionaries!$B$2:'Discretionaries'!$B$150)),AP196-$Q196,"")</f>
        <v/>
      </c>
      <c r="AR196" s="140">
        <f>IF(AG196="", 0-CPI!$B$15, AG196-CPI!$B$15)</f>
        <v>-3.8999999999999993E-2</v>
      </c>
      <c r="AS196" s="1" t="str">
        <f>IF(AND(AR196&gt;0, _xlfn.XLOOKUP($AM196, Discretionaries!$A$2:'Discretionaries'!$A$150, Discretionaries!$B$2:'Discretionaries'!$B$150)), (1+CPI!$B$15)*$N196, "")</f>
        <v/>
      </c>
      <c r="AT196" s="1" t="str">
        <f>IF(AND(AR196&gt;0, _xlfn.XLOOKUP($AM196, Discretionaries!$A$2:'Discretionaries'!$A$150, Discretionaries!$B$2:'Discretionaries'!$B$150)),AS196-$Q196,"")</f>
        <v/>
      </c>
    </row>
    <row r="197" spans="1:46" x14ac:dyDescent="0.3">
      <c r="A197" t="s">
        <v>425</v>
      </c>
      <c r="B197" t="str">
        <f t="shared" si="75"/>
        <v>20</v>
      </c>
      <c r="C197" t="s">
        <v>426</v>
      </c>
      <c r="D197" t="str">
        <f t="shared" si="76"/>
        <v>01</v>
      </c>
      <c r="E197" t="s">
        <v>21</v>
      </c>
      <c r="F197" s="139" t="s">
        <v>144</v>
      </c>
      <c r="G197" t="s">
        <v>145</v>
      </c>
      <c r="H197" s="156">
        <v>0</v>
      </c>
      <c r="I197" s="156">
        <v>0</v>
      </c>
      <c r="J197" s="156">
        <v>0</v>
      </c>
      <c r="K197" s="156">
        <v>0</v>
      </c>
      <c r="L197" s="156">
        <v>0</v>
      </c>
      <c r="M197" s="156">
        <v>0</v>
      </c>
      <c r="N197" s="156">
        <v>0</v>
      </c>
      <c r="O197" s="156">
        <v>0</v>
      </c>
      <c r="P197" s="156">
        <v>0</v>
      </c>
      <c r="Q197" s="156">
        <v>0</v>
      </c>
      <c r="R197" s="156">
        <v>0</v>
      </c>
      <c r="S197" s="156">
        <f t="shared" si="77"/>
        <v>0</v>
      </c>
      <c r="T197" s="156">
        <f t="shared" si="78"/>
        <v>0</v>
      </c>
      <c r="U197" s="140" t="str">
        <f t="shared" si="79"/>
        <v/>
      </c>
      <c r="V197" s="140" t="str">
        <f t="shared" si="80"/>
        <v/>
      </c>
      <c r="W197" s="140" t="str">
        <f t="shared" si="81"/>
        <v/>
      </c>
      <c r="X197" s="140" t="str">
        <f t="shared" si="82"/>
        <v/>
      </c>
      <c r="Y197" s="140" t="str">
        <f t="shared" si="83"/>
        <v/>
      </c>
      <c r="Z197" s="140" t="str">
        <f t="shared" si="84"/>
        <v/>
      </c>
      <c r="AA197" s="140" t="str">
        <f t="shared" si="85"/>
        <v/>
      </c>
      <c r="AB197" s="140" t="str">
        <f t="shared" si="86"/>
        <v/>
      </c>
      <c r="AC197" s="140" t="str">
        <f t="shared" si="87"/>
        <v/>
      </c>
      <c r="AD197" s="140" t="str">
        <f t="shared" si="88"/>
        <v/>
      </c>
      <c r="AE197" s="140" t="str">
        <f t="shared" si="89"/>
        <v/>
      </c>
      <c r="AF197" s="140" t="str">
        <f t="shared" si="90"/>
        <v/>
      </c>
      <c r="AG197" s="140" t="str">
        <f t="shared" si="91"/>
        <v/>
      </c>
      <c r="AH197" s="140" t="str">
        <f t="shared" si="92"/>
        <v/>
      </c>
      <c r="AI197" s="140" t="str">
        <f t="shared" si="93"/>
        <v/>
      </c>
      <c r="AJ197" s="140" t="str">
        <f t="shared" si="94"/>
        <v/>
      </c>
      <c r="AK197" s="140" t="str">
        <f t="shared" si="95"/>
        <v/>
      </c>
      <c r="AL197" s="140" t="str">
        <f t="shared" si="96"/>
        <v/>
      </c>
      <c r="AM197" t="str">
        <f t="shared" si="97"/>
        <v>4341-000: Telephone Services</v>
      </c>
      <c r="AN197" s="140">
        <f t="shared" si="98"/>
        <v>0</v>
      </c>
      <c r="AO197" s="140">
        <f t="shared" si="99"/>
        <v>0</v>
      </c>
      <c r="AP197" s="1" t="str">
        <f>IF(AND(AO197&gt;0, _xlfn.XLOOKUP($AM197, Discretionaries!$A$2:'Discretionaries'!$A$150, Discretionaries!$B$2:'Discretionaries'!$B$150)), (1+AN197)*$N197, "")</f>
        <v/>
      </c>
      <c r="AQ197" s="1" t="str">
        <f>IF(AND(AO197&gt;0, _xlfn.XLOOKUP($AM197, Discretionaries!$A$2:'Discretionaries'!$A$150, Discretionaries!$B$2:'Discretionaries'!$B$150)),AP197-$Q197,"")</f>
        <v/>
      </c>
      <c r="AR197" s="140">
        <f>IF(AG197="", 0-CPI!$B$15, AG197-CPI!$B$15)</f>
        <v>-3.8999999999999993E-2</v>
      </c>
      <c r="AS197" s="1" t="str">
        <f>IF(AND(AR197&gt;0, _xlfn.XLOOKUP($AM197, Discretionaries!$A$2:'Discretionaries'!$A$150, Discretionaries!$B$2:'Discretionaries'!$B$150)), (1+CPI!$B$15)*$N197, "")</f>
        <v/>
      </c>
      <c r="AT197" s="1" t="str">
        <f>IF(AND(AR197&gt;0, _xlfn.XLOOKUP($AM197, Discretionaries!$A$2:'Discretionaries'!$A$150, Discretionaries!$B$2:'Discretionaries'!$B$150)),AS197-$Q197,"")</f>
        <v/>
      </c>
    </row>
    <row r="198" spans="1:46" x14ac:dyDescent="0.3">
      <c r="A198" t="s">
        <v>425</v>
      </c>
      <c r="B198" t="str">
        <f t="shared" si="75"/>
        <v>20</v>
      </c>
      <c r="C198" t="s">
        <v>426</v>
      </c>
      <c r="D198" t="str">
        <f t="shared" si="76"/>
        <v>01</v>
      </c>
      <c r="E198" t="s">
        <v>21</v>
      </c>
      <c r="F198" s="139" t="s">
        <v>229</v>
      </c>
      <c r="G198" t="s">
        <v>230</v>
      </c>
      <c r="H198" s="156">
        <v>0</v>
      </c>
      <c r="I198" s="156">
        <v>0</v>
      </c>
      <c r="J198" s="156">
        <v>0</v>
      </c>
      <c r="K198" s="156">
        <v>0</v>
      </c>
      <c r="L198" s="156">
        <v>0</v>
      </c>
      <c r="M198" s="156">
        <v>0</v>
      </c>
      <c r="N198" s="156">
        <v>0</v>
      </c>
      <c r="O198" s="156">
        <v>0</v>
      </c>
      <c r="P198" s="156">
        <v>0</v>
      </c>
      <c r="Q198" s="156">
        <v>0</v>
      </c>
      <c r="R198" s="156">
        <v>0</v>
      </c>
      <c r="S198" s="156">
        <f t="shared" si="77"/>
        <v>0</v>
      </c>
      <c r="T198" s="156">
        <f t="shared" si="78"/>
        <v>0</v>
      </c>
      <c r="U198" s="140" t="str">
        <f t="shared" si="79"/>
        <v/>
      </c>
      <c r="V198" s="140" t="str">
        <f t="shared" si="80"/>
        <v/>
      </c>
      <c r="W198" s="140" t="str">
        <f t="shared" si="81"/>
        <v/>
      </c>
      <c r="X198" s="140" t="str">
        <f t="shared" si="82"/>
        <v/>
      </c>
      <c r="Y198" s="140" t="str">
        <f t="shared" si="83"/>
        <v/>
      </c>
      <c r="Z198" s="140" t="str">
        <f t="shared" si="84"/>
        <v/>
      </c>
      <c r="AA198" s="140" t="str">
        <f t="shared" si="85"/>
        <v/>
      </c>
      <c r="AB198" s="140" t="str">
        <f t="shared" si="86"/>
        <v/>
      </c>
      <c r="AC198" s="140" t="str">
        <f t="shared" si="87"/>
        <v/>
      </c>
      <c r="AD198" s="140" t="str">
        <f t="shared" si="88"/>
        <v/>
      </c>
      <c r="AE198" s="140" t="str">
        <f t="shared" si="89"/>
        <v/>
      </c>
      <c r="AF198" s="140" t="str">
        <f t="shared" si="90"/>
        <v/>
      </c>
      <c r="AG198" s="140" t="str">
        <f t="shared" si="91"/>
        <v/>
      </c>
      <c r="AH198" s="140" t="str">
        <f t="shared" si="92"/>
        <v/>
      </c>
      <c r="AI198" s="140" t="str">
        <f t="shared" si="93"/>
        <v/>
      </c>
      <c r="AJ198" s="140" t="str">
        <f t="shared" si="94"/>
        <v/>
      </c>
      <c r="AK198" s="140" t="str">
        <f t="shared" si="95"/>
        <v/>
      </c>
      <c r="AL198" s="140" t="str">
        <f t="shared" si="96"/>
        <v/>
      </c>
      <c r="AM198" t="str">
        <f t="shared" si="97"/>
        <v>4350-000: Medical services Services</v>
      </c>
      <c r="AN198" s="140">
        <f t="shared" si="98"/>
        <v>0</v>
      </c>
      <c r="AO198" s="140">
        <f t="shared" si="99"/>
        <v>0</v>
      </c>
      <c r="AP198" s="1" t="str">
        <f>IF(AND(AO198&gt;0, _xlfn.XLOOKUP($AM198, Discretionaries!$A$2:'Discretionaries'!$A$150, Discretionaries!$B$2:'Discretionaries'!$B$150)), (1+AN198)*$N198, "")</f>
        <v/>
      </c>
      <c r="AQ198" s="1" t="str">
        <f>IF(AND(AO198&gt;0, _xlfn.XLOOKUP($AM198, Discretionaries!$A$2:'Discretionaries'!$A$150, Discretionaries!$B$2:'Discretionaries'!$B$150)),AP198-$Q198,"")</f>
        <v/>
      </c>
      <c r="AR198" s="140">
        <f>IF(AG198="", 0-CPI!$B$15, AG198-CPI!$B$15)</f>
        <v>-3.8999999999999993E-2</v>
      </c>
      <c r="AS198" s="1" t="str">
        <f>IF(AND(AR198&gt;0, _xlfn.XLOOKUP($AM198, Discretionaries!$A$2:'Discretionaries'!$A$150, Discretionaries!$B$2:'Discretionaries'!$B$150)), (1+CPI!$B$15)*$N198, "")</f>
        <v/>
      </c>
      <c r="AT198" s="1" t="str">
        <f>IF(AND(AR198&gt;0, _xlfn.XLOOKUP($AM198, Discretionaries!$A$2:'Discretionaries'!$A$150, Discretionaries!$B$2:'Discretionaries'!$B$150)),AS198-$Q198,"")</f>
        <v/>
      </c>
    </row>
    <row r="199" spans="1:46" x14ac:dyDescent="0.3">
      <c r="A199" t="s">
        <v>425</v>
      </c>
      <c r="B199" t="str">
        <f t="shared" si="75"/>
        <v>20</v>
      </c>
      <c r="C199" t="s">
        <v>426</v>
      </c>
      <c r="D199" t="str">
        <f t="shared" si="76"/>
        <v>01</v>
      </c>
      <c r="E199" t="s">
        <v>21</v>
      </c>
      <c r="F199" s="139" t="s">
        <v>111</v>
      </c>
      <c r="G199" t="s">
        <v>112</v>
      </c>
      <c r="H199" s="156">
        <v>3000</v>
      </c>
      <c r="I199" s="156">
        <v>1215.6300000000001</v>
      </c>
      <c r="J199" s="156">
        <v>3000</v>
      </c>
      <c r="K199" s="156">
        <v>10853.9</v>
      </c>
      <c r="L199" s="156">
        <v>3000</v>
      </c>
      <c r="M199" s="156">
        <v>6948.63</v>
      </c>
      <c r="N199" s="156">
        <v>3000</v>
      </c>
      <c r="O199" s="156">
        <v>4456</v>
      </c>
      <c r="P199" s="156">
        <v>4456</v>
      </c>
      <c r="Q199" s="156">
        <v>4456</v>
      </c>
      <c r="R199" s="156">
        <v>4456</v>
      </c>
      <c r="S199" s="156">
        <f t="shared" si="77"/>
        <v>1456</v>
      </c>
      <c r="T199" s="156">
        <f t="shared" si="78"/>
        <v>0</v>
      </c>
      <c r="U199" s="140">
        <f t="shared" si="79"/>
        <v>0.48533333333333334</v>
      </c>
      <c r="V199" s="140">
        <f t="shared" si="80"/>
        <v>-0.59478999999999993</v>
      </c>
      <c r="W199" s="140">
        <f t="shared" si="81"/>
        <v>2.6179666666666663</v>
      </c>
      <c r="X199" s="140">
        <f t="shared" si="82"/>
        <v>1.3162100000000001</v>
      </c>
      <c r="Y199" s="140">
        <f t="shared" si="83"/>
        <v>0</v>
      </c>
      <c r="Z199" s="140">
        <f t="shared" si="84"/>
        <v>7.9286213732796984</v>
      </c>
      <c r="AA199" s="140">
        <f t="shared" si="85"/>
        <v>0</v>
      </c>
      <c r="AB199" s="140">
        <f t="shared" si="86"/>
        <v>-0.35980338864371331</v>
      </c>
      <c r="AC199" s="140">
        <f t="shared" si="87"/>
        <v>0</v>
      </c>
      <c r="AD199" s="140">
        <f t="shared" si="88"/>
        <v>0</v>
      </c>
      <c r="AE199" s="140">
        <f t="shared" si="89"/>
        <v>0.48533333333333334</v>
      </c>
      <c r="AF199" s="140">
        <f t="shared" si="90"/>
        <v>0.48533333333333334</v>
      </c>
      <c r="AG199" s="140">
        <f t="shared" si="91"/>
        <v>0.48533333333333334</v>
      </c>
      <c r="AH199" s="140">
        <f t="shared" si="92"/>
        <v>0.48533333333333334</v>
      </c>
      <c r="AI199" s="140">
        <f t="shared" si="93"/>
        <v>0.48533333333333334</v>
      </c>
      <c r="AJ199" s="140">
        <f t="shared" si="94"/>
        <v>0.48533333333333334</v>
      </c>
      <c r="AK199" s="140">
        <f t="shared" si="95"/>
        <v>0.48533333333333334</v>
      </c>
      <c r="AL199" s="140">
        <f t="shared" si="96"/>
        <v>0.48533333333333334</v>
      </c>
      <c r="AM199" t="str">
        <f t="shared" si="97"/>
        <v>4440-000: Rental and leases Services</v>
      </c>
      <c r="AN199" s="140">
        <f t="shared" si="98"/>
        <v>0</v>
      </c>
      <c r="AO199" s="140">
        <f t="shared" si="99"/>
        <v>0.48533333333333334</v>
      </c>
      <c r="AP199" s="1">
        <f>IF(AND(AO199&gt;0, _xlfn.XLOOKUP($AM199, Discretionaries!$A$2:'Discretionaries'!$A$150, Discretionaries!$B$2:'Discretionaries'!$B$150)), (1+AN199)*$N199, "")</f>
        <v>3000</v>
      </c>
      <c r="AQ199" s="1">
        <f>IF(AND(AO199&gt;0, _xlfn.XLOOKUP($AM199, Discretionaries!$A$2:'Discretionaries'!$A$150, Discretionaries!$B$2:'Discretionaries'!$B$150)),AP199-$Q199,"")</f>
        <v>-1456</v>
      </c>
      <c r="AR199" s="140">
        <f>IF(AG199="", 0-CPI!$B$15, AG199-CPI!$B$15)</f>
        <v>0.44633333333333336</v>
      </c>
      <c r="AS199" s="1">
        <f>IF(AND(AR199&gt;0, _xlfn.XLOOKUP($AM199, Discretionaries!$A$2:'Discretionaries'!$A$150, Discretionaries!$B$2:'Discretionaries'!$B$150)), (1+CPI!$B$15)*$N199, "")</f>
        <v>3116.9999999999995</v>
      </c>
      <c r="AT199" s="1">
        <f>IF(AND(AR199&gt;0, _xlfn.XLOOKUP($AM199, Discretionaries!$A$2:'Discretionaries'!$A$150, Discretionaries!$B$2:'Discretionaries'!$B$150)),AS199-$Q199,"")</f>
        <v>-1339.0000000000005</v>
      </c>
    </row>
    <row r="200" spans="1:46" x14ac:dyDescent="0.3">
      <c r="A200" t="s">
        <v>425</v>
      </c>
      <c r="B200" t="str">
        <f t="shared" si="75"/>
        <v>20</v>
      </c>
      <c r="C200" t="s">
        <v>426</v>
      </c>
      <c r="D200" t="str">
        <f t="shared" si="76"/>
        <v>01</v>
      </c>
      <c r="E200" t="s">
        <v>45</v>
      </c>
      <c r="F200" s="139" t="s">
        <v>22</v>
      </c>
      <c r="G200" t="s">
        <v>23</v>
      </c>
      <c r="H200" s="156">
        <v>3081.66</v>
      </c>
      <c r="I200" s="156">
        <v>2250</v>
      </c>
      <c r="J200" s="156">
        <v>8780.7099999999991</v>
      </c>
      <c r="K200" s="156">
        <v>2250</v>
      </c>
      <c r="L200" s="156">
        <v>2250</v>
      </c>
      <c r="M200" s="156">
        <v>3917.23</v>
      </c>
      <c r="N200" s="156">
        <v>2250</v>
      </c>
      <c r="O200" s="156">
        <v>2250</v>
      </c>
      <c r="P200" s="156">
        <v>2250</v>
      </c>
      <c r="Q200" s="156">
        <v>2250</v>
      </c>
      <c r="R200" s="156">
        <v>2250</v>
      </c>
      <c r="S200" s="156">
        <f t="shared" si="77"/>
        <v>0</v>
      </c>
      <c r="T200" s="156">
        <f t="shared" si="78"/>
        <v>0</v>
      </c>
      <c r="U200" s="140">
        <f t="shared" si="79"/>
        <v>0</v>
      </c>
      <c r="V200" s="140">
        <f t="shared" si="80"/>
        <v>-0.26987402893245843</v>
      </c>
      <c r="W200" s="140">
        <f t="shared" si="81"/>
        <v>-0.74375648438452013</v>
      </c>
      <c r="X200" s="140">
        <f t="shared" si="82"/>
        <v>0.74099111111111116</v>
      </c>
      <c r="Y200" s="140">
        <f t="shared" si="83"/>
        <v>1.8493441846277654</v>
      </c>
      <c r="Z200" s="140">
        <f t="shared" si="84"/>
        <v>0</v>
      </c>
      <c r="AA200" s="140">
        <f t="shared" si="85"/>
        <v>-0.74375648438452013</v>
      </c>
      <c r="AB200" s="140">
        <f t="shared" si="86"/>
        <v>0.74099111111111116</v>
      </c>
      <c r="AC200" s="140">
        <f t="shared" si="87"/>
        <v>0</v>
      </c>
      <c r="AD200" s="140">
        <f t="shared" si="88"/>
        <v>-0.26987402893245843</v>
      </c>
      <c r="AE200" s="140">
        <f t="shared" si="89"/>
        <v>0</v>
      </c>
      <c r="AF200" s="140">
        <f t="shared" si="90"/>
        <v>0</v>
      </c>
      <c r="AG200" s="140">
        <f t="shared" si="91"/>
        <v>0</v>
      </c>
      <c r="AH200" s="140">
        <f t="shared" si="92"/>
        <v>0</v>
      </c>
      <c r="AI200" s="140">
        <f t="shared" si="93"/>
        <v>-0.26987402893245843</v>
      </c>
      <c r="AJ200" s="140">
        <f t="shared" si="94"/>
        <v>-0.26987402893245843</v>
      </c>
      <c r="AK200" s="140">
        <f t="shared" si="95"/>
        <v>-0.26987402893245843</v>
      </c>
      <c r="AL200" s="140">
        <f t="shared" si="96"/>
        <v>-0.26987402893245843</v>
      </c>
      <c r="AM200" t="str">
        <f t="shared" si="97"/>
        <v>4550-000: Printing Services</v>
      </c>
      <c r="AN200" s="140">
        <f t="shared" si="98"/>
        <v>0.36852923341441507</v>
      </c>
      <c r="AO200" s="140">
        <f t="shared" si="99"/>
        <v>-0.36852923341441507</v>
      </c>
      <c r="AP200" s="1" t="str">
        <f>IF(AND(AO200&gt;0, _xlfn.XLOOKUP($AM200, Discretionaries!$A$2:'Discretionaries'!$A$150, Discretionaries!$B$2:'Discretionaries'!$B$150)), (1+AN200)*$N200, "")</f>
        <v/>
      </c>
      <c r="AQ200" s="1" t="str">
        <f>IF(AND(AO200&gt;0, _xlfn.XLOOKUP($AM200, Discretionaries!$A$2:'Discretionaries'!$A$150, Discretionaries!$B$2:'Discretionaries'!$B$150)),AP200-$Q200,"")</f>
        <v/>
      </c>
      <c r="AR200" s="140">
        <f>IF(AG200="", 0-CPI!$B$15, AG200-CPI!$B$15)</f>
        <v>-3.8999999999999993E-2</v>
      </c>
      <c r="AS200" s="1" t="str">
        <f>IF(AND(AR200&gt;0, _xlfn.XLOOKUP($AM200, Discretionaries!$A$2:'Discretionaries'!$A$150, Discretionaries!$B$2:'Discretionaries'!$B$150)), (1+CPI!$B$15)*$N200, "")</f>
        <v/>
      </c>
      <c r="AT200" s="1" t="str">
        <f>IF(AND(AR200&gt;0, _xlfn.XLOOKUP($AM200, Discretionaries!$A$2:'Discretionaries'!$A$150, Discretionaries!$B$2:'Discretionaries'!$B$150)),AS200-$Q200,"")</f>
        <v/>
      </c>
    </row>
    <row r="201" spans="1:46" x14ac:dyDescent="0.3">
      <c r="A201" t="s">
        <v>425</v>
      </c>
      <c r="B201" t="str">
        <f t="shared" si="75"/>
        <v>20</v>
      </c>
      <c r="C201" t="s">
        <v>426</v>
      </c>
      <c r="D201" t="str">
        <f t="shared" si="76"/>
        <v>01</v>
      </c>
      <c r="E201" t="s">
        <v>45</v>
      </c>
      <c r="F201" s="139" t="s">
        <v>46</v>
      </c>
      <c r="G201" t="s">
        <v>47</v>
      </c>
      <c r="H201" s="156">
        <v>26197.99</v>
      </c>
      <c r="I201" s="156">
        <v>8880</v>
      </c>
      <c r="J201" s="156">
        <v>20270</v>
      </c>
      <c r="K201" s="156">
        <v>19295</v>
      </c>
      <c r="L201" s="156">
        <v>19295</v>
      </c>
      <c r="M201" s="156">
        <v>18699.25</v>
      </c>
      <c r="N201" s="156">
        <v>19295</v>
      </c>
      <c r="O201" s="156">
        <v>19295</v>
      </c>
      <c r="P201" s="156">
        <v>19295</v>
      </c>
      <c r="Q201" s="156">
        <v>19295</v>
      </c>
      <c r="R201" s="156">
        <v>19295</v>
      </c>
      <c r="S201" s="156">
        <f t="shared" si="77"/>
        <v>0</v>
      </c>
      <c r="T201" s="156">
        <f t="shared" si="78"/>
        <v>0</v>
      </c>
      <c r="U201" s="140">
        <f t="shared" si="79"/>
        <v>0</v>
      </c>
      <c r="V201" s="140">
        <f t="shared" si="80"/>
        <v>-0.6610426983138783</v>
      </c>
      <c r="W201" s="140">
        <f t="shared" si="81"/>
        <v>-4.8100641341884562E-2</v>
      </c>
      <c r="X201" s="140">
        <f t="shared" si="82"/>
        <v>-3.0875874578906452E-2</v>
      </c>
      <c r="Y201" s="140">
        <f t="shared" si="83"/>
        <v>-0.22627651968719742</v>
      </c>
      <c r="Z201" s="140">
        <f t="shared" si="84"/>
        <v>1.1728603603603605</v>
      </c>
      <c r="AA201" s="140">
        <f t="shared" si="85"/>
        <v>-4.8100641341884562E-2</v>
      </c>
      <c r="AB201" s="140">
        <f t="shared" si="86"/>
        <v>-3.0875874578906452E-2</v>
      </c>
      <c r="AC201" s="140">
        <f t="shared" si="87"/>
        <v>0</v>
      </c>
      <c r="AD201" s="140">
        <f t="shared" si="88"/>
        <v>-0.2634931153115182</v>
      </c>
      <c r="AE201" s="140">
        <f t="shared" si="89"/>
        <v>0</v>
      </c>
      <c r="AF201" s="140">
        <f t="shared" si="90"/>
        <v>0</v>
      </c>
      <c r="AG201" s="140">
        <f t="shared" si="91"/>
        <v>0</v>
      </c>
      <c r="AH201" s="140">
        <f t="shared" si="92"/>
        <v>0</v>
      </c>
      <c r="AI201" s="140">
        <f t="shared" si="93"/>
        <v>-0.2634931153115182</v>
      </c>
      <c r="AJ201" s="140">
        <f t="shared" si="94"/>
        <v>-0.2634931153115182</v>
      </c>
      <c r="AK201" s="140">
        <f t="shared" si="95"/>
        <v>-0.2634931153115182</v>
      </c>
      <c r="AL201" s="140">
        <f t="shared" si="96"/>
        <v>-0.2634931153115182</v>
      </c>
      <c r="AM201" t="str">
        <f t="shared" si="97"/>
        <v>4560-000: Dues &amp; subs Services</v>
      </c>
      <c r="AN201" s="140">
        <f t="shared" si="98"/>
        <v>-9.145905367636066E-2</v>
      </c>
      <c r="AO201" s="140">
        <f t="shared" si="99"/>
        <v>9.145905367636066E-2</v>
      </c>
      <c r="AP201" s="1">
        <f>IF(AND(AO201&gt;0, _xlfn.XLOOKUP($AM201, Discretionaries!$A$2:'Discretionaries'!$A$150, Discretionaries!$B$2:'Discretionaries'!$B$150)), (1+AN201)*$N201, "")</f>
        <v>17530.297559314622</v>
      </c>
      <c r="AQ201" s="1">
        <f>IF(AND(AO201&gt;0, _xlfn.XLOOKUP($AM201, Discretionaries!$A$2:'Discretionaries'!$A$150, Discretionaries!$B$2:'Discretionaries'!$B$150)),AP201-$Q201,"")</f>
        <v>-1764.702440685378</v>
      </c>
      <c r="AR201" s="140">
        <f>IF(AG201="", 0-CPI!$B$15, AG201-CPI!$B$15)</f>
        <v>-3.8999999999999993E-2</v>
      </c>
      <c r="AS201" s="1" t="str">
        <f>IF(AND(AR201&gt;0, _xlfn.XLOOKUP($AM201, Discretionaries!$A$2:'Discretionaries'!$A$150, Discretionaries!$B$2:'Discretionaries'!$B$150)), (1+CPI!$B$15)*$N201, "")</f>
        <v/>
      </c>
      <c r="AT201" s="1" t="str">
        <f>IF(AND(AR201&gt;0, _xlfn.XLOOKUP($AM201, Discretionaries!$A$2:'Discretionaries'!$A$150, Discretionaries!$B$2:'Discretionaries'!$B$150)),AS201-$Q201,"")</f>
        <v/>
      </c>
    </row>
    <row r="202" spans="1:46" x14ac:dyDescent="0.3">
      <c r="A202" t="s">
        <v>425</v>
      </c>
      <c r="B202" t="str">
        <f t="shared" si="75"/>
        <v>20</v>
      </c>
      <c r="C202" t="s">
        <v>426</v>
      </c>
      <c r="D202" t="str">
        <f t="shared" si="76"/>
        <v>01</v>
      </c>
      <c r="E202" t="s">
        <v>30</v>
      </c>
      <c r="F202" s="139" t="s">
        <v>31</v>
      </c>
      <c r="G202" t="s">
        <v>32</v>
      </c>
      <c r="H202" s="156">
        <v>9000</v>
      </c>
      <c r="I202" s="156">
        <v>3034.21</v>
      </c>
      <c r="J202" s="156">
        <v>9000</v>
      </c>
      <c r="K202" s="156">
        <v>15190.84</v>
      </c>
      <c r="L202" s="156">
        <v>9000</v>
      </c>
      <c r="M202" s="156">
        <v>13544.81</v>
      </c>
      <c r="N202" s="156">
        <v>9000</v>
      </c>
      <c r="O202" s="156">
        <v>9000</v>
      </c>
      <c r="P202" s="156">
        <v>9000</v>
      </c>
      <c r="Q202" s="156">
        <v>9000</v>
      </c>
      <c r="R202" s="156">
        <v>9000</v>
      </c>
      <c r="S202" s="156">
        <f t="shared" si="77"/>
        <v>0</v>
      </c>
      <c r="T202" s="156">
        <f t="shared" si="78"/>
        <v>0</v>
      </c>
      <c r="U202" s="140">
        <f t="shared" si="79"/>
        <v>0</v>
      </c>
      <c r="V202" s="140">
        <f t="shared" si="80"/>
        <v>-0.6628655555555556</v>
      </c>
      <c r="W202" s="140">
        <f t="shared" si="81"/>
        <v>0.6878711111111111</v>
      </c>
      <c r="X202" s="140">
        <f t="shared" si="82"/>
        <v>0.50497888888888887</v>
      </c>
      <c r="Y202" s="140">
        <f t="shared" si="83"/>
        <v>0</v>
      </c>
      <c r="Z202" s="140">
        <f t="shared" si="84"/>
        <v>4.0065222908104587</v>
      </c>
      <c r="AA202" s="140">
        <f t="shared" si="85"/>
        <v>0</v>
      </c>
      <c r="AB202" s="140">
        <f t="shared" si="86"/>
        <v>-0.10835674656569358</v>
      </c>
      <c r="AC202" s="140">
        <f t="shared" si="87"/>
        <v>0</v>
      </c>
      <c r="AD202" s="140">
        <f t="shared" si="88"/>
        <v>0</v>
      </c>
      <c r="AE202" s="140">
        <f t="shared" si="89"/>
        <v>0</v>
      </c>
      <c r="AF202" s="140">
        <f t="shared" si="90"/>
        <v>0</v>
      </c>
      <c r="AG202" s="140">
        <f t="shared" si="91"/>
        <v>0</v>
      </c>
      <c r="AH202" s="140">
        <f t="shared" si="92"/>
        <v>0</v>
      </c>
      <c r="AI202" s="140">
        <f t="shared" si="93"/>
        <v>0</v>
      </c>
      <c r="AJ202" s="140">
        <f t="shared" si="94"/>
        <v>0</v>
      </c>
      <c r="AK202" s="140">
        <f t="shared" si="95"/>
        <v>0</v>
      </c>
      <c r="AL202" s="140">
        <f t="shared" si="96"/>
        <v>0</v>
      </c>
      <c r="AM202" t="str">
        <f t="shared" si="97"/>
        <v>4610-000: General expenses Supplies</v>
      </c>
      <c r="AN202" s="140">
        <f t="shared" si="98"/>
        <v>0</v>
      </c>
      <c r="AO202" s="140">
        <f t="shared" si="99"/>
        <v>0</v>
      </c>
      <c r="AP202" s="1" t="str">
        <f>IF(AND(AO202&gt;0, _xlfn.XLOOKUP($AM202, Discretionaries!$A$2:'Discretionaries'!$A$150, Discretionaries!$B$2:'Discretionaries'!$B$150)), (1+AN202)*$N202, "")</f>
        <v/>
      </c>
      <c r="AQ202" s="1" t="str">
        <f>IF(AND(AO202&gt;0, _xlfn.XLOOKUP($AM202, Discretionaries!$A$2:'Discretionaries'!$A$150, Discretionaries!$B$2:'Discretionaries'!$B$150)),AP202-$Q202,"")</f>
        <v/>
      </c>
      <c r="AR202" s="140">
        <f>IF(AG202="", 0-CPI!$B$15, AG202-CPI!$B$15)</f>
        <v>-3.8999999999999993E-2</v>
      </c>
      <c r="AS202" s="1" t="str">
        <f>IF(AND(AR202&gt;0, _xlfn.XLOOKUP($AM202, Discretionaries!$A$2:'Discretionaries'!$A$150, Discretionaries!$B$2:'Discretionaries'!$B$150)), (1+CPI!$B$15)*$N202, "")</f>
        <v/>
      </c>
      <c r="AT202" s="1" t="str">
        <f>IF(AND(AR202&gt;0, _xlfn.XLOOKUP($AM202, Discretionaries!$A$2:'Discretionaries'!$A$150, Discretionaries!$B$2:'Discretionaries'!$B$150)),AS202-$Q202,"")</f>
        <v/>
      </c>
    </row>
    <row r="203" spans="1:46" x14ac:dyDescent="0.3">
      <c r="A203" t="s">
        <v>425</v>
      </c>
      <c r="B203" t="str">
        <f t="shared" si="75"/>
        <v>20</v>
      </c>
      <c r="C203" t="s">
        <v>426</v>
      </c>
      <c r="D203" t="str">
        <f t="shared" si="76"/>
        <v>01</v>
      </c>
      <c r="E203" t="s">
        <v>30</v>
      </c>
      <c r="F203" s="139" t="s">
        <v>51</v>
      </c>
      <c r="G203" t="s">
        <v>48</v>
      </c>
      <c r="H203" s="156">
        <v>13500</v>
      </c>
      <c r="I203" s="156">
        <v>7355.96</v>
      </c>
      <c r="J203" s="156">
        <v>13500</v>
      </c>
      <c r="K203" s="156">
        <v>13581.34</v>
      </c>
      <c r="L203" s="156">
        <v>13500</v>
      </c>
      <c r="M203" s="156">
        <v>6769.54</v>
      </c>
      <c r="N203" s="156">
        <v>13500</v>
      </c>
      <c r="O203" s="156">
        <v>13500</v>
      </c>
      <c r="P203" s="156">
        <v>13500</v>
      </c>
      <c r="Q203" s="156">
        <v>13500</v>
      </c>
      <c r="R203" s="156">
        <v>13500</v>
      </c>
      <c r="S203" s="156">
        <f t="shared" si="77"/>
        <v>0</v>
      </c>
      <c r="T203" s="156">
        <f t="shared" si="78"/>
        <v>0</v>
      </c>
      <c r="U203" s="140">
        <f t="shared" si="79"/>
        <v>0</v>
      </c>
      <c r="V203" s="140">
        <f t="shared" si="80"/>
        <v>-0.45511407407407406</v>
      </c>
      <c r="W203" s="140">
        <f t="shared" si="81"/>
        <v>6.0251851851851959E-3</v>
      </c>
      <c r="X203" s="140">
        <f t="shared" si="82"/>
        <v>-0.4985525925925926</v>
      </c>
      <c r="Y203" s="140">
        <f t="shared" si="83"/>
        <v>0</v>
      </c>
      <c r="Z203" s="140">
        <f t="shared" si="84"/>
        <v>0.84630422133888716</v>
      </c>
      <c r="AA203" s="140">
        <f t="shared" si="85"/>
        <v>0</v>
      </c>
      <c r="AB203" s="140">
        <f t="shared" si="86"/>
        <v>-0.50155581113498371</v>
      </c>
      <c r="AC203" s="140">
        <f t="shared" si="87"/>
        <v>0</v>
      </c>
      <c r="AD203" s="140">
        <f t="shared" si="88"/>
        <v>0</v>
      </c>
      <c r="AE203" s="140">
        <f t="shared" si="89"/>
        <v>0</v>
      </c>
      <c r="AF203" s="140">
        <f t="shared" si="90"/>
        <v>0</v>
      </c>
      <c r="AG203" s="140">
        <f t="shared" si="91"/>
        <v>0</v>
      </c>
      <c r="AH203" s="140">
        <f t="shared" si="92"/>
        <v>0</v>
      </c>
      <c r="AI203" s="140">
        <f t="shared" si="93"/>
        <v>0</v>
      </c>
      <c r="AJ203" s="140">
        <f t="shared" si="94"/>
        <v>0</v>
      </c>
      <c r="AK203" s="140">
        <f t="shared" si="95"/>
        <v>0</v>
      </c>
      <c r="AL203" s="140">
        <f t="shared" si="96"/>
        <v>0</v>
      </c>
      <c r="AM203" t="str">
        <f t="shared" si="97"/>
        <v>4620-000: Office supplies Supplies</v>
      </c>
      <c r="AN203" s="140">
        <f t="shared" si="98"/>
        <v>0</v>
      </c>
      <c r="AO203" s="140">
        <f t="shared" si="99"/>
        <v>0</v>
      </c>
      <c r="AP203" s="1" t="str">
        <f>IF(AND(AO203&gt;0, _xlfn.XLOOKUP($AM203, Discretionaries!$A$2:'Discretionaries'!$A$150, Discretionaries!$B$2:'Discretionaries'!$B$150)), (1+AN203)*$N203, "")</f>
        <v/>
      </c>
      <c r="AQ203" s="1" t="str">
        <f>IF(AND(AO203&gt;0, _xlfn.XLOOKUP($AM203, Discretionaries!$A$2:'Discretionaries'!$A$150, Discretionaries!$B$2:'Discretionaries'!$B$150)),AP203-$Q203,"")</f>
        <v/>
      </c>
      <c r="AR203" s="140">
        <f>IF(AG203="", 0-CPI!$B$15, AG203-CPI!$B$15)</f>
        <v>-3.8999999999999993E-2</v>
      </c>
      <c r="AS203" s="1" t="str">
        <f>IF(AND(AR203&gt;0, _xlfn.XLOOKUP($AM203, Discretionaries!$A$2:'Discretionaries'!$A$150, Discretionaries!$B$2:'Discretionaries'!$B$150)), (1+CPI!$B$15)*$N203, "")</f>
        <v/>
      </c>
      <c r="AT203" s="1" t="str">
        <f>IF(AND(AR203&gt;0, _xlfn.XLOOKUP($AM203, Discretionaries!$A$2:'Discretionaries'!$A$150, Discretionaries!$B$2:'Discretionaries'!$B$150)),AS203-$Q203,"")</f>
        <v/>
      </c>
    </row>
    <row r="204" spans="1:46" x14ac:dyDescent="0.3">
      <c r="A204" t="s">
        <v>425</v>
      </c>
      <c r="B204" t="str">
        <f t="shared" si="75"/>
        <v>20</v>
      </c>
      <c r="C204" t="s">
        <v>426</v>
      </c>
      <c r="D204" t="str">
        <f t="shared" si="76"/>
        <v>01</v>
      </c>
      <c r="E204" t="s">
        <v>30</v>
      </c>
      <c r="F204" s="139" t="s">
        <v>52</v>
      </c>
      <c r="G204" t="s">
        <v>49</v>
      </c>
      <c r="H204" s="156">
        <v>2000</v>
      </c>
      <c r="I204" s="156">
        <v>3055.46</v>
      </c>
      <c r="J204" s="156">
        <v>2000</v>
      </c>
      <c r="K204" s="156">
        <v>3107.51</v>
      </c>
      <c r="L204" s="156">
        <v>2000</v>
      </c>
      <c r="M204" s="156">
        <v>4275.03</v>
      </c>
      <c r="N204" s="156">
        <v>2000</v>
      </c>
      <c r="O204" s="156">
        <v>2000</v>
      </c>
      <c r="P204" s="156">
        <v>2000</v>
      </c>
      <c r="Q204" s="156">
        <v>2000</v>
      </c>
      <c r="R204" s="156">
        <v>2000</v>
      </c>
      <c r="S204" s="156">
        <f t="shared" si="77"/>
        <v>0</v>
      </c>
      <c r="T204" s="156">
        <f t="shared" si="78"/>
        <v>0</v>
      </c>
      <c r="U204" s="140">
        <f t="shared" si="79"/>
        <v>0</v>
      </c>
      <c r="V204" s="140">
        <f t="shared" si="80"/>
        <v>0.52773000000000003</v>
      </c>
      <c r="W204" s="140">
        <f t="shared" si="81"/>
        <v>0.55375500000000011</v>
      </c>
      <c r="X204" s="140">
        <f t="shared" si="82"/>
        <v>1.1375149999999998</v>
      </c>
      <c r="Y204" s="140">
        <f t="shared" si="83"/>
        <v>0</v>
      </c>
      <c r="Z204" s="140">
        <f t="shared" si="84"/>
        <v>1.7035078187899753E-2</v>
      </c>
      <c r="AA204" s="140">
        <f t="shared" si="85"/>
        <v>0</v>
      </c>
      <c r="AB204" s="140">
        <f t="shared" si="86"/>
        <v>0.37570916907749274</v>
      </c>
      <c r="AC204" s="140">
        <f t="shared" si="87"/>
        <v>0</v>
      </c>
      <c r="AD204" s="140">
        <f t="shared" si="88"/>
        <v>0</v>
      </c>
      <c r="AE204" s="140">
        <f t="shared" si="89"/>
        <v>0</v>
      </c>
      <c r="AF204" s="140">
        <f t="shared" si="90"/>
        <v>0</v>
      </c>
      <c r="AG204" s="140">
        <f t="shared" si="91"/>
        <v>0</v>
      </c>
      <c r="AH204" s="140">
        <f t="shared" si="92"/>
        <v>0</v>
      </c>
      <c r="AI204" s="140">
        <f t="shared" si="93"/>
        <v>0</v>
      </c>
      <c r="AJ204" s="140">
        <f t="shared" si="94"/>
        <v>0</v>
      </c>
      <c r="AK204" s="140">
        <f t="shared" si="95"/>
        <v>0</v>
      </c>
      <c r="AL204" s="140">
        <f t="shared" si="96"/>
        <v>0</v>
      </c>
      <c r="AM204" t="str">
        <f t="shared" si="97"/>
        <v>4625-000: Postage Supplies</v>
      </c>
      <c r="AN204" s="140">
        <f t="shared" si="98"/>
        <v>0</v>
      </c>
      <c r="AO204" s="140">
        <f t="shared" si="99"/>
        <v>0</v>
      </c>
      <c r="AP204" s="1" t="str">
        <f>IF(AND(AO204&gt;0, _xlfn.XLOOKUP($AM204, Discretionaries!$A$2:'Discretionaries'!$A$150, Discretionaries!$B$2:'Discretionaries'!$B$150)), (1+AN204)*$N204, "")</f>
        <v/>
      </c>
      <c r="AQ204" s="1" t="str">
        <f>IF(AND(AO204&gt;0, _xlfn.XLOOKUP($AM204, Discretionaries!$A$2:'Discretionaries'!$A$150, Discretionaries!$B$2:'Discretionaries'!$B$150)),AP204-$Q204,"")</f>
        <v/>
      </c>
      <c r="AR204" s="140">
        <f>IF(AG204="", 0-CPI!$B$15, AG204-CPI!$B$15)</f>
        <v>-3.8999999999999993E-2</v>
      </c>
      <c r="AS204" s="1" t="str">
        <f>IF(AND(AR204&gt;0, _xlfn.XLOOKUP($AM204, Discretionaries!$A$2:'Discretionaries'!$A$150, Discretionaries!$B$2:'Discretionaries'!$B$150)), (1+CPI!$B$15)*$N204, "")</f>
        <v/>
      </c>
      <c r="AT204" s="1" t="str">
        <f>IF(AND(AR204&gt;0, _xlfn.XLOOKUP($AM204, Discretionaries!$A$2:'Discretionaries'!$A$150, Discretionaries!$B$2:'Discretionaries'!$B$150)),AS204-$Q204,"")</f>
        <v/>
      </c>
    </row>
    <row r="205" spans="1:46" x14ac:dyDescent="0.3">
      <c r="A205" t="s">
        <v>425</v>
      </c>
      <c r="B205" t="str">
        <f t="shared" si="75"/>
        <v>20</v>
      </c>
      <c r="C205" t="s">
        <v>426</v>
      </c>
      <c r="D205" t="str">
        <f t="shared" si="76"/>
        <v>01</v>
      </c>
      <c r="E205" t="s">
        <v>30</v>
      </c>
      <c r="F205" s="139" t="s">
        <v>33</v>
      </c>
      <c r="G205" t="s">
        <v>34</v>
      </c>
      <c r="H205" s="156">
        <v>4000</v>
      </c>
      <c r="I205" s="156">
        <v>379.6</v>
      </c>
      <c r="J205" s="156">
        <v>4000</v>
      </c>
      <c r="K205" s="156">
        <v>4222.5600000000004</v>
      </c>
      <c r="L205" s="156">
        <v>4000</v>
      </c>
      <c r="M205" s="156">
        <v>4905.82</v>
      </c>
      <c r="N205" s="156">
        <v>4000</v>
      </c>
      <c r="O205" s="156">
        <v>4000</v>
      </c>
      <c r="P205" s="156">
        <v>4000</v>
      </c>
      <c r="Q205" s="156">
        <v>4000</v>
      </c>
      <c r="R205" s="156">
        <v>4000</v>
      </c>
      <c r="S205" s="156">
        <f t="shared" si="77"/>
        <v>0</v>
      </c>
      <c r="T205" s="156">
        <f t="shared" si="78"/>
        <v>0</v>
      </c>
      <c r="U205" s="140">
        <f t="shared" si="79"/>
        <v>0</v>
      </c>
      <c r="V205" s="140">
        <f t="shared" si="80"/>
        <v>-0.90510000000000002</v>
      </c>
      <c r="W205" s="140">
        <f t="shared" si="81"/>
        <v>5.5640000000000099E-2</v>
      </c>
      <c r="X205" s="140">
        <f t="shared" si="82"/>
        <v>0.22645499999999993</v>
      </c>
      <c r="Y205" s="140">
        <f t="shared" si="83"/>
        <v>0</v>
      </c>
      <c r="Z205" s="140">
        <f t="shared" si="84"/>
        <v>10.123709167544785</v>
      </c>
      <c r="AA205" s="140">
        <f t="shared" si="85"/>
        <v>0</v>
      </c>
      <c r="AB205" s="140">
        <f t="shared" si="86"/>
        <v>0.16181179189875319</v>
      </c>
      <c r="AC205" s="140">
        <f t="shared" si="87"/>
        <v>0</v>
      </c>
      <c r="AD205" s="140">
        <f t="shared" si="88"/>
        <v>0</v>
      </c>
      <c r="AE205" s="140">
        <f t="shared" si="89"/>
        <v>0</v>
      </c>
      <c r="AF205" s="140">
        <f t="shared" si="90"/>
        <v>0</v>
      </c>
      <c r="AG205" s="140">
        <f t="shared" si="91"/>
        <v>0</v>
      </c>
      <c r="AH205" s="140">
        <f t="shared" si="92"/>
        <v>0</v>
      </c>
      <c r="AI205" s="140">
        <f t="shared" si="93"/>
        <v>0</v>
      </c>
      <c r="AJ205" s="140">
        <f t="shared" si="94"/>
        <v>0</v>
      </c>
      <c r="AK205" s="140">
        <f t="shared" si="95"/>
        <v>0</v>
      </c>
      <c r="AL205" s="140">
        <f t="shared" si="96"/>
        <v>0</v>
      </c>
      <c r="AM205" t="str">
        <f t="shared" si="97"/>
        <v>4680-000: Dept. expense Supplies</v>
      </c>
      <c r="AN205" s="140">
        <f t="shared" si="98"/>
        <v>0</v>
      </c>
      <c r="AO205" s="140">
        <f t="shared" si="99"/>
        <v>0</v>
      </c>
      <c r="AP205" s="1" t="str">
        <f>IF(AND(AO205&gt;0, _xlfn.XLOOKUP($AM205, Discretionaries!$A$2:'Discretionaries'!$A$150, Discretionaries!$B$2:'Discretionaries'!$B$150)), (1+AN205)*$N205, "")</f>
        <v/>
      </c>
      <c r="AQ205" s="1" t="str">
        <f>IF(AND(AO205&gt;0, _xlfn.XLOOKUP($AM205, Discretionaries!$A$2:'Discretionaries'!$A$150, Discretionaries!$B$2:'Discretionaries'!$B$150)),AP205-$Q205,"")</f>
        <v/>
      </c>
      <c r="AR205" s="140">
        <f>IF(AG205="", 0-CPI!$B$15, AG205-CPI!$B$15)</f>
        <v>-3.8999999999999993E-2</v>
      </c>
      <c r="AS205" s="1" t="str">
        <f>IF(AND(AR205&gt;0, _xlfn.XLOOKUP($AM205, Discretionaries!$A$2:'Discretionaries'!$A$150, Discretionaries!$B$2:'Discretionaries'!$B$150)), (1+CPI!$B$15)*$N205, "")</f>
        <v/>
      </c>
      <c r="AT205" s="1" t="str">
        <f>IF(AND(AR205&gt;0, _xlfn.XLOOKUP($AM205, Discretionaries!$A$2:'Discretionaries'!$A$150, Discretionaries!$B$2:'Discretionaries'!$B$150)),AS205-$Q205,"")</f>
        <v/>
      </c>
    </row>
    <row r="206" spans="1:46" x14ac:dyDescent="0.3">
      <c r="A206" t="s">
        <v>425</v>
      </c>
      <c r="B206" t="str">
        <f t="shared" si="75"/>
        <v>20</v>
      </c>
      <c r="C206" t="s">
        <v>426</v>
      </c>
      <c r="D206" t="str">
        <f t="shared" si="76"/>
        <v>01</v>
      </c>
      <c r="E206" t="s">
        <v>54</v>
      </c>
      <c r="F206" s="139" t="s">
        <v>114</v>
      </c>
      <c r="G206" t="s">
        <v>115</v>
      </c>
      <c r="H206" s="156">
        <v>0</v>
      </c>
      <c r="I206" s="156">
        <v>0</v>
      </c>
      <c r="J206" s="156">
        <v>0</v>
      </c>
      <c r="K206" s="156">
        <v>0</v>
      </c>
      <c r="L206" s="156">
        <v>0</v>
      </c>
      <c r="M206" s="156">
        <v>0</v>
      </c>
      <c r="N206" s="156">
        <v>0</v>
      </c>
      <c r="O206" s="156">
        <v>0</v>
      </c>
      <c r="P206" s="156">
        <v>0</v>
      </c>
      <c r="Q206" s="156">
        <v>0</v>
      </c>
      <c r="R206" s="156">
        <v>0</v>
      </c>
      <c r="S206" s="156">
        <f t="shared" si="77"/>
        <v>0</v>
      </c>
      <c r="T206" s="156">
        <f t="shared" si="78"/>
        <v>0</v>
      </c>
      <c r="U206" s="140" t="str">
        <f t="shared" si="79"/>
        <v/>
      </c>
      <c r="V206" s="140" t="str">
        <f t="shared" si="80"/>
        <v/>
      </c>
      <c r="W206" s="140" t="str">
        <f t="shared" si="81"/>
        <v/>
      </c>
      <c r="X206" s="140" t="str">
        <f t="shared" si="82"/>
        <v/>
      </c>
      <c r="Y206" s="140" t="str">
        <f t="shared" si="83"/>
        <v/>
      </c>
      <c r="Z206" s="140" t="str">
        <f t="shared" si="84"/>
        <v/>
      </c>
      <c r="AA206" s="140" t="str">
        <f t="shared" si="85"/>
        <v/>
      </c>
      <c r="AB206" s="140" t="str">
        <f t="shared" si="86"/>
        <v/>
      </c>
      <c r="AC206" s="140" t="str">
        <f t="shared" si="87"/>
        <v/>
      </c>
      <c r="AD206" s="140" t="str">
        <f t="shared" si="88"/>
        <v/>
      </c>
      <c r="AE206" s="140" t="str">
        <f t="shared" si="89"/>
        <v/>
      </c>
      <c r="AF206" s="140" t="str">
        <f t="shared" si="90"/>
        <v/>
      </c>
      <c r="AG206" s="140" t="str">
        <f t="shared" si="91"/>
        <v/>
      </c>
      <c r="AH206" s="140" t="str">
        <f t="shared" si="92"/>
        <v/>
      </c>
      <c r="AI206" s="140" t="str">
        <f t="shared" si="93"/>
        <v/>
      </c>
      <c r="AJ206" s="140" t="str">
        <f t="shared" si="94"/>
        <v/>
      </c>
      <c r="AK206" s="140" t="str">
        <f t="shared" si="95"/>
        <v/>
      </c>
      <c r="AL206" s="140" t="str">
        <f t="shared" si="96"/>
        <v/>
      </c>
      <c r="AM206" t="str">
        <f t="shared" si="97"/>
        <v>4740-000: Mach &amp; equip Property</v>
      </c>
      <c r="AN206" s="140">
        <f t="shared" si="98"/>
        <v>0</v>
      </c>
      <c r="AO206" s="140">
        <f t="shared" si="99"/>
        <v>0</v>
      </c>
      <c r="AP206" s="1" t="str">
        <f>IF(AND(AO206&gt;0, _xlfn.XLOOKUP($AM206, Discretionaries!$A$2:'Discretionaries'!$A$150, Discretionaries!$B$2:'Discretionaries'!$B$150)), (1+AN206)*$N206, "")</f>
        <v/>
      </c>
      <c r="AQ206" s="1" t="str">
        <f>IF(AND(AO206&gt;0, _xlfn.XLOOKUP($AM206, Discretionaries!$A$2:'Discretionaries'!$A$150, Discretionaries!$B$2:'Discretionaries'!$B$150)),AP206-$Q206,"")</f>
        <v/>
      </c>
      <c r="AR206" s="140">
        <f>IF(AG206="", 0-CPI!$B$15, AG206-CPI!$B$15)</f>
        <v>-3.8999999999999993E-2</v>
      </c>
      <c r="AS206" s="1" t="str">
        <f>IF(AND(AR206&gt;0, _xlfn.XLOOKUP($AM206, Discretionaries!$A$2:'Discretionaries'!$A$150, Discretionaries!$B$2:'Discretionaries'!$B$150)), (1+CPI!$B$15)*$N206, "")</f>
        <v/>
      </c>
      <c r="AT206" s="1" t="str">
        <f>IF(AND(AR206&gt;0, _xlfn.XLOOKUP($AM206, Discretionaries!$A$2:'Discretionaries'!$A$150, Discretionaries!$B$2:'Discretionaries'!$B$150)),AS206-$Q206,"")</f>
        <v/>
      </c>
    </row>
    <row r="207" spans="1:46" x14ac:dyDescent="0.3">
      <c r="A207" t="s">
        <v>425</v>
      </c>
      <c r="B207" t="str">
        <f t="shared" si="75"/>
        <v>20</v>
      </c>
      <c r="C207" t="s">
        <v>426</v>
      </c>
      <c r="D207" t="str">
        <f t="shared" si="76"/>
        <v>01</v>
      </c>
      <c r="E207" t="s">
        <v>54</v>
      </c>
      <c r="F207" s="139" t="s">
        <v>55</v>
      </c>
      <c r="G207" t="s">
        <v>56</v>
      </c>
      <c r="H207" s="156">
        <v>0</v>
      </c>
      <c r="I207" s="156">
        <v>2846.29</v>
      </c>
      <c r="J207" s="156">
        <v>0</v>
      </c>
      <c r="K207" s="156">
        <v>0</v>
      </c>
      <c r="L207" s="156">
        <v>0</v>
      </c>
      <c r="M207" s="156">
        <v>0</v>
      </c>
      <c r="N207" s="156">
        <v>0</v>
      </c>
      <c r="O207" s="156">
        <v>0</v>
      </c>
      <c r="P207" s="156">
        <v>0</v>
      </c>
      <c r="Q207" s="156">
        <v>0</v>
      </c>
      <c r="R207" s="156">
        <v>0</v>
      </c>
      <c r="S207" s="156">
        <f t="shared" si="77"/>
        <v>0</v>
      </c>
      <c r="T207" s="156">
        <f t="shared" si="78"/>
        <v>0</v>
      </c>
      <c r="U207" s="140" t="str">
        <f t="shared" si="79"/>
        <v/>
      </c>
      <c r="V207" s="140" t="str">
        <f t="shared" si="80"/>
        <v/>
      </c>
      <c r="W207" s="140" t="str">
        <f t="shared" si="81"/>
        <v/>
      </c>
      <c r="X207" s="140" t="str">
        <f t="shared" si="82"/>
        <v/>
      </c>
      <c r="Y207" s="140" t="str">
        <f t="shared" si="83"/>
        <v/>
      </c>
      <c r="Z207" s="140">
        <f t="shared" si="84"/>
        <v>-1</v>
      </c>
      <c r="AA207" s="140" t="str">
        <f t="shared" si="85"/>
        <v/>
      </c>
      <c r="AB207" s="140" t="str">
        <f t="shared" si="86"/>
        <v/>
      </c>
      <c r="AC207" s="140" t="str">
        <f t="shared" si="87"/>
        <v/>
      </c>
      <c r="AD207" s="140" t="str">
        <f t="shared" si="88"/>
        <v/>
      </c>
      <c r="AE207" s="140" t="str">
        <f t="shared" si="89"/>
        <v/>
      </c>
      <c r="AF207" s="140" t="str">
        <f t="shared" si="90"/>
        <v/>
      </c>
      <c r="AG207" s="140" t="str">
        <f t="shared" si="91"/>
        <v/>
      </c>
      <c r="AH207" s="140" t="str">
        <f t="shared" si="92"/>
        <v/>
      </c>
      <c r="AI207" s="140" t="str">
        <f t="shared" si="93"/>
        <v/>
      </c>
      <c r="AJ207" s="140" t="str">
        <f t="shared" si="94"/>
        <v/>
      </c>
      <c r="AK207" s="140" t="str">
        <f t="shared" si="95"/>
        <v/>
      </c>
      <c r="AL207" s="140" t="str">
        <f t="shared" si="96"/>
        <v/>
      </c>
      <c r="AM207" t="str">
        <f t="shared" si="97"/>
        <v>4750-000: Furniture &amp; fixures Property</v>
      </c>
      <c r="AN207" s="140">
        <f t="shared" si="98"/>
        <v>0</v>
      </c>
      <c r="AO207" s="140">
        <f t="shared" si="99"/>
        <v>0</v>
      </c>
      <c r="AP207" s="1" t="str">
        <f>IF(AND(AO207&gt;0, _xlfn.XLOOKUP($AM207, Discretionaries!$A$2:'Discretionaries'!$A$150, Discretionaries!$B$2:'Discretionaries'!$B$150)), (1+AN207)*$N207, "")</f>
        <v/>
      </c>
      <c r="AQ207" s="1" t="str">
        <f>IF(AND(AO207&gt;0, _xlfn.XLOOKUP($AM207, Discretionaries!$A$2:'Discretionaries'!$A$150, Discretionaries!$B$2:'Discretionaries'!$B$150)),AP207-$Q207,"")</f>
        <v/>
      </c>
      <c r="AR207" s="140">
        <f>IF(AG207="", 0-CPI!$B$15, AG207-CPI!$B$15)</f>
        <v>-3.8999999999999993E-2</v>
      </c>
      <c r="AS207" s="1" t="str">
        <f>IF(AND(AR207&gt;0, _xlfn.XLOOKUP($AM207, Discretionaries!$A$2:'Discretionaries'!$A$150, Discretionaries!$B$2:'Discretionaries'!$B$150)), (1+CPI!$B$15)*$N207, "")</f>
        <v/>
      </c>
      <c r="AT207" s="1" t="str">
        <f>IF(AND(AR207&gt;0, _xlfn.XLOOKUP($AM207, Discretionaries!$A$2:'Discretionaries'!$A$150, Discretionaries!$B$2:'Discretionaries'!$B$150)),AS207-$Q207,"")</f>
        <v/>
      </c>
    </row>
    <row r="208" spans="1:46" x14ac:dyDescent="0.3">
      <c r="A208" t="s">
        <v>425</v>
      </c>
      <c r="B208" t="str">
        <f t="shared" si="75"/>
        <v>20</v>
      </c>
      <c r="C208" t="s">
        <v>427</v>
      </c>
      <c r="D208" t="str">
        <f t="shared" si="76"/>
        <v>02</v>
      </c>
      <c r="E208" t="s">
        <v>11</v>
      </c>
      <c r="F208" s="139" t="s">
        <v>35</v>
      </c>
      <c r="G208" t="s">
        <v>36</v>
      </c>
      <c r="H208" s="156">
        <v>66165</v>
      </c>
      <c r="I208" s="156">
        <v>66922.97</v>
      </c>
      <c r="J208" s="156">
        <v>71012</v>
      </c>
      <c r="K208" s="156">
        <v>71136.67</v>
      </c>
      <c r="L208" s="156">
        <v>76191</v>
      </c>
      <c r="M208" s="156">
        <v>72176.800000000003</v>
      </c>
      <c r="N208" s="156">
        <v>81752</v>
      </c>
      <c r="O208" s="156">
        <v>88380</v>
      </c>
      <c r="P208" s="156">
        <v>88380</v>
      </c>
      <c r="Q208" s="156">
        <v>88380</v>
      </c>
      <c r="R208" s="156">
        <v>88380</v>
      </c>
      <c r="S208" s="156">
        <f t="shared" si="77"/>
        <v>6628</v>
      </c>
      <c r="T208" s="156">
        <f t="shared" si="78"/>
        <v>0</v>
      </c>
      <c r="U208" s="140">
        <f t="shared" si="79"/>
        <v>8.1074469126137583E-2</v>
      </c>
      <c r="V208" s="140">
        <f t="shared" si="80"/>
        <v>1.1455754553011429E-2</v>
      </c>
      <c r="W208" s="140">
        <f t="shared" si="81"/>
        <v>1.7556187686587935E-3</v>
      </c>
      <c r="X208" s="140">
        <f t="shared" si="82"/>
        <v>-5.2686012783662077E-2</v>
      </c>
      <c r="Y208" s="140">
        <f t="shared" si="83"/>
        <v>7.3256253306128616E-2</v>
      </c>
      <c r="Z208" s="140">
        <f t="shared" si="84"/>
        <v>6.2963433930084051E-2</v>
      </c>
      <c r="AA208" s="140">
        <f t="shared" si="85"/>
        <v>7.2931335548921311E-2</v>
      </c>
      <c r="AB208" s="140">
        <f t="shared" si="86"/>
        <v>1.4621572811884569E-2</v>
      </c>
      <c r="AC208" s="140">
        <f t="shared" si="87"/>
        <v>7.2987623210090433E-2</v>
      </c>
      <c r="AD208" s="140">
        <f t="shared" si="88"/>
        <v>0.23557772236076477</v>
      </c>
      <c r="AE208" s="140">
        <f t="shared" si="89"/>
        <v>8.1074469126137583E-2</v>
      </c>
      <c r="AF208" s="140">
        <f t="shared" si="90"/>
        <v>8.1074469126137583E-2</v>
      </c>
      <c r="AG208" s="140">
        <f t="shared" si="91"/>
        <v>8.1074469126137583E-2</v>
      </c>
      <c r="AH208" s="140">
        <f t="shared" si="92"/>
        <v>8.1074469126137583E-2</v>
      </c>
      <c r="AI208" s="140">
        <f t="shared" si="93"/>
        <v>0.33575153026524596</v>
      </c>
      <c r="AJ208" s="140">
        <f t="shared" si="94"/>
        <v>0.33575153026524596</v>
      </c>
      <c r="AK208" s="140">
        <f t="shared" si="95"/>
        <v>0.33575153026524596</v>
      </c>
      <c r="AL208" s="140">
        <f t="shared" si="96"/>
        <v>0.33575153026524596</v>
      </c>
      <c r="AM208" t="str">
        <f t="shared" si="97"/>
        <v>4110-000: Regular Salaries</v>
      </c>
      <c r="AN208" s="140">
        <f t="shared" si="98"/>
        <v>7.3058404021713444E-2</v>
      </c>
      <c r="AO208" s="140">
        <f t="shared" si="99"/>
        <v>8.0160651044241388E-3</v>
      </c>
      <c r="AP208" s="1" t="str">
        <f>IF(AND(AO208&gt;0, _xlfn.XLOOKUP($AM208, Discretionaries!$A$2:'Discretionaries'!$A$150, Discretionaries!$B$2:'Discretionaries'!$B$150)), (1+AN208)*$N208, "")</f>
        <v/>
      </c>
      <c r="AQ208" s="1" t="str">
        <f>IF(AND(AO208&gt;0, _xlfn.XLOOKUP($AM208, Discretionaries!$A$2:'Discretionaries'!$A$150, Discretionaries!$B$2:'Discretionaries'!$B$150)),AP208-$Q208,"")</f>
        <v/>
      </c>
      <c r="AR208" s="140">
        <f>IF(AG208="", 0-CPI!$B$15, AG208-CPI!$B$15)</f>
        <v>4.207446912613759E-2</v>
      </c>
      <c r="AS208" s="1" t="str">
        <f>IF(AND(AR208&gt;0, _xlfn.XLOOKUP($AM208, Discretionaries!$A$2:'Discretionaries'!$A$150, Discretionaries!$B$2:'Discretionaries'!$B$150)), (1+CPI!$B$15)*$N208, "")</f>
        <v/>
      </c>
      <c r="AT208" s="1" t="str">
        <f>IF(AND(AR208&gt;0, _xlfn.XLOOKUP($AM208, Discretionaries!$A$2:'Discretionaries'!$A$150, Discretionaries!$B$2:'Discretionaries'!$B$150)),AS208-$Q208,"")</f>
        <v/>
      </c>
    </row>
    <row r="209" spans="1:46" x14ac:dyDescent="0.3">
      <c r="A209" t="s">
        <v>425</v>
      </c>
      <c r="B209" t="str">
        <f t="shared" si="75"/>
        <v>20</v>
      </c>
      <c r="C209" t="s">
        <v>427</v>
      </c>
      <c r="D209" t="str">
        <f t="shared" si="76"/>
        <v>02</v>
      </c>
      <c r="E209" t="s">
        <v>11</v>
      </c>
      <c r="F209" s="139" t="s">
        <v>37</v>
      </c>
      <c r="G209" t="s">
        <v>38</v>
      </c>
      <c r="H209" s="156">
        <v>30664</v>
      </c>
      <c r="I209" s="156">
        <v>32137.57</v>
      </c>
      <c r="J209" s="156">
        <v>32623</v>
      </c>
      <c r="K209" s="156">
        <v>32654.09</v>
      </c>
      <c r="L209" s="156">
        <v>34707</v>
      </c>
      <c r="M209" s="156">
        <v>36718.559999999998</v>
      </c>
      <c r="N209" s="156">
        <v>36808</v>
      </c>
      <c r="O209" s="156">
        <v>42573</v>
      </c>
      <c r="P209" s="156">
        <v>42573</v>
      </c>
      <c r="Q209" s="156">
        <v>42573</v>
      </c>
      <c r="R209" s="156">
        <v>42573</v>
      </c>
      <c r="S209" s="156">
        <f t="shared" si="77"/>
        <v>5765</v>
      </c>
      <c r="T209" s="156">
        <f t="shared" si="78"/>
        <v>0</v>
      </c>
      <c r="U209" s="140">
        <f t="shared" si="79"/>
        <v>0.15662356009563139</v>
      </c>
      <c r="V209" s="140">
        <f t="shared" si="80"/>
        <v>4.8055374380380891E-2</v>
      </c>
      <c r="W209" s="140">
        <f t="shared" si="81"/>
        <v>9.5300861355485838E-4</v>
      </c>
      <c r="X209" s="140">
        <f t="shared" si="82"/>
        <v>5.7958336934912195E-2</v>
      </c>
      <c r="Y209" s="140">
        <f t="shared" si="83"/>
        <v>6.3885990086094441E-2</v>
      </c>
      <c r="Z209" s="140">
        <f t="shared" si="84"/>
        <v>1.6072154801996554E-2</v>
      </c>
      <c r="AA209" s="140">
        <f t="shared" si="85"/>
        <v>6.388131073169237E-2</v>
      </c>
      <c r="AB209" s="140">
        <f t="shared" si="86"/>
        <v>0.12447047215218668</v>
      </c>
      <c r="AC209" s="140">
        <f t="shared" si="87"/>
        <v>6.0535338692482787E-2</v>
      </c>
      <c r="AD209" s="140">
        <f t="shared" si="88"/>
        <v>0.20036524915210019</v>
      </c>
      <c r="AE209" s="140">
        <f t="shared" si="89"/>
        <v>0.15662356009563139</v>
      </c>
      <c r="AF209" s="140">
        <f t="shared" si="90"/>
        <v>0.15662356009563139</v>
      </c>
      <c r="AG209" s="140">
        <f t="shared" si="91"/>
        <v>0.15662356009563139</v>
      </c>
      <c r="AH209" s="140">
        <f t="shared" si="92"/>
        <v>0.15662356009563139</v>
      </c>
      <c r="AI209" s="140">
        <f t="shared" si="93"/>
        <v>0.38837072788938171</v>
      </c>
      <c r="AJ209" s="140">
        <f t="shared" si="94"/>
        <v>0.38837072788938171</v>
      </c>
      <c r="AK209" s="140">
        <f t="shared" si="95"/>
        <v>0.38837072788938171</v>
      </c>
      <c r="AL209" s="140">
        <f t="shared" si="96"/>
        <v>0.38837072788938171</v>
      </c>
      <c r="AM209" t="str">
        <f t="shared" si="97"/>
        <v>4120-000: Part-time Salaries</v>
      </c>
      <c r="AN209" s="140">
        <f t="shared" si="98"/>
        <v>6.2767546503423199E-2</v>
      </c>
      <c r="AO209" s="140">
        <f t="shared" si="99"/>
        <v>9.3856013592208187E-2</v>
      </c>
      <c r="AP209" s="1" t="str">
        <f>IF(AND(AO209&gt;0, _xlfn.XLOOKUP($AM209, Discretionaries!$A$2:'Discretionaries'!$A$150, Discretionaries!$B$2:'Discretionaries'!$B$150)), (1+AN209)*$N209, "")</f>
        <v/>
      </c>
      <c r="AQ209" s="1" t="str">
        <f>IF(AND(AO209&gt;0, _xlfn.XLOOKUP($AM209, Discretionaries!$A$2:'Discretionaries'!$A$150, Discretionaries!$B$2:'Discretionaries'!$B$150)),AP209-$Q209,"")</f>
        <v/>
      </c>
      <c r="AR209" s="140">
        <f>IF(AG209="", 0-CPI!$B$15, AG209-CPI!$B$15)</f>
        <v>0.11762356009563139</v>
      </c>
      <c r="AS209" s="1" t="str">
        <f>IF(AND(AR209&gt;0, _xlfn.XLOOKUP($AM209, Discretionaries!$A$2:'Discretionaries'!$A$150, Discretionaries!$B$2:'Discretionaries'!$B$150)), (1+CPI!$B$15)*$N209, "")</f>
        <v/>
      </c>
      <c r="AT209" s="1" t="str">
        <f>IF(AND(AR209&gt;0, _xlfn.XLOOKUP($AM209, Discretionaries!$A$2:'Discretionaries'!$A$150, Discretionaries!$B$2:'Discretionaries'!$B$150)),AS209-$Q209,"")</f>
        <v/>
      </c>
    </row>
    <row r="210" spans="1:46" x14ac:dyDescent="0.3">
      <c r="A210" t="s">
        <v>425</v>
      </c>
      <c r="B210" t="str">
        <f t="shared" si="75"/>
        <v>20</v>
      </c>
      <c r="C210" t="s">
        <v>427</v>
      </c>
      <c r="D210" t="str">
        <f t="shared" si="76"/>
        <v>02</v>
      </c>
      <c r="E210" t="s">
        <v>11</v>
      </c>
      <c r="F210" s="139" t="s">
        <v>39</v>
      </c>
      <c r="G210" t="s">
        <v>40</v>
      </c>
      <c r="H210" s="156">
        <v>500</v>
      </c>
      <c r="I210" s="156">
        <v>10091.76</v>
      </c>
      <c r="J210" s="156">
        <v>541</v>
      </c>
      <c r="K210" s="156">
        <v>8961.7900000000009</v>
      </c>
      <c r="L210" s="156">
        <v>2618</v>
      </c>
      <c r="M210" s="156">
        <v>3928.59</v>
      </c>
      <c r="N210" s="156">
        <v>8354</v>
      </c>
      <c r="O210" s="156">
        <v>8354</v>
      </c>
      <c r="P210" s="156">
        <v>8354</v>
      </c>
      <c r="Q210" s="156">
        <v>8354</v>
      </c>
      <c r="R210" s="156">
        <v>8354</v>
      </c>
      <c r="S210" s="156">
        <f t="shared" si="77"/>
        <v>0</v>
      </c>
      <c r="T210" s="156">
        <f t="shared" si="78"/>
        <v>0</v>
      </c>
      <c r="U210" s="140">
        <f t="shared" si="79"/>
        <v>0</v>
      </c>
      <c r="V210" s="140">
        <f t="shared" si="80"/>
        <v>19.183520000000001</v>
      </c>
      <c r="W210" s="140">
        <f t="shared" si="81"/>
        <v>15.565231053604437</v>
      </c>
      <c r="X210" s="140">
        <f t="shared" si="82"/>
        <v>0.50060733384262801</v>
      </c>
      <c r="Y210" s="140">
        <f t="shared" si="83"/>
        <v>8.2000000000000003E-2</v>
      </c>
      <c r="Z210" s="140">
        <f t="shared" si="84"/>
        <v>-0.11196956725090562</v>
      </c>
      <c r="AA210" s="140">
        <f t="shared" si="85"/>
        <v>3.8391866913123844</v>
      </c>
      <c r="AB210" s="140">
        <f t="shared" si="86"/>
        <v>-0.56162887101795511</v>
      </c>
      <c r="AC210" s="140">
        <f t="shared" si="87"/>
        <v>2.1909854851031323</v>
      </c>
      <c r="AD210" s="140">
        <f t="shared" si="88"/>
        <v>15.708</v>
      </c>
      <c r="AE210" s="140">
        <f t="shared" si="89"/>
        <v>0</v>
      </c>
      <c r="AF210" s="140">
        <f t="shared" si="90"/>
        <v>0</v>
      </c>
      <c r="AG210" s="140">
        <f t="shared" si="91"/>
        <v>0</v>
      </c>
      <c r="AH210" s="140">
        <f t="shared" si="92"/>
        <v>0</v>
      </c>
      <c r="AI210" s="140">
        <f t="shared" si="93"/>
        <v>15.708</v>
      </c>
      <c r="AJ210" s="140">
        <f t="shared" si="94"/>
        <v>15.708</v>
      </c>
      <c r="AK210" s="140">
        <f t="shared" si="95"/>
        <v>15.708</v>
      </c>
      <c r="AL210" s="140">
        <f t="shared" si="96"/>
        <v>15.708</v>
      </c>
      <c r="AM210" t="str">
        <f t="shared" si="97"/>
        <v>4140-000: Overtime Salaries</v>
      </c>
      <c r="AN210" s="140">
        <f t="shared" si="98"/>
        <v>2.0373907254718389</v>
      </c>
      <c r="AO210" s="140">
        <f t="shared" si="99"/>
        <v>-2.0373907254718389</v>
      </c>
      <c r="AP210" s="1" t="str">
        <f>IF(AND(AO210&gt;0, _xlfn.XLOOKUP($AM210, Discretionaries!$A$2:'Discretionaries'!$A$150, Discretionaries!$B$2:'Discretionaries'!$B$150)), (1+AN210)*$N210, "")</f>
        <v/>
      </c>
      <c r="AQ210" s="1" t="str">
        <f>IF(AND(AO210&gt;0, _xlfn.XLOOKUP($AM210, Discretionaries!$A$2:'Discretionaries'!$A$150, Discretionaries!$B$2:'Discretionaries'!$B$150)),AP210-$Q210,"")</f>
        <v/>
      </c>
      <c r="AR210" s="140">
        <f>IF(AG210="", 0-CPI!$B$15, AG210-CPI!$B$15)</f>
        <v>-3.8999999999999993E-2</v>
      </c>
      <c r="AS210" s="1" t="str">
        <f>IF(AND(AR210&gt;0, _xlfn.XLOOKUP($AM210, Discretionaries!$A$2:'Discretionaries'!$A$150, Discretionaries!$B$2:'Discretionaries'!$B$150)), (1+CPI!$B$15)*$N210, "")</f>
        <v/>
      </c>
      <c r="AT210" s="1" t="str">
        <f>IF(AND(AR210&gt;0, _xlfn.XLOOKUP($AM210, Discretionaries!$A$2:'Discretionaries'!$A$150, Discretionaries!$B$2:'Discretionaries'!$B$150)),AS210-$Q210,"")</f>
        <v/>
      </c>
    </row>
    <row r="211" spans="1:46" x14ac:dyDescent="0.3">
      <c r="A211" t="s">
        <v>425</v>
      </c>
      <c r="B211" t="str">
        <f t="shared" si="75"/>
        <v>20</v>
      </c>
      <c r="C211" t="s">
        <v>427</v>
      </c>
      <c r="D211" t="str">
        <f t="shared" si="76"/>
        <v>02</v>
      </c>
      <c r="E211" t="s">
        <v>14</v>
      </c>
      <c r="F211" s="139" t="s">
        <v>15</v>
      </c>
      <c r="G211" t="s">
        <v>16</v>
      </c>
      <c r="H211" s="156">
        <v>6035</v>
      </c>
      <c r="I211" s="156">
        <v>6744.9</v>
      </c>
      <c r="J211" s="156">
        <v>6459</v>
      </c>
      <c r="K211" s="156">
        <v>6942.9</v>
      </c>
      <c r="L211" s="156">
        <v>7038</v>
      </c>
      <c r="M211" s="156">
        <v>7379.42</v>
      </c>
      <c r="N211" s="156">
        <v>7870</v>
      </c>
      <c r="O211" s="156">
        <v>8637</v>
      </c>
      <c r="P211" s="156">
        <v>8637</v>
      </c>
      <c r="Q211" s="156">
        <v>8637</v>
      </c>
      <c r="R211" s="156">
        <v>8637</v>
      </c>
      <c r="S211" s="156">
        <f t="shared" si="77"/>
        <v>767</v>
      </c>
      <c r="T211" s="156">
        <f t="shared" si="78"/>
        <v>0</v>
      </c>
      <c r="U211" s="140">
        <f t="shared" si="79"/>
        <v>9.7458703939008892E-2</v>
      </c>
      <c r="V211" s="140">
        <f t="shared" si="80"/>
        <v>0.11763048881524435</v>
      </c>
      <c r="W211" s="140">
        <f t="shared" si="81"/>
        <v>7.4918718067812293E-2</v>
      </c>
      <c r="X211" s="140">
        <f t="shared" si="82"/>
        <v>4.8510940608127322E-2</v>
      </c>
      <c r="Y211" s="140">
        <f t="shared" si="83"/>
        <v>7.0256835128417558E-2</v>
      </c>
      <c r="Z211" s="140">
        <f t="shared" si="84"/>
        <v>2.93555130543077E-2</v>
      </c>
      <c r="AA211" s="140">
        <f t="shared" si="85"/>
        <v>8.964235949837436E-2</v>
      </c>
      <c r="AB211" s="140">
        <f t="shared" si="86"/>
        <v>6.2872862924714529E-2</v>
      </c>
      <c r="AC211" s="140">
        <f t="shared" si="87"/>
        <v>0.11821540210287014</v>
      </c>
      <c r="AD211" s="140">
        <f t="shared" si="88"/>
        <v>0.30405965202982599</v>
      </c>
      <c r="AE211" s="140">
        <f t="shared" si="89"/>
        <v>9.7458703939008892E-2</v>
      </c>
      <c r="AF211" s="140">
        <f t="shared" si="90"/>
        <v>9.7458703939008892E-2</v>
      </c>
      <c r="AG211" s="140">
        <f t="shared" si="91"/>
        <v>9.7458703939008892E-2</v>
      </c>
      <c r="AH211" s="140">
        <f t="shared" si="92"/>
        <v>9.7458703939008892E-2</v>
      </c>
      <c r="AI211" s="140">
        <f t="shared" si="93"/>
        <v>0.43115161557580778</v>
      </c>
      <c r="AJ211" s="140">
        <f t="shared" si="94"/>
        <v>0.43115161557580778</v>
      </c>
      <c r="AK211" s="140">
        <f t="shared" si="95"/>
        <v>0.43115161557580778</v>
      </c>
      <c r="AL211" s="140">
        <f t="shared" si="96"/>
        <v>0.43115161557580778</v>
      </c>
      <c r="AM211" t="str">
        <f t="shared" si="97"/>
        <v>4220-000: FICA Benefits</v>
      </c>
      <c r="AN211" s="140">
        <f t="shared" si="98"/>
        <v>9.270486557655401E-2</v>
      </c>
      <c r="AO211" s="140">
        <f t="shared" si="99"/>
        <v>4.7538383624548819E-3</v>
      </c>
      <c r="AP211" s="1" t="str">
        <f>IF(AND(AO211&gt;0, _xlfn.XLOOKUP($AM211, Discretionaries!$A$2:'Discretionaries'!$A$150, Discretionaries!$B$2:'Discretionaries'!$B$150)), (1+AN211)*$N211, "")</f>
        <v/>
      </c>
      <c r="AQ211" s="1" t="str">
        <f>IF(AND(AO211&gt;0, _xlfn.XLOOKUP($AM211, Discretionaries!$A$2:'Discretionaries'!$A$150, Discretionaries!$B$2:'Discretionaries'!$B$150)),AP211-$Q211,"")</f>
        <v/>
      </c>
      <c r="AR211" s="140">
        <f>IF(AG211="", 0-CPI!$B$15, AG211-CPI!$B$15)</f>
        <v>5.8458703939008899E-2</v>
      </c>
      <c r="AS211" s="1" t="str">
        <f>IF(AND(AR211&gt;0, _xlfn.XLOOKUP($AM211, Discretionaries!$A$2:'Discretionaries'!$A$150, Discretionaries!$B$2:'Discretionaries'!$B$150)), (1+CPI!$B$15)*$N211, "")</f>
        <v/>
      </c>
      <c r="AT211" s="1" t="str">
        <f>IF(AND(AR211&gt;0, _xlfn.XLOOKUP($AM211, Discretionaries!$A$2:'Discretionaries'!$A$150, Discretionaries!$B$2:'Discretionaries'!$B$150)),AS211-$Q211,"")</f>
        <v/>
      </c>
    </row>
    <row r="212" spans="1:46" x14ac:dyDescent="0.3">
      <c r="A212" t="s">
        <v>425</v>
      </c>
      <c r="B212" t="str">
        <f t="shared" si="75"/>
        <v>20</v>
      </c>
      <c r="C212" t="s">
        <v>427</v>
      </c>
      <c r="D212" t="str">
        <f t="shared" si="76"/>
        <v>02</v>
      </c>
      <c r="E212" t="s">
        <v>14</v>
      </c>
      <c r="F212" s="139" t="s">
        <v>17</v>
      </c>
      <c r="G212" t="s">
        <v>18</v>
      </c>
      <c r="H212" s="156">
        <v>1421</v>
      </c>
      <c r="I212" s="156">
        <v>1577.44</v>
      </c>
      <c r="J212" s="156">
        <v>1511</v>
      </c>
      <c r="K212" s="156">
        <v>1623.75</v>
      </c>
      <c r="L212" s="156">
        <v>1646</v>
      </c>
      <c r="M212" s="156">
        <v>1725.84</v>
      </c>
      <c r="N212" s="156">
        <v>1842</v>
      </c>
      <c r="O212" s="156">
        <v>2020</v>
      </c>
      <c r="P212" s="156">
        <v>2020</v>
      </c>
      <c r="Q212" s="156">
        <v>2020</v>
      </c>
      <c r="R212" s="156">
        <v>2020</v>
      </c>
      <c r="S212" s="156">
        <f t="shared" si="77"/>
        <v>178</v>
      </c>
      <c r="T212" s="156">
        <f t="shared" si="78"/>
        <v>0</v>
      </c>
      <c r="U212" s="140">
        <f t="shared" si="79"/>
        <v>9.6634093376764388E-2</v>
      </c>
      <c r="V212" s="140">
        <f t="shared" si="80"/>
        <v>0.11009148486981003</v>
      </c>
      <c r="W212" s="140">
        <f t="shared" si="81"/>
        <v>7.4619457313037721E-2</v>
      </c>
      <c r="X212" s="140">
        <f t="shared" si="82"/>
        <v>4.8505467800728994E-2</v>
      </c>
      <c r="Y212" s="140">
        <f t="shared" si="83"/>
        <v>6.3335679099225897E-2</v>
      </c>
      <c r="Z212" s="140">
        <f t="shared" si="84"/>
        <v>2.9357693478040334E-2</v>
      </c>
      <c r="AA212" s="140">
        <f t="shared" si="85"/>
        <v>8.9344804765056254E-2</v>
      </c>
      <c r="AB212" s="140">
        <f t="shared" si="86"/>
        <v>6.287297921478055E-2</v>
      </c>
      <c r="AC212" s="140">
        <f t="shared" si="87"/>
        <v>0.11907654921020656</v>
      </c>
      <c r="AD212" s="140">
        <f t="shared" si="88"/>
        <v>0.29627023223082338</v>
      </c>
      <c r="AE212" s="140">
        <f t="shared" si="89"/>
        <v>9.6634093376764388E-2</v>
      </c>
      <c r="AF212" s="140">
        <f t="shared" si="90"/>
        <v>9.6634093376764388E-2</v>
      </c>
      <c r="AG212" s="140">
        <f t="shared" si="91"/>
        <v>9.6634093376764388E-2</v>
      </c>
      <c r="AH212" s="140">
        <f t="shared" si="92"/>
        <v>9.6634093376764388E-2</v>
      </c>
      <c r="AI212" s="140">
        <f t="shared" si="93"/>
        <v>0.42153413089373681</v>
      </c>
      <c r="AJ212" s="140">
        <f t="shared" si="94"/>
        <v>0.42153413089373681</v>
      </c>
      <c r="AK212" s="140">
        <f t="shared" si="95"/>
        <v>0.42153413089373681</v>
      </c>
      <c r="AL212" s="140">
        <f t="shared" si="96"/>
        <v>0.42153413089373681</v>
      </c>
      <c r="AM212" t="str">
        <f t="shared" si="97"/>
        <v>4225-000: Medicare Benefits</v>
      </c>
      <c r="AN212" s="140">
        <f t="shared" si="98"/>
        <v>9.0585677691496239E-2</v>
      </c>
      <c r="AO212" s="140">
        <f t="shared" si="99"/>
        <v>6.0484156852681492E-3</v>
      </c>
      <c r="AP212" s="1" t="str">
        <f>IF(AND(AO212&gt;0, _xlfn.XLOOKUP($AM212, Discretionaries!$A$2:'Discretionaries'!$A$150, Discretionaries!$B$2:'Discretionaries'!$B$150)), (1+AN212)*$N212, "")</f>
        <v/>
      </c>
      <c r="AQ212" s="1" t="str">
        <f>IF(AND(AO212&gt;0, _xlfn.XLOOKUP($AM212, Discretionaries!$A$2:'Discretionaries'!$A$150, Discretionaries!$B$2:'Discretionaries'!$B$150)),AP212-$Q212,"")</f>
        <v/>
      </c>
      <c r="AR212" s="140">
        <f>IF(AG212="", 0-CPI!$B$15, AG212-CPI!$B$15)</f>
        <v>5.7634093376764395E-2</v>
      </c>
      <c r="AS212" s="1" t="str">
        <f>IF(AND(AR212&gt;0, _xlfn.XLOOKUP($AM212, Discretionaries!$A$2:'Discretionaries'!$A$150, Discretionaries!$B$2:'Discretionaries'!$B$150)), (1+CPI!$B$15)*$N212, "")</f>
        <v/>
      </c>
      <c r="AT212" s="1" t="str">
        <f>IF(AND(AR212&gt;0, _xlfn.XLOOKUP($AM212, Discretionaries!$A$2:'Discretionaries'!$A$150, Discretionaries!$B$2:'Discretionaries'!$B$150)),AS212-$Q212,"")</f>
        <v/>
      </c>
    </row>
    <row r="213" spans="1:46" x14ac:dyDescent="0.3">
      <c r="A213" t="s">
        <v>425</v>
      </c>
      <c r="B213" t="str">
        <f t="shared" si="75"/>
        <v>20</v>
      </c>
      <c r="C213" t="s">
        <v>427</v>
      </c>
      <c r="D213" t="str">
        <f t="shared" si="76"/>
        <v>02</v>
      </c>
      <c r="E213" t="s">
        <v>14</v>
      </c>
      <c r="F213" s="139" t="s">
        <v>43</v>
      </c>
      <c r="G213" t="s">
        <v>44</v>
      </c>
      <c r="H213" s="156">
        <v>9473</v>
      </c>
      <c r="I213" s="156">
        <v>10718.88</v>
      </c>
      <c r="J213" s="156">
        <v>9682</v>
      </c>
      <c r="K213" s="156">
        <v>10742.02</v>
      </c>
      <c r="L213" s="156">
        <v>14297</v>
      </c>
      <c r="M213" s="156">
        <v>10801.4</v>
      </c>
      <c r="N213" s="156">
        <v>11490</v>
      </c>
      <c r="O213" s="156">
        <v>12334</v>
      </c>
      <c r="P213" s="156">
        <v>12334</v>
      </c>
      <c r="Q213" s="156">
        <v>12334</v>
      </c>
      <c r="R213" s="156">
        <v>12334</v>
      </c>
      <c r="S213" s="156">
        <f t="shared" si="77"/>
        <v>844</v>
      </c>
      <c r="T213" s="156">
        <f t="shared" si="78"/>
        <v>0</v>
      </c>
      <c r="U213" s="140">
        <f t="shared" si="79"/>
        <v>7.3455178416013928E-2</v>
      </c>
      <c r="V213" s="140">
        <f t="shared" si="80"/>
        <v>0.13151905415391102</v>
      </c>
      <c r="W213" s="140">
        <f t="shared" si="81"/>
        <v>0.1094835777731874</v>
      </c>
      <c r="X213" s="140">
        <f t="shared" si="82"/>
        <v>-0.24449884591172977</v>
      </c>
      <c r="Y213" s="140">
        <f t="shared" si="83"/>
        <v>2.2062704528660403E-2</v>
      </c>
      <c r="Z213" s="140">
        <f t="shared" si="84"/>
        <v>2.1588076366188666E-3</v>
      </c>
      <c r="AA213" s="140">
        <f t="shared" si="85"/>
        <v>0.47665771534806856</v>
      </c>
      <c r="AB213" s="140">
        <f t="shared" si="86"/>
        <v>5.5278243756760083E-3</v>
      </c>
      <c r="AC213" s="140">
        <f t="shared" si="87"/>
        <v>-0.19633489543260824</v>
      </c>
      <c r="AD213" s="140">
        <f t="shared" si="88"/>
        <v>0.21292093317850733</v>
      </c>
      <c r="AE213" s="140">
        <f t="shared" si="89"/>
        <v>7.3455178416013928E-2</v>
      </c>
      <c r="AF213" s="140">
        <f t="shared" si="90"/>
        <v>7.3455178416013928E-2</v>
      </c>
      <c r="AG213" s="140">
        <f t="shared" si="91"/>
        <v>7.3455178416013928E-2</v>
      </c>
      <c r="AH213" s="140">
        <f t="shared" si="92"/>
        <v>7.3455178416013928E-2</v>
      </c>
      <c r="AI213" s="140">
        <f t="shared" si="93"/>
        <v>0.30201625672965271</v>
      </c>
      <c r="AJ213" s="140">
        <f t="shared" si="94"/>
        <v>0.30201625672965271</v>
      </c>
      <c r="AK213" s="140">
        <f t="shared" si="95"/>
        <v>0.30201625672965271</v>
      </c>
      <c r="AL213" s="140">
        <f t="shared" si="96"/>
        <v>0.30201625672965271</v>
      </c>
      <c r="AM213" t="str">
        <f t="shared" si="97"/>
        <v>4230-000: Retirement Benefits</v>
      </c>
      <c r="AN213" s="140">
        <f t="shared" si="98"/>
        <v>0.1007951748147069</v>
      </c>
      <c r="AO213" s="140">
        <f t="shared" si="99"/>
        <v>-2.7339996398692973E-2</v>
      </c>
      <c r="AP213" s="1" t="str">
        <f>IF(AND(AO213&gt;0, _xlfn.XLOOKUP($AM213, Discretionaries!$A$2:'Discretionaries'!$A$150, Discretionaries!$B$2:'Discretionaries'!$B$150)), (1+AN213)*$N213, "")</f>
        <v/>
      </c>
      <c r="AQ213" s="1" t="str">
        <f>IF(AND(AO213&gt;0, _xlfn.XLOOKUP($AM213, Discretionaries!$A$2:'Discretionaries'!$A$150, Discretionaries!$B$2:'Discretionaries'!$B$150)),AP213-$Q213,"")</f>
        <v/>
      </c>
      <c r="AR213" s="140">
        <f>IF(AG213="", 0-CPI!$B$15, AG213-CPI!$B$15)</f>
        <v>3.4455178416013935E-2</v>
      </c>
      <c r="AS213" s="1" t="str">
        <f>IF(AND(AR213&gt;0, _xlfn.XLOOKUP($AM213, Discretionaries!$A$2:'Discretionaries'!$A$150, Discretionaries!$B$2:'Discretionaries'!$B$150)), (1+CPI!$B$15)*$N213, "")</f>
        <v/>
      </c>
      <c r="AT213" s="1" t="str">
        <f>IF(AND(AR213&gt;0, _xlfn.XLOOKUP($AM213, Discretionaries!$A$2:'Discretionaries'!$A$150, Discretionaries!$B$2:'Discretionaries'!$B$150)),AS213-$Q213,"")</f>
        <v/>
      </c>
    </row>
    <row r="214" spans="1:46" x14ac:dyDescent="0.3">
      <c r="A214" t="s">
        <v>425</v>
      </c>
      <c r="B214" t="str">
        <f t="shared" si="75"/>
        <v>20</v>
      </c>
      <c r="C214" t="s">
        <v>427</v>
      </c>
      <c r="D214" t="str">
        <f t="shared" si="76"/>
        <v>02</v>
      </c>
      <c r="E214" t="s">
        <v>14</v>
      </c>
      <c r="F214" s="139" t="s">
        <v>19</v>
      </c>
      <c r="G214" t="s">
        <v>20</v>
      </c>
      <c r="H214" s="156">
        <v>6112</v>
      </c>
      <c r="I214" s="156">
        <v>5827.22</v>
      </c>
      <c r="J214" s="156">
        <v>6472</v>
      </c>
      <c r="K214" s="156">
        <v>6894.66</v>
      </c>
      <c r="L214" s="156">
        <v>7726</v>
      </c>
      <c r="M214" s="156">
        <v>7726.37</v>
      </c>
      <c r="N214" s="156">
        <v>9129</v>
      </c>
      <c r="O214" s="156">
        <v>8993</v>
      </c>
      <c r="P214" s="156">
        <v>8993</v>
      </c>
      <c r="Q214" s="156">
        <v>8993</v>
      </c>
      <c r="R214" s="156">
        <v>8993</v>
      </c>
      <c r="S214" s="156">
        <f t="shared" si="77"/>
        <v>-136</v>
      </c>
      <c r="T214" s="156">
        <f t="shared" si="78"/>
        <v>0</v>
      </c>
      <c r="U214" s="140">
        <f t="shared" si="79"/>
        <v>-1.4897579143389199E-2</v>
      </c>
      <c r="V214" s="140">
        <f t="shared" si="80"/>
        <v>-4.6593586387434514E-2</v>
      </c>
      <c r="W214" s="140">
        <f t="shared" si="81"/>
        <v>6.5305933250927053E-2</v>
      </c>
      <c r="X214" s="140">
        <f t="shared" si="82"/>
        <v>4.7890240745520433E-5</v>
      </c>
      <c r="Y214" s="140">
        <f t="shared" si="83"/>
        <v>5.8900523560209424E-2</v>
      </c>
      <c r="Z214" s="140">
        <f t="shared" si="84"/>
        <v>0.18318168869546705</v>
      </c>
      <c r="AA214" s="140">
        <f t="shared" si="85"/>
        <v>0.19375772558714463</v>
      </c>
      <c r="AB214" s="140">
        <f t="shared" si="86"/>
        <v>0.12063103909402349</v>
      </c>
      <c r="AC214" s="140">
        <f t="shared" si="87"/>
        <v>0.18159461558374321</v>
      </c>
      <c r="AD214" s="140">
        <f t="shared" si="88"/>
        <v>0.49361910994764396</v>
      </c>
      <c r="AE214" s="140">
        <f t="shared" si="89"/>
        <v>-1.4897579143389199E-2</v>
      </c>
      <c r="AF214" s="140">
        <f t="shared" si="90"/>
        <v>-1.4897579143389199E-2</v>
      </c>
      <c r="AG214" s="140">
        <f t="shared" si="91"/>
        <v>-1.4897579143389199E-2</v>
      </c>
      <c r="AH214" s="140">
        <f t="shared" si="92"/>
        <v>-1.4897579143389199E-2</v>
      </c>
      <c r="AI214" s="140">
        <f t="shared" si="93"/>
        <v>0.47136780104712039</v>
      </c>
      <c r="AJ214" s="140">
        <f t="shared" si="94"/>
        <v>0.47136780104712039</v>
      </c>
      <c r="AK214" s="140">
        <f t="shared" si="95"/>
        <v>0.47136780104712039</v>
      </c>
      <c r="AL214" s="140">
        <f t="shared" si="96"/>
        <v>0.47136780104712039</v>
      </c>
      <c r="AM214" t="str">
        <f t="shared" si="97"/>
        <v>4260-000: Workers' comp Benefits</v>
      </c>
      <c r="AN214" s="140">
        <f t="shared" si="98"/>
        <v>0.14475095491036574</v>
      </c>
      <c r="AO214" s="140">
        <f t="shared" si="99"/>
        <v>-0.15964853405375495</v>
      </c>
      <c r="AP214" s="1" t="str">
        <f>IF(AND(AO214&gt;0, _xlfn.XLOOKUP($AM214, Discretionaries!$A$2:'Discretionaries'!$A$150, Discretionaries!$B$2:'Discretionaries'!$B$150)), (1+AN214)*$N214, "")</f>
        <v/>
      </c>
      <c r="AQ214" s="1" t="str">
        <f>IF(AND(AO214&gt;0, _xlfn.XLOOKUP($AM214, Discretionaries!$A$2:'Discretionaries'!$A$150, Discretionaries!$B$2:'Discretionaries'!$B$150)),AP214-$Q214,"")</f>
        <v/>
      </c>
      <c r="AR214" s="140">
        <f>IF(AG214="", 0-CPI!$B$15, AG214-CPI!$B$15)</f>
        <v>-5.389757914338919E-2</v>
      </c>
      <c r="AS214" s="1" t="str">
        <f>IF(AND(AR214&gt;0, _xlfn.XLOOKUP($AM214, Discretionaries!$A$2:'Discretionaries'!$A$150, Discretionaries!$B$2:'Discretionaries'!$B$150)), (1+CPI!$B$15)*$N214, "")</f>
        <v/>
      </c>
      <c r="AT214" s="1" t="str">
        <f>IF(AND(AR214&gt;0, _xlfn.XLOOKUP($AM214, Discretionaries!$A$2:'Discretionaries'!$A$150, Discretionaries!$B$2:'Discretionaries'!$B$150)),AS214-$Q214,"")</f>
        <v/>
      </c>
    </row>
    <row r="215" spans="1:46" x14ac:dyDescent="0.3">
      <c r="A215" t="s">
        <v>425</v>
      </c>
      <c r="B215" t="str">
        <f t="shared" si="75"/>
        <v>20</v>
      </c>
      <c r="C215" t="s">
        <v>427</v>
      </c>
      <c r="D215" t="str">
        <f t="shared" si="76"/>
        <v>02</v>
      </c>
      <c r="E215" t="s">
        <v>21</v>
      </c>
      <c r="F215" s="139" t="s">
        <v>225</v>
      </c>
      <c r="G215" t="s">
        <v>226</v>
      </c>
      <c r="H215" s="156">
        <v>400</v>
      </c>
      <c r="I215" s="156">
        <v>400</v>
      </c>
      <c r="J215" s="156">
        <v>400</v>
      </c>
      <c r="K215" s="156">
        <v>168.29</v>
      </c>
      <c r="L215" s="156">
        <v>400</v>
      </c>
      <c r="M215" s="156">
        <v>0</v>
      </c>
      <c r="N215" s="156">
        <v>400</v>
      </c>
      <c r="O215" s="156">
        <v>400</v>
      </c>
      <c r="P215" s="156">
        <v>400</v>
      </c>
      <c r="Q215" s="156">
        <v>400</v>
      </c>
      <c r="R215" s="156">
        <v>400</v>
      </c>
      <c r="S215" s="156">
        <f t="shared" si="77"/>
        <v>0</v>
      </c>
      <c r="T215" s="156">
        <f t="shared" si="78"/>
        <v>0</v>
      </c>
      <c r="U215" s="140">
        <f t="shared" si="79"/>
        <v>0</v>
      </c>
      <c r="V215" s="140">
        <f t="shared" si="80"/>
        <v>0</v>
      </c>
      <c r="W215" s="140">
        <f t="shared" si="81"/>
        <v>-0.57927499999999998</v>
      </c>
      <c r="X215" s="140">
        <f t="shared" si="82"/>
        <v>-1</v>
      </c>
      <c r="Y215" s="140">
        <f t="shared" si="83"/>
        <v>0</v>
      </c>
      <c r="Z215" s="140">
        <f t="shared" si="84"/>
        <v>-0.57927499999999998</v>
      </c>
      <c r="AA215" s="140">
        <f t="shared" si="85"/>
        <v>0</v>
      </c>
      <c r="AB215" s="140">
        <f t="shared" si="86"/>
        <v>-1</v>
      </c>
      <c r="AC215" s="140">
        <f t="shared" si="87"/>
        <v>0</v>
      </c>
      <c r="AD215" s="140">
        <f t="shared" si="88"/>
        <v>0</v>
      </c>
      <c r="AE215" s="140">
        <f t="shared" si="89"/>
        <v>0</v>
      </c>
      <c r="AF215" s="140">
        <f t="shared" si="90"/>
        <v>0</v>
      </c>
      <c r="AG215" s="140">
        <f t="shared" si="91"/>
        <v>0</v>
      </c>
      <c r="AH215" s="140">
        <f t="shared" si="92"/>
        <v>0</v>
      </c>
      <c r="AI215" s="140">
        <f t="shared" si="93"/>
        <v>0</v>
      </c>
      <c r="AJ215" s="140">
        <f t="shared" si="94"/>
        <v>0</v>
      </c>
      <c r="AK215" s="140">
        <f t="shared" si="95"/>
        <v>0</v>
      </c>
      <c r="AL215" s="140">
        <f t="shared" si="96"/>
        <v>0</v>
      </c>
      <c r="AM215" t="str">
        <f t="shared" si="97"/>
        <v>4290-000: Uniforms &amp; cleaning Benefits</v>
      </c>
      <c r="AN215" s="140">
        <f t="shared" si="98"/>
        <v>0</v>
      </c>
      <c r="AO215" s="140">
        <f t="shared" si="99"/>
        <v>0</v>
      </c>
      <c r="AP215" s="1" t="str">
        <f>IF(AND(AO215&gt;0, _xlfn.XLOOKUP($AM215, Discretionaries!$A$2:'Discretionaries'!$A$150, Discretionaries!$B$2:'Discretionaries'!$B$150)), (1+AN215)*$N215, "")</f>
        <v/>
      </c>
      <c r="AQ215" s="1" t="str">
        <f>IF(AND(AO215&gt;0, _xlfn.XLOOKUP($AM215, Discretionaries!$A$2:'Discretionaries'!$A$150, Discretionaries!$B$2:'Discretionaries'!$B$150)),AP215-$Q215,"")</f>
        <v/>
      </c>
      <c r="AR215" s="140">
        <f>IF(AG215="", 0-CPI!$B$15, AG215-CPI!$B$15)</f>
        <v>-3.8999999999999993E-2</v>
      </c>
      <c r="AS215" s="1" t="str">
        <f>IF(AND(AR215&gt;0, _xlfn.XLOOKUP($AM215, Discretionaries!$A$2:'Discretionaries'!$A$150, Discretionaries!$B$2:'Discretionaries'!$B$150)), (1+CPI!$B$15)*$N215, "")</f>
        <v/>
      </c>
      <c r="AT215" s="1" t="str">
        <f>IF(AND(AR215&gt;0, _xlfn.XLOOKUP($AM215, Discretionaries!$A$2:'Discretionaries'!$A$150, Discretionaries!$B$2:'Discretionaries'!$B$150)),AS215-$Q215,"")</f>
        <v/>
      </c>
    </row>
    <row r="216" spans="1:46" x14ac:dyDescent="0.3">
      <c r="A216" t="s">
        <v>425</v>
      </c>
      <c r="B216" t="str">
        <f t="shared" si="75"/>
        <v>20</v>
      </c>
      <c r="C216" t="s">
        <v>427</v>
      </c>
      <c r="D216" t="str">
        <f t="shared" si="76"/>
        <v>02</v>
      </c>
      <c r="E216" t="s">
        <v>21</v>
      </c>
      <c r="F216" s="139" t="s">
        <v>158</v>
      </c>
      <c r="G216" t="s">
        <v>159</v>
      </c>
      <c r="H216" s="156">
        <v>2756</v>
      </c>
      <c r="I216" s="156">
        <v>0</v>
      </c>
      <c r="J216" s="156">
        <v>0</v>
      </c>
      <c r="K216" s="156">
        <v>0</v>
      </c>
      <c r="L216" s="156">
        <v>0</v>
      </c>
      <c r="M216" s="156">
        <v>0</v>
      </c>
      <c r="N216" s="156">
        <v>0</v>
      </c>
      <c r="O216" s="156">
        <v>0</v>
      </c>
      <c r="P216" s="156">
        <v>0</v>
      </c>
      <c r="Q216" s="156">
        <v>0</v>
      </c>
      <c r="R216" s="156">
        <v>0</v>
      </c>
      <c r="S216" s="156">
        <f t="shared" si="77"/>
        <v>0</v>
      </c>
      <c r="T216" s="156">
        <f t="shared" si="78"/>
        <v>0</v>
      </c>
      <c r="U216" s="140" t="str">
        <f t="shared" si="79"/>
        <v/>
      </c>
      <c r="V216" s="140">
        <f t="shared" si="80"/>
        <v>-1</v>
      </c>
      <c r="W216" s="140" t="str">
        <f t="shared" si="81"/>
        <v/>
      </c>
      <c r="X216" s="140" t="str">
        <f t="shared" si="82"/>
        <v/>
      </c>
      <c r="Y216" s="140">
        <f t="shared" si="83"/>
        <v>-1</v>
      </c>
      <c r="Z216" s="140" t="str">
        <f t="shared" si="84"/>
        <v/>
      </c>
      <c r="AA216" s="140" t="str">
        <f t="shared" si="85"/>
        <v/>
      </c>
      <c r="AB216" s="140" t="str">
        <f t="shared" si="86"/>
        <v/>
      </c>
      <c r="AC216" s="140" t="str">
        <f t="shared" si="87"/>
        <v/>
      </c>
      <c r="AD216" s="140">
        <f t="shared" si="88"/>
        <v>-1</v>
      </c>
      <c r="AE216" s="140" t="str">
        <f t="shared" si="89"/>
        <v/>
      </c>
      <c r="AF216" s="140" t="str">
        <f t="shared" si="90"/>
        <v/>
      </c>
      <c r="AG216" s="140" t="str">
        <f t="shared" si="91"/>
        <v/>
      </c>
      <c r="AH216" s="140" t="str">
        <f t="shared" si="92"/>
        <v/>
      </c>
      <c r="AI216" s="140">
        <f t="shared" si="93"/>
        <v>-1</v>
      </c>
      <c r="AJ216" s="140">
        <f t="shared" si="94"/>
        <v>-1</v>
      </c>
      <c r="AK216" s="140">
        <f t="shared" si="95"/>
        <v>-1</v>
      </c>
      <c r="AL216" s="140">
        <f t="shared" si="96"/>
        <v>-1</v>
      </c>
      <c r="AM216" t="str">
        <f t="shared" si="97"/>
        <v>4360-000: Custodial Services</v>
      </c>
      <c r="AN216" s="140">
        <f t="shared" si="98"/>
        <v>-1</v>
      </c>
      <c r="AO216" s="140">
        <f t="shared" si="99"/>
        <v>1</v>
      </c>
      <c r="AP216" s="1">
        <f>IF(AND(AO216&gt;0, _xlfn.XLOOKUP($AM216, Discretionaries!$A$2:'Discretionaries'!$A$150, Discretionaries!$B$2:'Discretionaries'!$B$150)), (1+AN216)*$N216, "")</f>
        <v>0</v>
      </c>
      <c r="AQ216" s="1">
        <f>IF(AND(AO216&gt;0, _xlfn.XLOOKUP($AM216, Discretionaries!$A$2:'Discretionaries'!$A$150, Discretionaries!$B$2:'Discretionaries'!$B$150)),AP216-$Q216,"")</f>
        <v>0</v>
      </c>
      <c r="AR216" s="140">
        <f>IF(AG216="", 0-CPI!$B$15, AG216-CPI!$B$15)</f>
        <v>-3.8999999999999993E-2</v>
      </c>
      <c r="AS216" s="1" t="str">
        <f>IF(AND(AR216&gt;0, _xlfn.XLOOKUP($AM216, Discretionaries!$A$2:'Discretionaries'!$A$150, Discretionaries!$B$2:'Discretionaries'!$B$150)), (1+CPI!$B$15)*$N216, "")</f>
        <v/>
      </c>
      <c r="AT216" s="1" t="str">
        <f>IF(AND(AR216&gt;0, _xlfn.XLOOKUP($AM216, Discretionaries!$A$2:'Discretionaries'!$A$150, Discretionaries!$B$2:'Discretionaries'!$B$150)),AS216-$Q216,"")</f>
        <v/>
      </c>
    </row>
    <row r="217" spans="1:46" x14ac:dyDescent="0.3">
      <c r="A217" t="s">
        <v>425</v>
      </c>
      <c r="B217" t="str">
        <f t="shared" si="75"/>
        <v>20</v>
      </c>
      <c r="C217" t="s">
        <v>427</v>
      </c>
      <c r="D217" t="str">
        <f t="shared" si="76"/>
        <v>02</v>
      </c>
      <c r="E217" t="s">
        <v>133</v>
      </c>
      <c r="F217" s="139" t="s">
        <v>160</v>
      </c>
      <c r="G217" t="s">
        <v>161</v>
      </c>
      <c r="H217" s="156">
        <v>54000</v>
      </c>
      <c r="I217" s="156">
        <v>54286.92</v>
      </c>
      <c r="J217" s="156">
        <v>54000</v>
      </c>
      <c r="K217" s="156">
        <v>51094.9</v>
      </c>
      <c r="L217" s="156">
        <v>55000</v>
      </c>
      <c r="M217" s="156">
        <v>55294.66</v>
      </c>
      <c r="N217" s="156">
        <v>55000</v>
      </c>
      <c r="O217" s="156">
        <v>55000</v>
      </c>
      <c r="P217" s="156">
        <v>55000</v>
      </c>
      <c r="Q217" s="156">
        <v>55000</v>
      </c>
      <c r="R217" s="156">
        <v>55000</v>
      </c>
      <c r="S217" s="156">
        <f t="shared" si="77"/>
        <v>0</v>
      </c>
      <c r="T217" s="156">
        <f t="shared" si="78"/>
        <v>0</v>
      </c>
      <c r="U217" s="140">
        <f t="shared" si="79"/>
        <v>0</v>
      </c>
      <c r="V217" s="140">
        <f t="shared" si="80"/>
        <v>5.313333333333301E-3</v>
      </c>
      <c r="W217" s="140">
        <f t="shared" si="81"/>
        <v>-5.3798148148148123E-2</v>
      </c>
      <c r="X217" s="140">
        <f t="shared" si="82"/>
        <v>5.3574545454546088E-3</v>
      </c>
      <c r="Y217" s="140">
        <f t="shared" si="83"/>
        <v>0</v>
      </c>
      <c r="Z217" s="140">
        <f t="shared" si="84"/>
        <v>-5.8799062462928396E-2</v>
      </c>
      <c r="AA217" s="140">
        <f t="shared" si="85"/>
        <v>1.8518518518518517E-2</v>
      </c>
      <c r="AB217" s="140">
        <f t="shared" si="86"/>
        <v>8.2195287592303767E-2</v>
      </c>
      <c r="AC217" s="140">
        <f t="shared" si="87"/>
        <v>0</v>
      </c>
      <c r="AD217" s="140">
        <f t="shared" si="88"/>
        <v>1.8518518518518517E-2</v>
      </c>
      <c r="AE217" s="140">
        <f t="shared" si="89"/>
        <v>0</v>
      </c>
      <c r="AF217" s="140">
        <f t="shared" si="90"/>
        <v>0</v>
      </c>
      <c r="AG217" s="140">
        <f t="shared" si="91"/>
        <v>0</v>
      </c>
      <c r="AH217" s="140">
        <f t="shared" si="92"/>
        <v>0</v>
      </c>
      <c r="AI217" s="140">
        <f t="shared" si="93"/>
        <v>1.8518518518518517E-2</v>
      </c>
      <c r="AJ217" s="140">
        <f t="shared" si="94"/>
        <v>1.8518518518518517E-2</v>
      </c>
      <c r="AK217" s="140">
        <f t="shared" si="95"/>
        <v>1.8518518518518517E-2</v>
      </c>
      <c r="AL217" s="140">
        <f t="shared" si="96"/>
        <v>1.8518518518518517E-2</v>
      </c>
      <c r="AM217" t="str">
        <f t="shared" si="97"/>
        <v>4410-000: Electric Services</v>
      </c>
      <c r="AN217" s="140">
        <f t="shared" si="98"/>
        <v>6.1728395061728392E-3</v>
      </c>
      <c r="AO217" s="140">
        <f t="shared" si="99"/>
        <v>-6.1728395061728392E-3</v>
      </c>
      <c r="AP217" s="1" t="str">
        <f>IF(AND(AO217&gt;0, _xlfn.XLOOKUP($AM217, Discretionaries!$A$2:'Discretionaries'!$A$150, Discretionaries!$B$2:'Discretionaries'!$B$150)), (1+AN217)*$N217, "")</f>
        <v/>
      </c>
      <c r="AQ217" s="1" t="str">
        <f>IF(AND(AO217&gt;0, _xlfn.XLOOKUP($AM217, Discretionaries!$A$2:'Discretionaries'!$A$150, Discretionaries!$B$2:'Discretionaries'!$B$150)),AP217-$Q217,"")</f>
        <v/>
      </c>
      <c r="AR217" s="140">
        <f>IF(AG217="", 0-CPI!$B$15, AG217-CPI!$B$15)</f>
        <v>-3.8999999999999993E-2</v>
      </c>
      <c r="AS217" s="1" t="str">
        <f>IF(AND(AR217&gt;0, _xlfn.XLOOKUP($AM217, Discretionaries!$A$2:'Discretionaries'!$A$150, Discretionaries!$B$2:'Discretionaries'!$B$150)), (1+CPI!$B$15)*$N217, "")</f>
        <v/>
      </c>
      <c r="AT217" s="1" t="str">
        <f>IF(AND(AR217&gt;0, _xlfn.XLOOKUP($AM217, Discretionaries!$A$2:'Discretionaries'!$A$150, Discretionaries!$B$2:'Discretionaries'!$B$150)),AS217-$Q217,"")</f>
        <v/>
      </c>
    </row>
    <row r="218" spans="1:46" x14ac:dyDescent="0.3">
      <c r="A218" t="s">
        <v>425</v>
      </c>
      <c r="B218" t="str">
        <f t="shared" si="75"/>
        <v>20</v>
      </c>
      <c r="C218" t="s">
        <v>427</v>
      </c>
      <c r="D218" t="str">
        <f t="shared" si="76"/>
        <v>02</v>
      </c>
      <c r="E218" t="s">
        <v>133</v>
      </c>
      <c r="F218" s="139" t="s">
        <v>162</v>
      </c>
      <c r="G218" t="s">
        <v>163</v>
      </c>
      <c r="H218" s="156">
        <v>45000</v>
      </c>
      <c r="I218" s="156">
        <v>38330.78</v>
      </c>
      <c r="J218" s="156">
        <v>45000</v>
      </c>
      <c r="K218" s="156">
        <v>29978.51</v>
      </c>
      <c r="L218" s="156">
        <v>42000</v>
      </c>
      <c r="M218" s="156">
        <v>30804.68</v>
      </c>
      <c r="N218" s="156">
        <v>42000</v>
      </c>
      <c r="O218" s="156">
        <v>42000</v>
      </c>
      <c r="P218" s="156">
        <v>42000</v>
      </c>
      <c r="Q218" s="156">
        <v>42000</v>
      </c>
      <c r="R218" s="156">
        <v>42000</v>
      </c>
      <c r="S218" s="156">
        <f t="shared" si="77"/>
        <v>0</v>
      </c>
      <c r="T218" s="156">
        <f t="shared" si="78"/>
        <v>0</v>
      </c>
      <c r="U218" s="140">
        <f t="shared" si="79"/>
        <v>0</v>
      </c>
      <c r="V218" s="140">
        <f t="shared" si="80"/>
        <v>-0.14820488888888891</v>
      </c>
      <c r="W218" s="140">
        <f t="shared" si="81"/>
        <v>-0.33381088888888893</v>
      </c>
      <c r="X218" s="140">
        <f t="shared" si="82"/>
        <v>-0.26655523809523807</v>
      </c>
      <c r="Y218" s="140">
        <f t="shared" si="83"/>
        <v>0</v>
      </c>
      <c r="Z218" s="140">
        <f t="shared" si="84"/>
        <v>-0.21789981837051062</v>
      </c>
      <c r="AA218" s="140">
        <f t="shared" si="85"/>
        <v>-6.6666666666666666E-2</v>
      </c>
      <c r="AB218" s="140">
        <f t="shared" si="86"/>
        <v>2.7558741244978553E-2</v>
      </c>
      <c r="AC218" s="140">
        <f t="shared" si="87"/>
        <v>0</v>
      </c>
      <c r="AD218" s="140">
        <f t="shared" si="88"/>
        <v>-6.6666666666666666E-2</v>
      </c>
      <c r="AE218" s="140">
        <f t="shared" si="89"/>
        <v>0</v>
      </c>
      <c r="AF218" s="140">
        <f t="shared" si="90"/>
        <v>0</v>
      </c>
      <c r="AG218" s="140">
        <f t="shared" si="91"/>
        <v>0</v>
      </c>
      <c r="AH218" s="140">
        <f t="shared" si="92"/>
        <v>0</v>
      </c>
      <c r="AI218" s="140">
        <f t="shared" si="93"/>
        <v>-6.6666666666666666E-2</v>
      </c>
      <c r="AJ218" s="140">
        <f t="shared" si="94"/>
        <v>-6.6666666666666666E-2</v>
      </c>
      <c r="AK218" s="140">
        <f t="shared" si="95"/>
        <v>-6.6666666666666666E-2</v>
      </c>
      <c r="AL218" s="140">
        <f t="shared" si="96"/>
        <v>-6.6666666666666666E-2</v>
      </c>
      <c r="AM218" t="str">
        <f t="shared" si="97"/>
        <v>4411-000: Heat &amp; oil Services</v>
      </c>
      <c r="AN218" s="140">
        <f t="shared" si="98"/>
        <v>-2.2222222222222223E-2</v>
      </c>
      <c r="AO218" s="140">
        <f t="shared" si="99"/>
        <v>2.2222222222222223E-2</v>
      </c>
      <c r="AP218" s="1">
        <f>IF(AND(AO218&gt;0, _xlfn.XLOOKUP($AM218, Discretionaries!$A$2:'Discretionaries'!$A$150, Discretionaries!$B$2:'Discretionaries'!$B$150)), (1+AN218)*$N218, "")</f>
        <v>41066.666666666664</v>
      </c>
      <c r="AQ218" s="1">
        <f>IF(AND(AO218&gt;0, _xlfn.XLOOKUP($AM218, Discretionaries!$A$2:'Discretionaries'!$A$150, Discretionaries!$B$2:'Discretionaries'!$B$150)),AP218-$Q218,"")</f>
        <v>-933.33333333333576</v>
      </c>
      <c r="AR218" s="140">
        <f>IF(AG218="", 0-CPI!$B$15, AG218-CPI!$B$15)</f>
        <v>-3.8999999999999993E-2</v>
      </c>
      <c r="AS218" s="1" t="str">
        <f>IF(AND(AR218&gt;0, _xlfn.XLOOKUP($AM218, Discretionaries!$A$2:'Discretionaries'!$A$150, Discretionaries!$B$2:'Discretionaries'!$B$150)), (1+CPI!$B$15)*$N218, "")</f>
        <v/>
      </c>
      <c r="AT218" s="1" t="str">
        <f>IF(AND(AR218&gt;0, _xlfn.XLOOKUP($AM218, Discretionaries!$A$2:'Discretionaries'!$A$150, Discretionaries!$B$2:'Discretionaries'!$B$150)),AS218-$Q218,"")</f>
        <v/>
      </c>
    </row>
    <row r="219" spans="1:46" x14ac:dyDescent="0.3">
      <c r="A219" t="s">
        <v>425</v>
      </c>
      <c r="B219" t="str">
        <f t="shared" si="75"/>
        <v>20</v>
      </c>
      <c r="C219" t="s">
        <v>427</v>
      </c>
      <c r="D219" t="str">
        <f t="shared" si="76"/>
        <v>02</v>
      </c>
      <c r="E219" t="s">
        <v>133</v>
      </c>
      <c r="F219" s="139" t="s">
        <v>164</v>
      </c>
      <c r="G219" t="s">
        <v>165</v>
      </c>
      <c r="H219" s="156">
        <v>5200</v>
      </c>
      <c r="I219" s="156">
        <v>7626.54</v>
      </c>
      <c r="J219" s="156">
        <v>6000</v>
      </c>
      <c r="K219" s="156">
        <v>7535.97</v>
      </c>
      <c r="L219" s="156">
        <v>8000</v>
      </c>
      <c r="M219" s="156">
        <v>7593.3</v>
      </c>
      <c r="N219" s="156">
        <v>8000</v>
      </c>
      <c r="O219" s="156">
        <v>8000</v>
      </c>
      <c r="P219" s="156">
        <v>8000</v>
      </c>
      <c r="Q219" s="156">
        <v>8000</v>
      </c>
      <c r="R219" s="156">
        <v>8000</v>
      </c>
      <c r="S219" s="156">
        <f t="shared" si="77"/>
        <v>0</v>
      </c>
      <c r="T219" s="156">
        <f t="shared" si="78"/>
        <v>0</v>
      </c>
      <c r="U219" s="140">
        <f t="shared" si="79"/>
        <v>0</v>
      </c>
      <c r="V219" s="140">
        <f t="shared" si="80"/>
        <v>0.46664230769230769</v>
      </c>
      <c r="W219" s="140">
        <f t="shared" si="81"/>
        <v>0.25599500000000003</v>
      </c>
      <c r="X219" s="140">
        <f t="shared" si="82"/>
        <v>-5.083749999999998E-2</v>
      </c>
      <c r="Y219" s="140">
        <f t="shared" si="83"/>
        <v>0.15384615384615385</v>
      </c>
      <c r="Z219" s="140">
        <f t="shared" si="84"/>
        <v>-1.1875634298122046E-2</v>
      </c>
      <c r="AA219" s="140">
        <f t="shared" si="85"/>
        <v>0.33333333333333331</v>
      </c>
      <c r="AB219" s="140">
        <f t="shared" si="86"/>
        <v>7.6075143611240388E-3</v>
      </c>
      <c r="AC219" s="140">
        <f t="shared" si="87"/>
        <v>0</v>
      </c>
      <c r="AD219" s="140">
        <f t="shared" si="88"/>
        <v>0.53846153846153844</v>
      </c>
      <c r="AE219" s="140">
        <f t="shared" si="89"/>
        <v>0</v>
      </c>
      <c r="AF219" s="140">
        <f t="shared" si="90"/>
        <v>0</v>
      </c>
      <c r="AG219" s="140">
        <f t="shared" si="91"/>
        <v>0</v>
      </c>
      <c r="AH219" s="140">
        <f t="shared" si="92"/>
        <v>0</v>
      </c>
      <c r="AI219" s="140">
        <f t="shared" si="93"/>
        <v>0.53846153846153844</v>
      </c>
      <c r="AJ219" s="140">
        <f t="shared" si="94"/>
        <v>0.53846153846153844</v>
      </c>
      <c r="AK219" s="140">
        <f t="shared" si="95"/>
        <v>0.53846153846153844</v>
      </c>
      <c r="AL219" s="140">
        <f t="shared" si="96"/>
        <v>0.53846153846153844</v>
      </c>
      <c r="AM219" t="str">
        <f t="shared" si="97"/>
        <v>4412-000: Water Services</v>
      </c>
      <c r="AN219" s="140">
        <f t="shared" si="98"/>
        <v>0.1623931623931624</v>
      </c>
      <c r="AO219" s="140">
        <f t="shared" si="99"/>
        <v>-0.1623931623931624</v>
      </c>
      <c r="AP219" s="1" t="str">
        <f>IF(AND(AO219&gt;0, _xlfn.XLOOKUP($AM219, Discretionaries!$A$2:'Discretionaries'!$A$150, Discretionaries!$B$2:'Discretionaries'!$B$150)), (1+AN219)*$N219, "")</f>
        <v/>
      </c>
      <c r="AQ219" s="1" t="str">
        <f>IF(AND(AO219&gt;0, _xlfn.XLOOKUP($AM219, Discretionaries!$A$2:'Discretionaries'!$A$150, Discretionaries!$B$2:'Discretionaries'!$B$150)),AP219-$Q219,"")</f>
        <v/>
      </c>
      <c r="AR219" s="140">
        <f>IF(AG219="", 0-CPI!$B$15, AG219-CPI!$B$15)</f>
        <v>-3.8999999999999993E-2</v>
      </c>
      <c r="AS219" s="1" t="str">
        <f>IF(AND(AR219&gt;0, _xlfn.XLOOKUP($AM219, Discretionaries!$A$2:'Discretionaries'!$A$150, Discretionaries!$B$2:'Discretionaries'!$B$150)), (1+CPI!$B$15)*$N219, "")</f>
        <v/>
      </c>
      <c r="AT219" s="1" t="str">
        <f>IF(AND(AR219&gt;0, _xlfn.XLOOKUP($AM219, Discretionaries!$A$2:'Discretionaries'!$A$150, Discretionaries!$B$2:'Discretionaries'!$B$150)),AS219-$Q219,"")</f>
        <v/>
      </c>
    </row>
    <row r="220" spans="1:46" x14ac:dyDescent="0.3">
      <c r="A220" t="s">
        <v>425</v>
      </c>
      <c r="B220" t="str">
        <f t="shared" si="75"/>
        <v>20</v>
      </c>
      <c r="C220" t="s">
        <v>427</v>
      </c>
      <c r="D220" t="str">
        <f t="shared" si="76"/>
        <v>02</v>
      </c>
      <c r="E220" t="s">
        <v>30</v>
      </c>
      <c r="F220" s="139" t="s">
        <v>137</v>
      </c>
      <c r="G220" t="s">
        <v>138</v>
      </c>
      <c r="H220" s="156">
        <v>18718</v>
      </c>
      <c r="I220" s="156">
        <v>117266.29</v>
      </c>
      <c r="J220" s="156">
        <v>100000</v>
      </c>
      <c r="K220" s="156">
        <v>100495.27</v>
      </c>
      <c r="L220" s="156">
        <v>100000</v>
      </c>
      <c r="M220" s="156">
        <v>126672.27</v>
      </c>
      <c r="N220" s="156">
        <v>100000</v>
      </c>
      <c r="O220" s="156">
        <v>100000</v>
      </c>
      <c r="P220" s="156">
        <v>100000</v>
      </c>
      <c r="Q220" s="156">
        <v>100000</v>
      </c>
      <c r="R220" s="156">
        <v>100000</v>
      </c>
      <c r="S220" s="156">
        <f t="shared" si="77"/>
        <v>0</v>
      </c>
      <c r="T220" s="156">
        <f t="shared" si="78"/>
        <v>0</v>
      </c>
      <c r="U220" s="140">
        <f t="shared" si="79"/>
        <v>0</v>
      </c>
      <c r="V220" s="140">
        <f t="shared" si="80"/>
        <v>5.2648942194678918</v>
      </c>
      <c r="W220" s="140">
        <f t="shared" si="81"/>
        <v>4.9527000000000408E-3</v>
      </c>
      <c r="X220" s="140">
        <f t="shared" si="82"/>
        <v>0.26672270000000003</v>
      </c>
      <c r="Y220" s="140">
        <f t="shared" si="83"/>
        <v>4.342451116572283</v>
      </c>
      <c r="Z220" s="140">
        <f t="shared" si="84"/>
        <v>-0.14301654806338626</v>
      </c>
      <c r="AA220" s="140">
        <f t="shared" si="85"/>
        <v>0</v>
      </c>
      <c r="AB220" s="140">
        <f t="shared" si="86"/>
        <v>0.26047992109479379</v>
      </c>
      <c r="AC220" s="140">
        <f t="shared" si="87"/>
        <v>0</v>
      </c>
      <c r="AD220" s="140">
        <f t="shared" si="88"/>
        <v>4.342451116572283</v>
      </c>
      <c r="AE220" s="140">
        <f t="shared" si="89"/>
        <v>0</v>
      </c>
      <c r="AF220" s="140">
        <f t="shared" si="90"/>
        <v>0</v>
      </c>
      <c r="AG220" s="140">
        <f t="shared" si="91"/>
        <v>0</v>
      </c>
      <c r="AH220" s="140">
        <f t="shared" si="92"/>
        <v>0</v>
      </c>
      <c r="AI220" s="140">
        <f t="shared" si="93"/>
        <v>4.342451116572283</v>
      </c>
      <c r="AJ220" s="140">
        <f t="shared" si="94"/>
        <v>4.342451116572283</v>
      </c>
      <c r="AK220" s="140">
        <f t="shared" si="95"/>
        <v>4.342451116572283</v>
      </c>
      <c r="AL220" s="140">
        <f t="shared" si="96"/>
        <v>4.342451116572283</v>
      </c>
      <c r="AM220" t="str">
        <f t="shared" si="97"/>
        <v>4630-000: Maint &amp; repairs Supplies</v>
      </c>
      <c r="AN220" s="140">
        <f t="shared" si="98"/>
        <v>1.4474837055240943</v>
      </c>
      <c r="AO220" s="140">
        <f t="shared" si="99"/>
        <v>-1.4474837055240943</v>
      </c>
      <c r="AP220" s="1" t="str">
        <f>IF(AND(AO220&gt;0, _xlfn.XLOOKUP($AM220, Discretionaries!$A$2:'Discretionaries'!$A$150, Discretionaries!$B$2:'Discretionaries'!$B$150)), (1+AN220)*$N220, "")</f>
        <v/>
      </c>
      <c r="AQ220" s="1" t="str">
        <f>IF(AND(AO220&gt;0, _xlfn.XLOOKUP($AM220, Discretionaries!$A$2:'Discretionaries'!$A$150, Discretionaries!$B$2:'Discretionaries'!$B$150)),AP220-$Q220,"")</f>
        <v/>
      </c>
      <c r="AR220" s="140">
        <f>IF(AG220="", 0-CPI!$B$15, AG220-CPI!$B$15)</f>
        <v>-3.8999999999999993E-2</v>
      </c>
      <c r="AS220" s="1" t="str">
        <f>IF(AND(AR220&gt;0, _xlfn.XLOOKUP($AM220, Discretionaries!$A$2:'Discretionaries'!$A$150, Discretionaries!$B$2:'Discretionaries'!$B$150)), (1+CPI!$B$15)*$N220, "")</f>
        <v/>
      </c>
      <c r="AT220" s="1" t="str">
        <f>IF(AND(AR220&gt;0, _xlfn.XLOOKUP($AM220, Discretionaries!$A$2:'Discretionaries'!$A$150, Discretionaries!$B$2:'Discretionaries'!$B$150)),AS220-$Q220,"")</f>
        <v/>
      </c>
    </row>
    <row r="221" spans="1:46" x14ac:dyDescent="0.3">
      <c r="A221" t="s">
        <v>425</v>
      </c>
      <c r="B221" t="str">
        <f t="shared" si="75"/>
        <v>20</v>
      </c>
      <c r="C221" t="s">
        <v>418</v>
      </c>
      <c r="D221" t="str">
        <f t="shared" si="76"/>
        <v>10</v>
      </c>
      <c r="E221" t="s">
        <v>11</v>
      </c>
      <c r="F221" s="139" t="s">
        <v>35</v>
      </c>
      <c r="G221" t="s">
        <v>36</v>
      </c>
      <c r="H221" s="156">
        <v>97986</v>
      </c>
      <c r="I221" s="156">
        <v>98186.8</v>
      </c>
      <c r="J221" s="156">
        <v>102589</v>
      </c>
      <c r="K221" s="156">
        <v>102236.23</v>
      </c>
      <c r="L221" s="156">
        <v>105665</v>
      </c>
      <c r="M221" s="156">
        <v>106010.72</v>
      </c>
      <c r="N221" s="156">
        <v>116567</v>
      </c>
      <c r="O221" s="156">
        <v>124127</v>
      </c>
      <c r="P221" s="156">
        <v>124127</v>
      </c>
      <c r="Q221" s="156">
        <v>124127</v>
      </c>
      <c r="R221" s="156">
        <v>124127</v>
      </c>
      <c r="S221" s="156">
        <f t="shared" si="77"/>
        <v>7560</v>
      </c>
      <c r="T221" s="156">
        <f t="shared" si="78"/>
        <v>0</v>
      </c>
      <c r="U221" s="140">
        <f t="shared" si="79"/>
        <v>6.4855405046025036E-2</v>
      </c>
      <c r="V221" s="140">
        <f t="shared" si="80"/>
        <v>2.0492723450289112E-3</v>
      </c>
      <c r="W221" s="140">
        <f t="shared" si="81"/>
        <v>-3.4386727621870186E-3</v>
      </c>
      <c r="X221" s="140">
        <f t="shared" si="82"/>
        <v>3.2718497137178928E-3</v>
      </c>
      <c r="Y221" s="140">
        <f t="shared" si="83"/>
        <v>4.6976098626334374E-2</v>
      </c>
      <c r="Z221" s="140">
        <f t="shared" si="84"/>
        <v>4.1242101789649863E-2</v>
      </c>
      <c r="AA221" s="140">
        <f t="shared" si="85"/>
        <v>2.998372145161762E-2</v>
      </c>
      <c r="AB221" s="140">
        <f t="shared" si="86"/>
        <v>3.6919299547723987E-2</v>
      </c>
      <c r="AC221" s="140">
        <f t="shared" si="87"/>
        <v>0.10317512894525151</v>
      </c>
      <c r="AD221" s="140">
        <f t="shared" si="88"/>
        <v>0.18962913069213969</v>
      </c>
      <c r="AE221" s="140">
        <f t="shared" si="89"/>
        <v>6.4855405046025036E-2</v>
      </c>
      <c r="AF221" s="140">
        <f t="shared" si="90"/>
        <v>6.4855405046025036E-2</v>
      </c>
      <c r="AG221" s="140">
        <f t="shared" si="91"/>
        <v>6.4855405046025036E-2</v>
      </c>
      <c r="AH221" s="140">
        <f t="shared" si="92"/>
        <v>6.4855405046025036E-2</v>
      </c>
      <c r="AI221" s="140">
        <f t="shared" si="93"/>
        <v>0.26678300981772907</v>
      </c>
      <c r="AJ221" s="140">
        <f t="shared" si="94"/>
        <v>0.26678300981772907</v>
      </c>
      <c r="AK221" s="140">
        <f t="shared" si="95"/>
        <v>0.26678300981772907</v>
      </c>
      <c r="AL221" s="140">
        <f t="shared" si="96"/>
        <v>0.26678300981772907</v>
      </c>
      <c r="AM221" t="str">
        <f t="shared" si="97"/>
        <v>4110-000: Regular Salaries</v>
      </c>
      <c r="AN221" s="140">
        <f t="shared" si="98"/>
        <v>6.0044983007734497E-2</v>
      </c>
      <c r="AO221" s="140">
        <f t="shared" si="99"/>
        <v>4.8104220382905391E-3</v>
      </c>
      <c r="AP221" s="1" t="str">
        <f>IF(AND(AO221&gt;0, _xlfn.XLOOKUP($AM221, Discretionaries!$A$2:'Discretionaries'!$A$150, Discretionaries!$B$2:'Discretionaries'!$B$150)), (1+AN221)*$N221, "")</f>
        <v/>
      </c>
      <c r="AQ221" s="1" t="str">
        <f>IF(AND(AO221&gt;0, _xlfn.XLOOKUP($AM221, Discretionaries!$A$2:'Discretionaries'!$A$150, Discretionaries!$B$2:'Discretionaries'!$B$150)),AP221-$Q221,"")</f>
        <v/>
      </c>
      <c r="AR221" s="140">
        <f>IF(AG221="", 0-CPI!$B$15, AG221-CPI!$B$15)</f>
        <v>2.5855405046025043E-2</v>
      </c>
      <c r="AS221" s="1" t="str">
        <f>IF(AND(AR221&gt;0, _xlfn.XLOOKUP($AM221, Discretionaries!$A$2:'Discretionaries'!$A$150, Discretionaries!$B$2:'Discretionaries'!$B$150)), (1+CPI!$B$15)*$N221, "")</f>
        <v/>
      </c>
      <c r="AT221" s="1" t="str">
        <f>IF(AND(AR221&gt;0, _xlfn.XLOOKUP($AM221, Discretionaries!$A$2:'Discretionaries'!$A$150, Discretionaries!$B$2:'Discretionaries'!$B$150)),AS221-$Q221,"")</f>
        <v/>
      </c>
    </row>
    <row r="222" spans="1:46" x14ac:dyDescent="0.3">
      <c r="A222" t="s">
        <v>425</v>
      </c>
      <c r="B222" t="str">
        <f t="shared" si="75"/>
        <v>20</v>
      </c>
      <c r="C222" t="s">
        <v>418</v>
      </c>
      <c r="D222" t="str">
        <f t="shared" si="76"/>
        <v>10</v>
      </c>
      <c r="E222" t="s">
        <v>14</v>
      </c>
      <c r="F222" s="139" t="s">
        <v>15</v>
      </c>
      <c r="G222" t="s">
        <v>16</v>
      </c>
      <c r="H222" s="156">
        <v>6075</v>
      </c>
      <c r="I222" s="156">
        <v>5942.21</v>
      </c>
      <c r="J222" s="156">
        <v>6361</v>
      </c>
      <c r="K222" s="156">
        <v>5950.36</v>
      </c>
      <c r="L222" s="156">
        <v>6552</v>
      </c>
      <c r="M222" s="156">
        <v>6131.58</v>
      </c>
      <c r="N222" s="156">
        <v>7228</v>
      </c>
      <c r="O222" s="156">
        <v>7696</v>
      </c>
      <c r="P222" s="156">
        <v>7696</v>
      </c>
      <c r="Q222" s="156">
        <v>7696</v>
      </c>
      <c r="R222" s="156">
        <v>7696</v>
      </c>
      <c r="S222" s="156">
        <f t="shared" si="77"/>
        <v>468</v>
      </c>
      <c r="T222" s="156">
        <f t="shared" si="78"/>
        <v>0</v>
      </c>
      <c r="U222" s="140">
        <f t="shared" si="79"/>
        <v>6.4748201438848921E-2</v>
      </c>
      <c r="V222" s="140">
        <f t="shared" si="80"/>
        <v>-2.1858436213991764E-2</v>
      </c>
      <c r="W222" s="140">
        <f t="shared" si="81"/>
        <v>-6.4555887439081958E-2</v>
      </c>
      <c r="X222" s="140">
        <f t="shared" si="82"/>
        <v>-6.4166666666666677E-2</v>
      </c>
      <c r="Y222" s="140">
        <f t="shared" si="83"/>
        <v>4.7078189300411522E-2</v>
      </c>
      <c r="Z222" s="140">
        <f t="shared" si="84"/>
        <v>1.3715435839527106E-3</v>
      </c>
      <c r="AA222" s="140">
        <f t="shared" si="85"/>
        <v>3.0026725357648169E-2</v>
      </c>
      <c r="AB222" s="140">
        <f t="shared" si="86"/>
        <v>3.0455300183518351E-2</v>
      </c>
      <c r="AC222" s="140">
        <f t="shared" si="87"/>
        <v>0.10317460317460317</v>
      </c>
      <c r="AD222" s="140">
        <f t="shared" si="88"/>
        <v>0.18979423868312756</v>
      </c>
      <c r="AE222" s="140">
        <f t="shared" si="89"/>
        <v>6.4748201438848921E-2</v>
      </c>
      <c r="AF222" s="140">
        <f t="shared" si="90"/>
        <v>6.4748201438848921E-2</v>
      </c>
      <c r="AG222" s="140">
        <f t="shared" si="91"/>
        <v>6.4748201438848921E-2</v>
      </c>
      <c r="AH222" s="140">
        <f t="shared" si="92"/>
        <v>6.4748201438848921E-2</v>
      </c>
      <c r="AI222" s="140">
        <f t="shared" si="93"/>
        <v>0.26683127572016463</v>
      </c>
      <c r="AJ222" s="140">
        <f t="shared" si="94"/>
        <v>0.26683127572016463</v>
      </c>
      <c r="AK222" s="140">
        <f t="shared" si="95"/>
        <v>0.26683127572016463</v>
      </c>
      <c r="AL222" s="140">
        <f t="shared" si="96"/>
        <v>0.26683127572016463</v>
      </c>
      <c r="AM222" t="str">
        <f t="shared" si="97"/>
        <v>4220-000: FICA Benefits</v>
      </c>
      <c r="AN222" s="140">
        <f t="shared" si="98"/>
        <v>6.0093172610887619E-2</v>
      </c>
      <c r="AO222" s="140">
        <f t="shared" si="99"/>
        <v>4.6550288279613022E-3</v>
      </c>
      <c r="AP222" s="1" t="str">
        <f>IF(AND(AO222&gt;0, _xlfn.XLOOKUP($AM222, Discretionaries!$A$2:'Discretionaries'!$A$150, Discretionaries!$B$2:'Discretionaries'!$B$150)), (1+AN222)*$N222, "")</f>
        <v/>
      </c>
      <c r="AQ222" s="1" t="str">
        <f>IF(AND(AO222&gt;0, _xlfn.XLOOKUP($AM222, Discretionaries!$A$2:'Discretionaries'!$A$150, Discretionaries!$B$2:'Discretionaries'!$B$150)),AP222-$Q222,"")</f>
        <v/>
      </c>
      <c r="AR222" s="140">
        <f>IF(AG222="", 0-CPI!$B$15, AG222-CPI!$B$15)</f>
        <v>2.5748201438848928E-2</v>
      </c>
      <c r="AS222" s="1" t="str">
        <f>IF(AND(AR222&gt;0, _xlfn.XLOOKUP($AM222, Discretionaries!$A$2:'Discretionaries'!$A$150, Discretionaries!$B$2:'Discretionaries'!$B$150)), (1+CPI!$B$15)*$N222, "")</f>
        <v/>
      </c>
      <c r="AT222" s="1" t="str">
        <f>IF(AND(AR222&gt;0, _xlfn.XLOOKUP($AM222, Discretionaries!$A$2:'Discretionaries'!$A$150, Discretionaries!$B$2:'Discretionaries'!$B$150)),AS222-$Q222,"")</f>
        <v/>
      </c>
    </row>
    <row r="223" spans="1:46" x14ac:dyDescent="0.3">
      <c r="A223" t="s">
        <v>425</v>
      </c>
      <c r="B223" t="str">
        <f t="shared" si="75"/>
        <v>20</v>
      </c>
      <c r="C223" t="s">
        <v>418</v>
      </c>
      <c r="D223" t="str">
        <f t="shared" si="76"/>
        <v>10</v>
      </c>
      <c r="E223" t="s">
        <v>14</v>
      </c>
      <c r="F223" s="139" t="s">
        <v>17</v>
      </c>
      <c r="G223" t="s">
        <v>18</v>
      </c>
      <c r="H223" s="156">
        <v>1421</v>
      </c>
      <c r="I223" s="156">
        <v>1389.71</v>
      </c>
      <c r="J223" s="156">
        <v>1488</v>
      </c>
      <c r="K223" s="156">
        <v>1391.61</v>
      </c>
      <c r="L223" s="156">
        <v>1533</v>
      </c>
      <c r="M223" s="156">
        <v>1434</v>
      </c>
      <c r="N223" s="156">
        <v>1691</v>
      </c>
      <c r="O223" s="156">
        <v>1800</v>
      </c>
      <c r="P223" s="156">
        <v>1800</v>
      </c>
      <c r="Q223" s="156">
        <v>1800</v>
      </c>
      <c r="R223" s="156">
        <v>1800</v>
      </c>
      <c r="S223" s="156">
        <f t="shared" si="77"/>
        <v>109</v>
      </c>
      <c r="T223" s="156">
        <f t="shared" si="78"/>
        <v>0</v>
      </c>
      <c r="U223" s="140">
        <f t="shared" si="79"/>
        <v>6.4458900059136612E-2</v>
      </c>
      <c r="V223" s="140">
        <f t="shared" si="80"/>
        <v>-2.201970443349751E-2</v>
      </c>
      <c r="W223" s="140">
        <f t="shared" si="81"/>
        <v>-6.4778225806451678E-2</v>
      </c>
      <c r="X223" s="140">
        <f t="shared" si="82"/>
        <v>-6.4579256360078274E-2</v>
      </c>
      <c r="Y223" s="140">
        <f t="shared" si="83"/>
        <v>4.7149894440534836E-2</v>
      </c>
      <c r="Z223" s="140">
        <f t="shared" si="84"/>
        <v>1.3671917162572504E-3</v>
      </c>
      <c r="AA223" s="140">
        <f t="shared" si="85"/>
        <v>3.0241935483870969E-2</v>
      </c>
      <c r="AB223" s="140">
        <f t="shared" si="86"/>
        <v>3.0461120572574288E-2</v>
      </c>
      <c r="AC223" s="140">
        <f t="shared" si="87"/>
        <v>0.10306588388780169</v>
      </c>
      <c r="AD223" s="140">
        <f t="shared" si="88"/>
        <v>0.19000703729767771</v>
      </c>
      <c r="AE223" s="140">
        <f t="shared" si="89"/>
        <v>6.4458900059136612E-2</v>
      </c>
      <c r="AF223" s="140">
        <f t="shared" si="90"/>
        <v>6.4458900059136612E-2</v>
      </c>
      <c r="AG223" s="140">
        <f t="shared" si="91"/>
        <v>6.4458900059136612E-2</v>
      </c>
      <c r="AH223" s="140">
        <f t="shared" si="92"/>
        <v>6.4458900059136612E-2</v>
      </c>
      <c r="AI223" s="140">
        <f t="shared" si="93"/>
        <v>0.26671358198451794</v>
      </c>
      <c r="AJ223" s="140">
        <f t="shared" si="94"/>
        <v>0.26671358198451794</v>
      </c>
      <c r="AK223" s="140">
        <f t="shared" si="95"/>
        <v>0.26671358198451794</v>
      </c>
      <c r="AL223" s="140">
        <f t="shared" si="96"/>
        <v>0.26671358198451794</v>
      </c>
      <c r="AM223" t="str">
        <f t="shared" si="97"/>
        <v>4225-000: Medicare Benefits</v>
      </c>
      <c r="AN223" s="140">
        <f t="shared" si="98"/>
        <v>6.0152571270735831E-2</v>
      </c>
      <c r="AO223" s="140">
        <f t="shared" si="99"/>
        <v>4.3063287884007803E-3</v>
      </c>
      <c r="AP223" s="1" t="str">
        <f>IF(AND(AO223&gt;0, _xlfn.XLOOKUP($AM223, Discretionaries!$A$2:'Discretionaries'!$A$150, Discretionaries!$B$2:'Discretionaries'!$B$150)), (1+AN223)*$N223, "")</f>
        <v/>
      </c>
      <c r="AQ223" s="1" t="str">
        <f>IF(AND(AO223&gt;0, _xlfn.XLOOKUP($AM223, Discretionaries!$A$2:'Discretionaries'!$A$150, Discretionaries!$B$2:'Discretionaries'!$B$150)),AP223-$Q223,"")</f>
        <v/>
      </c>
      <c r="AR223" s="140">
        <f>IF(AG223="", 0-CPI!$B$15, AG223-CPI!$B$15)</f>
        <v>2.5458900059136619E-2</v>
      </c>
      <c r="AS223" s="1" t="str">
        <f>IF(AND(AR223&gt;0, _xlfn.XLOOKUP($AM223, Discretionaries!$A$2:'Discretionaries'!$A$150, Discretionaries!$B$2:'Discretionaries'!$B$150)), (1+CPI!$B$15)*$N223, "")</f>
        <v/>
      </c>
      <c r="AT223" s="1" t="str">
        <f>IF(AND(AR223&gt;0, _xlfn.XLOOKUP($AM223, Discretionaries!$A$2:'Discretionaries'!$A$150, Discretionaries!$B$2:'Discretionaries'!$B$150)),AS223-$Q223,"")</f>
        <v/>
      </c>
    </row>
    <row r="224" spans="1:46" x14ac:dyDescent="0.3">
      <c r="A224" t="s">
        <v>425</v>
      </c>
      <c r="B224" t="str">
        <f t="shared" si="75"/>
        <v>20</v>
      </c>
      <c r="C224" t="s">
        <v>418</v>
      </c>
      <c r="D224" t="str">
        <f t="shared" si="76"/>
        <v>10</v>
      </c>
      <c r="E224" t="s">
        <v>14</v>
      </c>
      <c r="F224" s="139" t="s">
        <v>43</v>
      </c>
      <c r="G224" t="s">
        <v>44</v>
      </c>
      <c r="H224" s="156">
        <v>13777</v>
      </c>
      <c r="I224" s="156">
        <v>13743.05</v>
      </c>
      <c r="J224" s="156">
        <v>13881</v>
      </c>
      <c r="K224" s="156">
        <v>13826.31</v>
      </c>
      <c r="L224" s="156">
        <v>14297</v>
      </c>
      <c r="M224" s="156">
        <v>14284.65</v>
      </c>
      <c r="N224" s="156">
        <v>14863</v>
      </c>
      <c r="O224" s="156">
        <v>15827</v>
      </c>
      <c r="P224" s="156">
        <v>15827</v>
      </c>
      <c r="Q224" s="156">
        <v>15827</v>
      </c>
      <c r="R224" s="156">
        <v>15827</v>
      </c>
      <c r="S224" s="156">
        <f t="shared" si="77"/>
        <v>964</v>
      </c>
      <c r="T224" s="156">
        <f t="shared" si="78"/>
        <v>0</v>
      </c>
      <c r="U224" s="140">
        <f t="shared" si="79"/>
        <v>6.485904595303775E-2</v>
      </c>
      <c r="V224" s="140">
        <f t="shared" si="80"/>
        <v>-2.4642520142266625E-3</v>
      </c>
      <c r="W224" s="140">
        <f t="shared" si="81"/>
        <v>-3.939917873352101E-3</v>
      </c>
      <c r="X224" s="140">
        <f t="shared" si="82"/>
        <v>-8.6381758410857966E-4</v>
      </c>
      <c r="Y224" s="140">
        <f t="shared" si="83"/>
        <v>7.5488132394570659E-3</v>
      </c>
      <c r="Z224" s="140">
        <f t="shared" si="84"/>
        <v>6.0583349402061571E-3</v>
      </c>
      <c r="AA224" s="140">
        <f t="shared" si="85"/>
        <v>2.9969022404725883E-2</v>
      </c>
      <c r="AB224" s="140">
        <f t="shared" si="86"/>
        <v>3.3149842582728156E-2</v>
      </c>
      <c r="AC224" s="140">
        <f t="shared" si="87"/>
        <v>3.9588724907323215E-2</v>
      </c>
      <c r="AD224" s="140">
        <f t="shared" si="88"/>
        <v>7.8827030558176678E-2</v>
      </c>
      <c r="AE224" s="140">
        <f t="shared" si="89"/>
        <v>6.485904595303775E-2</v>
      </c>
      <c r="AF224" s="140">
        <f t="shared" si="90"/>
        <v>6.485904595303775E-2</v>
      </c>
      <c r="AG224" s="140">
        <f t="shared" si="91"/>
        <v>6.485904595303775E-2</v>
      </c>
      <c r="AH224" s="140">
        <f t="shared" si="92"/>
        <v>6.485904595303775E-2</v>
      </c>
      <c r="AI224" s="140">
        <f t="shared" si="93"/>
        <v>0.14879872250852871</v>
      </c>
      <c r="AJ224" s="140">
        <f t="shared" si="94"/>
        <v>0.14879872250852871</v>
      </c>
      <c r="AK224" s="140">
        <f t="shared" si="95"/>
        <v>0.14879872250852871</v>
      </c>
      <c r="AL224" s="140">
        <f t="shared" si="96"/>
        <v>0.14879872250852871</v>
      </c>
      <c r="AM224" t="str">
        <f t="shared" si="97"/>
        <v>4230-000: Retirement Benefits</v>
      </c>
      <c r="AN224" s="140">
        <f t="shared" si="98"/>
        <v>2.5702186850502056E-2</v>
      </c>
      <c r="AO224" s="140">
        <f t="shared" si="99"/>
        <v>3.915685910253569E-2</v>
      </c>
      <c r="AP224" s="1" t="str">
        <f>IF(AND(AO224&gt;0, _xlfn.XLOOKUP($AM224, Discretionaries!$A$2:'Discretionaries'!$A$150, Discretionaries!$B$2:'Discretionaries'!$B$150)), (1+AN224)*$N224, "")</f>
        <v/>
      </c>
      <c r="AQ224" s="1" t="str">
        <f>IF(AND(AO224&gt;0, _xlfn.XLOOKUP($AM224, Discretionaries!$A$2:'Discretionaries'!$A$150, Discretionaries!$B$2:'Discretionaries'!$B$150)),AP224-$Q224,"")</f>
        <v/>
      </c>
      <c r="AR224" s="140">
        <f>IF(AG224="", 0-CPI!$B$15, AG224-CPI!$B$15)</f>
        <v>2.5859045953037757E-2</v>
      </c>
      <c r="AS224" s="1" t="str">
        <f>IF(AND(AR224&gt;0, _xlfn.XLOOKUP($AM224, Discretionaries!$A$2:'Discretionaries'!$A$150, Discretionaries!$B$2:'Discretionaries'!$B$150)), (1+CPI!$B$15)*$N224, "")</f>
        <v/>
      </c>
      <c r="AT224" s="1" t="str">
        <f>IF(AND(AR224&gt;0, _xlfn.XLOOKUP($AM224, Discretionaries!$A$2:'Discretionaries'!$A$150, Discretionaries!$B$2:'Discretionaries'!$B$150)),AS224-$Q224,"")</f>
        <v/>
      </c>
    </row>
    <row r="225" spans="1:46" x14ac:dyDescent="0.3">
      <c r="A225" t="s">
        <v>425</v>
      </c>
      <c r="B225" t="str">
        <f t="shared" si="75"/>
        <v>20</v>
      </c>
      <c r="C225" t="s">
        <v>418</v>
      </c>
      <c r="D225" t="str">
        <f t="shared" si="76"/>
        <v>10</v>
      </c>
      <c r="E225" t="s">
        <v>21</v>
      </c>
      <c r="F225" s="139" t="s">
        <v>28</v>
      </c>
      <c r="G225" t="s">
        <v>29</v>
      </c>
      <c r="H225" s="156">
        <v>55000</v>
      </c>
      <c r="I225" s="156">
        <v>86321.01</v>
      </c>
      <c r="J225" s="156">
        <v>55000</v>
      </c>
      <c r="K225" s="156">
        <v>105449.13</v>
      </c>
      <c r="L225" s="156">
        <v>196670</v>
      </c>
      <c r="M225" s="156">
        <v>242066.47</v>
      </c>
      <c r="N225" s="156">
        <v>242310</v>
      </c>
      <c r="O225" s="156">
        <v>242310</v>
      </c>
      <c r="P225" s="156">
        <v>242310</v>
      </c>
      <c r="Q225" s="156">
        <v>242310</v>
      </c>
      <c r="R225" s="156">
        <v>242310</v>
      </c>
      <c r="S225" s="156">
        <f t="shared" si="77"/>
        <v>0</v>
      </c>
      <c r="T225" s="156">
        <f t="shared" si="78"/>
        <v>0</v>
      </c>
      <c r="U225" s="140">
        <f t="shared" si="79"/>
        <v>0</v>
      </c>
      <c r="V225" s="140">
        <f t="shared" si="80"/>
        <v>0.56947290909090897</v>
      </c>
      <c r="W225" s="140">
        <f t="shared" si="81"/>
        <v>0.91725690909090918</v>
      </c>
      <c r="X225" s="140">
        <f t="shared" si="82"/>
        <v>0.230825596176336</v>
      </c>
      <c r="Y225" s="140">
        <f t="shared" si="83"/>
        <v>0</v>
      </c>
      <c r="Z225" s="140">
        <f t="shared" si="84"/>
        <v>0.22159286597781944</v>
      </c>
      <c r="AA225" s="140">
        <f t="shared" si="85"/>
        <v>2.5758181818181818</v>
      </c>
      <c r="AB225" s="140">
        <f t="shared" si="86"/>
        <v>1.2955757909050554</v>
      </c>
      <c r="AC225" s="140">
        <f t="shared" si="87"/>
        <v>0.23206386332435044</v>
      </c>
      <c r="AD225" s="140">
        <f t="shared" si="88"/>
        <v>3.4056363636363636</v>
      </c>
      <c r="AE225" s="140">
        <f t="shared" si="89"/>
        <v>0</v>
      </c>
      <c r="AF225" s="140">
        <f t="shared" si="90"/>
        <v>0</v>
      </c>
      <c r="AG225" s="140">
        <f t="shared" si="91"/>
        <v>0</v>
      </c>
      <c r="AH225" s="140">
        <f t="shared" si="92"/>
        <v>0</v>
      </c>
      <c r="AI225" s="140">
        <f t="shared" si="93"/>
        <v>3.4056363636363636</v>
      </c>
      <c r="AJ225" s="140">
        <f t="shared" si="94"/>
        <v>3.4056363636363636</v>
      </c>
      <c r="AK225" s="140">
        <f t="shared" si="95"/>
        <v>3.4056363636363636</v>
      </c>
      <c r="AL225" s="140">
        <f t="shared" si="96"/>
        <v>3.4056363636363636</v>
      </c>
      <c r="AM225" t="str">
        <f t="shared" si="97"/>
        <v>4330-000: MGMT services Services</v>
      </c>
      <c r="AN225" s="140">
        <f t="shared" si="98"/>
        <v>0.93596068171417734</v>
      </c>
      <c r="AO225" s="140">
        <f t="shared" si="99"/>
        <v>-0.93596068171417734</v>
      </c>
      <c r="AP225" s="1" t="str">
        <f>IF(AND(AO225&gt;0, _xlfn.XLOOKUP($AM225, Discretionaries!$A$2:'Discretionaries'!$A$150, Discretionaries!$B$2:'Discretionaries'!$B$150)), (1+AN225)*$N225, "")</f>
        <v/>
      </c>
      <c r="AQ225" s="1" t="str">
        <f>IF(AND(AO225&gt;0, _xlfn.XLOOKUP($AM225, Discretionaries!$A$2:'Discretionaries'!$A$150, Discretionaries!$B$2:'Discretionaries'!$B$150)),AP225-$Q225,"")</f>
        <v/>
      </c>
      <c r="AR225" s="140">
        <f>IF(AG225="", 0-CPI!$B$15, AG225-CPI!$B$15)</f>
        <v>-3.8999999999999993E-2</v>
      </c>
      <c r="AS225" s="1" t="str">
        <f>IF(AND(AR225&gt;0, _xlfn.XLOOKUP($AM225, Discretionaries!$A$2:'Discretionaries'!$A$150, Discretionaries!$B$2:'Discretionaries'!$B$150)), (1+CPI!$B$15)*$N225, "")</f>
        <v/>
      </c>
      <c r="AT225" s="1" t="str">
        <f>IF(AND(AR225&gt;0, _xlfn.XLOOKUP($AM225, Discretionaries!$A$2:'Discretionaries'!$A$150, Discretionaries!$B$2:'Discretionaries'!$B$150)),AS225-$Q225,"")</f>
        <v/>
      </c>
    </row>
    <row r="226" spans="1:46" x14ac:dyDescent="0.3">
      <c r="A226" t="s">
        <v>425</v>
      </c>
      <c r="B226" t="str">
        <f t="shared" si="75"/>
        <v>20</v>
      </c>
      <c r="C226" t="s">
        <v>418</v>
      </c>
      <c r="D226" t="str">
        <f t="shared" si="76"/>
        <v>10</v>
      </c>
      <c r="E226" t="s">
        <v>21</v>
      </c>
      <c r="F226" s="139" t="s">
        <v>144</v>
      </c>
      <c r="G226" t="s">
        <v>145</v>
      </c>
      <c r="H226" s="156">
        <v>28900</v>
      </c>
      <c r="I226" s="156">
        <v>46537.3</v>
      </c>
      <c r="J226" s="156">
        <v>28900</v>
      </c>
      <c r="K226" s="156">
        <v>65847.679999999993</v>
      </c>
      <c r="L226" s="156">
        <v>0</v>
      </c>
      <c r="M226" s="156">
        <v>0</v>
      </c>
      <c r="N226" s="156">
        <v>0</v>
      </c>
      <c r="O226" s="156">
        <v>0</v>
      </c>
      <c r="P226" s="156">
        <v>0</v>
      </c>
      <c r="Q226" s="156">
        <v>0</v>
      </c>
      <c r="R226" s="156">
        <v>0</v>
      </c>
      <c r="S226" s="156">
        <f t="shared" si="77"/>
        <v>0</v>
      </c>
      <c r="T226" s="156">
        <f t="shared" si="78"/>
        <v>0</v>
      </c>
      <c r="U226" s="140" t="str">
        <f t="shared" si="79"/>
        <v/>
      </c>
      <c r="V226" s="140">
        <f t="shared" si="80"/>
        <v>0.610287197231834</v>
      </c>
      <c r="W226" s="140">
        <f t="shared" si="81"/>
        <v>1.2784664359861588</v>
      </c>
      <c r="X226" s="140" t="str">
        <f t="shared" si="82"/>
        <v/>
      </c>
      <c r="Y226" s="140">
        <f t="shared" si="83"/>
        <v>0</v>
      </c>
      <c r="Z226" s="140">
        <f t="shared" si="84"/>
        <v>0.41494414158105408</v>
      </c>
      <c r="AA226" s="140">
        <f t="shared" si="85"/>
        <v>-1</v>
      </c>
      <c r="AB226" s="140">
        <f t="shared" si="86"/>
        <v>-1</v>
      </c>
      <c r="AC226" s="140" t="str">
        <f t="shared" si="87"/>
        <v/>
      </c>
      <c r="AD226" s="140">
        <f t="shared" si="88"/>
        <v>-1</v>
      </c>
      <c r="AE226" s="140" t="str">
        <f t="shared" si="89"/>
        <v/>
      </c>
      <c r="AF226" s="140" t="str">
        <f t="shared" si="90"/>
        <v/>
      </c>
      <c r="AG226" s="140" t="str">
        <f t="shared" si="91"/>
        <v/>
      </c>
      <c r="AH226" s="140" t="str">
        <f t="shared" si="92"/>
        <v/>
      </c>
      <c r="AI226" s="140">
        <f t="shared" si="93"/>
        <v>-1</v>
      </c>
      <c r="AJ226" s="140">
        <f t="shared" si="94"/>
        <v>-1</v>
      </c>
      <c r="AK226" s="140">
        <f t="shared" si="95"/>
        <v>-1</v>
      </c>
      <c r="AL226" s="140">
        <f t="shared" si="96"/>
        <v>-1</v>
      </c>
      <c r="AM226" t="str">
        <f t="shared" si="97"/>
        <v>4341-000: Telephone Services</v>
      </c>
      <c r="AN226" s="140">
        <f t="shared" si="98"/>
        <v>-0.5</v>
      </c>
      <c r="AO226" s="140">
        <f t="shared" si="99"/>
        <v>0.5</v>
      </c>
      <c r="AP226" s="1">
        <f>IF(AND(AO226&gt;0, _xlfn.XLOOKUP($AM226, Discretionaries!$A$2:'Discretionaries'!$A$150, Discretionaries!$B$2:'Discretionaries'!$B$150)), (1+AN226)*$N226, "")</f>
        <v>0</v>
      </c>
      <c r="AQ226" s="1">
        <f>IF(AND(AO226&gt;0, _xlfn.XLOOKUP($AM226, Discretionaries!$A$2:'Discretionaries'!$A$150, Discretionaries!$B$2:'Discretionaries'!$B$150)),AP226-$Q226,"")</f>
        <v>0</v>
      </c>
      <c r="AR226" s="140">
        <f>IF(AG226="", 0-CPI!$B$15, AG226-CPI!$B$15)</f>
        <v>-3.8999999999999993E-2</v>
      </c>
      <c r="AS226" s="1" t="str">
        <f>IF(AND(AR226&gt;0, _xlfn.XLOOKUP($AM226, Discretionaries!$A$2:'Discretionaries'!$A$150, Discretionaries!$B$2:'Discretionaries'!$B$150)), (1+CPI!$B$15)*$N226, "")</f>
        <v/>
      </c>
      <c r="AT226" s="1" t="str">
        <f>IF(AND(AR226&gt;0, _xlfn.XLOOKUP($AM226, Discretionaries!$A$2:'Discretionaries'!$A$150, Discretionaries!$B$2:'Discretionaries'!$B$150)),AS226-$Q226,"")</f>
        <v/>
      </c>
    </row>
    <row r="227" spans="1:46" x14ac:dyDescent="0.3">
      <c r="A227" t="s">
        <v>425</v>
      </c>
      <c r="B227" t="str">
        <f t="shared" si="75"/>
        <v>20</v>
      </c>
      <c r="C227" t="s">
        <v>418</v>
      </c>
      <c r="D227" t="str">
        <f t="shared" si="76"/>
        <v>10</v>
      </c>
      <c r="E227" t="s">
        <v>21</v>
      </c>
      <c r="F227" s="139" t="s">
        <v>111</v>
      </c>
      <c r="G227" t="s">
        <v>112</v>
      </c>
      <c r="H227" s="156">
        <v>39082</v>
      </c>
      <c r="I227" s="156">
        <v>7729.49</v>
      </c>
      <c r="J227" s="156">
        <v>44182</v>
      </c>
      <c r="K227" s="156">
        <v>0</v>
      </c>
      <c r="L227" s="156">
        <v>0</v>
      </c>
      <c r="M227" s="156">
        <v>0</v>
      </c>
      <c r="N227" s="156">
        <v>0</v>
      </c>
      <c r="O227" s="156">
        <v>0</v>
      </c>
      <c r="P227" s="156">
        <v>0</v>
      </c>
      <c r="Q227" s="156">
        <v>0</v>
      </c>
      <c r="R227" s="156">
        <v>0</v>
      </c>
      <c r="S227" s="156">
        <f t="shared" si="77"/>
        <v>0</v>
      </c>
      <c r="T227" s="156">
        <f t="shared" si="78"/>
        <v>0</v>
      </c>
      <c r="U227" s="140" t="str">
        <f t="shared" si="79"/>
        <v/>
      </c>
      <c r="V227" s="140">
        <f t="shared" si="80"/>
        <v>-0.80222378588608567</v>
      </c>
      <c r="W227" s="140">
        <f t="shared" si="81"/>
        <v>-1</v>
      </c>
      <c r="X227" s="140" t="str">
        <f t="shared" si="82"/>
        <v/>
      </c>
      <c r="Y227" s="140">
        <f t="shared" si="83"/>
        <v>0.13049485696740187</v>
      </c>
      <c r="Z227" s="140">
        <f t="shared" si="84"/>
        <v>-1</v>
      </c>
      <c r="AA227" s="140">
        <f t="shared" si="85"/>
        <v>-1</v>
      </c>
      <c r="AB227" s="140" t="str">
        <f t="shared" si="86"/>
        <v/>
      </c>
      <c r="AC227" s="140" t="str">
        <f t="shared" si="87"/>
        <v/>
      </c>
      <c r="AD227" s="140">
        <f t="shared" si="88"/>
        <v>-1</v>
      </c>
      <c r="AE227" s="140" t="str">
        <f t="shared" si="89"/>
        <v/>
      </c>
      <c r="AF227" s="140" t="str">
        <f t="shared" si="90"/>
        <v/>
      </c>
      <c r="AG227" s="140" t="str">
        <f t="shared" si="91"/>
        <v/>
      </c>
      <c r="AH227" s="140" t="str">
        <f t="shared" si="92"/>
        <v/>
      </c>
      <c r="AI227" s="140">
        <f t="shared" si="93"/>
        <v>-1</v>
      </c>
      <c r="AJ227" s="140">
        <f t="shared" si="94"/>
        <v>-1</v>
      </c>
      <c r="AK227" s="140">
        <f t="shared" si="95"/>
        <v>-1</v>
      </c>
      <c r="AL227" s="140">
        <f t="shared" si="96"/>
        <v>-1</v>
      </c>
      <c r="AM227" t="str">
        <f t="shared" si="97"/>
        <v>4440-000: Rental and leases Services</v>
      </c>
      <c r="AN227" s="140">
        <f t="shared" si="98"/>
        <v>-0.43475257151629909</v>
      </c>
      <c r="AO227" s="140">
        <f t="shared" si="99"/>
        <v>0.43475257151629909</v>
      </c>
      <c r="AP227" s="1">
        <f>IF(AND(AO227&gt;0, _xlfn.XLOOKUP($AM227, Discretionaries!$A$2:'Discretionaries'!$A$150, Discretionaries!$B$2:'Discretionaries'!$B$150)), (1+AN227)*$N227, "")</f>
        <v>0</v>
      </c>
      <c r="AQ227" s="1">
        <f>IF(AND(AO227&gt;0, _xlfn.XLOOKUP($AM227, Discretionaries!$A$2:'Discretionaries'!$A$150, Discretionaries!$B$2:'Discretionaries'!$B$150)),AP227-$Q227,"")</f>
        <v>0</v>
      </c>
      <c r="AR227" s="140">
        <f>IF(AG227="", 0-CPI!$B$15, AG227-CPI!$B$15)</f>
        <v>-3.8999999999999993E-2</v>
      </c>
      <c r="AS227" s="1" t="str">
        <f>IF(AND(AR227&gt;0, _xlfn.XLOOKUP($AM227, Discretionaries!$A$2:'Discretionaries'!$A$150, Discretionaries!$B$2:'Discretionaries'!$B$150)), (1+CPI!$B$15)*$N227, "")</f>
        <v/>
      </c>
      <c r="AT227" s="1" t="str">
        <f>IF(AND(AR227&gt;0, _xlfn.XLOOKUP($AM227, Discretionaries!$A$2:'Discretionaries'!$A$150, Discretionaries!$B$2:'Discretionaries'!$B$150)),AS227-$Q227,"")</f>
        <v/>
      </c>
    </row>
    <row r="228" spans="1:46" x14ac:dyDescent="0.3">
      <c r="A228" t="s">
        <v>425</v>
      </c>
      <c r="B228" t="str">
        <f t="shared" si="75"/>
        <v>20</v>
      </c>
      <c r="C228" t="s">
        <v>418</v>
      </c>
      <c r="D228" t="str">
        <f t="shared" si="76"/>
        <v>10</v>
      </c>
      <c r="E228" t="s">
        <v>133</v>
      </c>
      <c r="F228" s="139" t="s">
        <v>146</v>
      </c>
      <c r="G228" t="s">
        <v>147</v>
      </c>
      <c r="H228" s="156">
        <v>1000</v>
      </c>
      <c r="I228" s="156">
        <v>701.54</v>
      </c>
      <c r="J228" s="156">
        <v>1000</v>
      </c>
      <c r="K228" s="156">
        <v>1589.58</v>
      </c>
      <c r="L228" s="156">
        <v>1000</v>
      </c>
      <c r="M228" s="156">
        <v>2158.71</v>
      </c>
      <c r="N228" s="156">
        <v>1000</v>
      </c>
      <c r="O228" s="156">
        <v>1000</v>
      </c>
      <c r="P228" s="156">
        <v>1000</v>
      </c>
      <c r="Q228" s="156">
        <v>1000</v>
      </c>
      <c r="R228" s="156">
        <v>1000</v>
      </c>
      <c r="S228" s="156">
        <f t="shared" si="77"/>
        <v>0</v>
      </c>
      <c r="T228" s="156">
        <f t="shared" si="78"/>
        <v>0</v>
      </c>
      <c r="U228" s="140">
        <f t="shared" si="79"/>
        <v>0</v>
      </c>
      <c r="V228" s="140">
        <f t="shared" si="80"/>
        <v>-0.29846000000000006</v>
      </c>
      <c r="W228" s="140">
        <f t="shared" si="81"/>
        <v>0.58957999999999988</v>
      </c>
      <c r="X228" s="140">
        <f t="shared" si="82"/>
        <v>1.1587100000000001</v>
      </c>
      <c r="Y228" s="140">
        <f t="shared" si="83"/>
        <v>0</v>
      </c>
      <c r="Z228" s="140">
        <f t="shared" si="84"/>
        <v>1.2658437152550104</v>
      </c>
      <c r="AA228" s="140">
        <f t="shared" si="85"/>
        <v>0</v>
      </c>
      <c r="AB228" s="140">
        <f t="shared" si="86"/>
        <v>0.35803797229456846</v>
      </c>
      <c r="AC228" s="140">
        <f t="shared" si="87"/>
        <v>0</v>
      </c>
      <c r="AD228" s="140">
        <f t="shared" si="88"/>
        <v>0</v>
      </c>
      <c r="AE228" s="140">
        <f t="shared" si="89"/>
        <v>0</v>
      </c>
      <c r="AF228" s="140">
        <f t="shared" si="90"/>
        <v>0</v>
      </c>
      <c r="AG228" s="140">
        <f t="shared" si="91"/>
        <v>0</v>
      </c>
      <c r="AH228" s="140">
        <f t="shared" si="92"/>
        <v>0</v>
      </c>
      <c r="AI228" s="140">
        <f t="shared" si="93"/>
        <v>0</v>
      </c>
      <c r="AJ228" s="140">
        <f t="shared" si="94"/>
        <v>0</v>
      </c>
      <c r="AK228" s="140">
        <f t="shared" si="95"/>
        <v>0</v>
      </c>
      <c r="AL228" s="140">
        <f t="shared" si="96"/>
        <v>0</v>
      </c>
      <c r="AM228" t="str">
        <f t="shared" si="97"/>
        <v>4430-000: Repairs &amp; maint Service</v>
      </c>
      <c r="AN228" s="140">
        <f t="shared" si="98"/>
        <v>0</v>
      </c>
      <c r="AO228" s="140">
        <f t="shared" si="99"/>
        <v>0</v>
      </c>
      <c r="AP228" s="1" t="str">
        <f>IF(AND(AO228&gt;0, _xlfn.XLOOKUP($AM228, Discretionaries!$A$2:'Discretionaries'!$A$150, Discretionaries!$B$2:'Discretionaries'!$B$150)), (1+AN228)*$N228, "")</f>
        <v/>
      </c>
      <c r="AQ228" s="1" t="str">
        <f>IF(AND(AO228&gt;0, _xlfn.XLOOKUP($AM228, Discretionaries!$A$2:'Discretionaries'!$A$150, Discretionaries!$B$2:'Discretionaries'!$B$150)),AP228-$Q228,"")</f>
        <v/>
      </c>
      <c r="AR228" s="140">
        <f>IF(AG228="", 0-CPI!$B$15, AG228-CPI!$B$15)</f>
        <v>-3.8999999999999993E-2</v>
      </c>
      <c r="AS228" s="1" t="str">
        <f>IF(AND(AR228&gt;0, _xlfn.XLOOKUP($AM228, Discretionaries!$A$2:'Discretionaries'!$A$150, Discretionaries!$B$2:'Discretionaries'!$B$150)), (1+CPI!$B$15)*$N228, "")</f>
        <v/>
      </c>
      <c r="AT228" s="1" t="str">
        <f>IF(AND(AR228&gt;0, _xlfn.XLOOKUP($AM228, Discretionaries!$A$2:'Discretionaries'!$A$150, Discretionaries!$B$2:'Discretionaries'!$B$150)),AS228-$Q228,"")</f>
        <v/>
      </c>
    </row>
    <row r="229" spans="1:46" x14ac:dyDescent="0.3">
      <c r="A229" t="s">
        <v>425</v>
      </c>
      <c r="B229" t="str">
        <f t="shared" si="75"/>
        <v>20</v>
      </c>
      <c r="C229" t="s">
        <v>418</v>
      </c>
      <c r="D229" t="str">
        <f t="shared" si="76"/>
        <v>10</v>
      </c>
      <c r="E229" t="s">
        <v>30</v>
      </c>
      <c r="F229" s="139" t="s">
        <v>31</v>
      </c>
      <c r="G229" t="s">
        <v>32</v>
      </c>
      <c r="H229" s="156">
        <v>800</v>
      </c>
      <c r="I229" s="156">
        <v>16178.62</v>
      </c>
      <c r="J229" s="156">
        <v>800</v>
      </c>
      <c r="K229" s="156">
        <v>9368.93</v>
      </c>
      <c r="L229" s="156">
        <v>7000</v>
      </c>
      <c r="M229" s="156">
        <v>11119.97</v>
      </c>
      <c r="N229" s="156">
        <v>10000</v>
      </c>
      <c r="O229" s="156">
        <v>10000</v>
      </c>
      <c r="P229" s="156">
        <v>10000</v>
      </c>
      <c r="Q229" s="156">
        <v>10000</v>
      </c>
      <c r="R229" s="156">
        <v>10000</v>
      </c>
      <c r="S229" s="156">
        <f t="shared" si="77"/>
        <v>0</v>
      </c>
      <c r="T229" s="156">
        <f t="shared" si="78"/>
        <v>0</v>
      </c>
      <c r="U229" s="140">
        <f t="shared" si="79"/>
        <v>0</v>
      </c>
      <c r="V229" s="140">
        <f t="shared" si="80"/>
        <v>19.223275000000001</v>
      </c>
      <c r="W229" s="140">
        <f t="shared" si="81"/>
        <v>10.7111625</v>
      </c>
      <c r="X229" s="140">
        <f t="shared" si="82"/>
        <v>0.58856714285714273</v>
      </c>
      <c r="Y229" s="140">
        <f t="shared" si="83"/>
        <v>0</v>
      </c>
      <c r="Z229" s="140">
        <f t="shared" si="84"/>
        <v>-0.42090672752064145</v>
      </c>
      <c r="AA229" s="140">
        <f t="shared" si="85"/>
        <v>7.75</v>
      </c>
      <c r="AB229" s="140">
        <f t="shared" si="86"/>
        <v>0.18689861062042293</v>
      </c>
      <c r="AC229" s="140">
        <f t="shared" si="87"/>
        <v>0.42857142857142855</v>
      </c>
      <c r="AD229" s="140">
        <f t="shared" si="88"/>
        <v>11.5</v>
      </c>
      <c r="AE229" s="140">
        <f t="shared" si="89"/>
        <v>0</v>
      </c>
      <c r="AF229" s="140">
        <f t="shared" si="90"/>
        <v>0</v>
      </c>
      <c r="AG229" s="140">
        <f t="shared" si="91"/>
        <v>0</v>
      </c>
      <c r="AH229" s="140">
        <f t="shared" si="92"/>
        <v>0</v>
      </c>
      <c r="AI229" s="140">
        <f t="shared" si="93"/>
        <v>11.5</v>
      </c>
      <c r="AJ229" s="140">
        <f t="shared" si="94"/>
        <v>11.5</v>
      </c>
      <c r="AK229" s="140">
        <f t="shared" si="95"/>
        <v>11.5</v>
      </c>
      <c r="AL229" s="140">
        <f t="shared" si="96"/>
        <v>11.5</v>
      </c>
      <c r="AM229" t="str">
        <f t="shared" si="97"/>
        <v>4610-000: General expenses Supplies</v>
      </c>
      <c r="AN229" s="140">
        <f t="shared" si="98"/>
        <v>2.7261904761904763</v>
      </c>
      <c r="AO229" s="140">
        <f t="shared" si="99"/>
        <v>-2.7261904761904763</v>
      </c>
      <c r="AP229" s="1" t="str">
        <f>IF(AND(AO229&gt;0, _xlfn.XLOOKUP($AM229, Discretionaries!$A$2:'Discretionaries'!$A$150, Discretionaries!$B$2:'Discretionaries'!$B$150)), (1+AN229)*$N229, "")</f>
        <v/>
      </c>
      <c r="AQ229" s="1" t="str">
        <f>IF(AND(AO229&gt;0, _xlfn.XLOOKUP($AM229, Discretionaries!$A$2:'Discretionaries'!$A$150, Discretionaries!$B$2:'Discretionaries'!$B$150)),AP229-$Q229,"")</f>
        <v/>
      </c>
      <c r="AR229" s="140">
        <f>IF(AG229="", 0-CPI!$B$15, AG229-CPI!$B$15)</f>
        <v>-3.8999999999999993E-2</v>
      </c>
      <c r="AS229" s="1" t="str">
        <f>IF(AND(AR229&gt;0, _xlfn.XLOOKUP($AM229, Discretionaries!$A$2:'Discretionaries'!$A$150, Discretionaries!$B$2:'Discretionaries'!$B$150)), (1+CPI!$B$15)*$N229, "")</f>
        <v/>
      </c>
      <c r="AT229" s="1" t="str">
        <f>IF(AND(AR229&gt;0, _xlfn.XLOOKUP($AM229, Discretionaries!$A$2:'Discretionaries'!$A$150, Discretionaries!$B$2:'Discretionaries'!$B$150)),AS229-$Q229,"")</f>
        <v/>
      </c>
    </row>
    <row r="230" spans="1:46" x14ac:dyDescent="0.3">
      <c r="A230" t="s">
        <v>425</v>
      </c>
      <c r="B230" t="str">
        <f t="shared" si="75"/>
        <v>20</v>
      </c>
      <c r="C230" t="s">
        <v>418</v>
      </c>
      <c r="D230" t="str">
        <f t="shared" si="76"/>
        <v>10</v>
      </c>
      <c r="E230" t="s">
        <v>30</v>
      </c>
      <c r="F230" s="139" t="s">
        <v>51</v>
      </c>
      <c r="G230" t="s">
        <v>48</v>
      </c>
      <c r="H230" s="156">
        <v>100</v>
      </c>
      <c r="I230" s="156">
        <v>4000.7</v>
      </c>
      <c r="J230" s="156">
        <v>100</v>
      </c>
      <c r="K230" s="156">
        <v>4465.76</v>
      </c>
      <c r="L230" s="156">
        <v>100</v>
      </c>
      <c r="M230" s="156">
        <v>0</v>
      </c>
      <c r="N230" s="156">
        <v>500</v>
      </c>
      <c r="O230" s="156">
        <v>500</v>
      </c>
      <c r="P230" s="156">
        <v>500</v>
      </c>
      <c r="Q230" s="156">
        <v>500</v>
      </c>
      <c r="R230" s="156">
        <v>500</v>
      </c>
      <c r="S230" s="156">
        <f t="shared" si="77"/>
        <v>0</v>
      </c>
      <c r="T230" s="156">
        <f t="shared" si="78"/>
        <v>0</v>
      </c>
      <c r="U230" s="140">
        <f t="shared" si="79"/>
        <v>0</v>
      </c>
      <c r="V230" s="140">
        <f t="shared" si="80"/>
        <v>39.006999999999998</v>
      </c>
      <c r="W230" s="140">
        <f t="shared" si="81"/>
        <v>43.657600000000002</v>
      </c>
      <c r="X230" s="140">
        <f t="shared" si="82"/>
        <v>-1</v>
      </c>
      <c r="Y230" s="140">
        <f t="shared" si="83"/>
        <v>0</v>
      </c>
      <c r="Z230" s="140">
        <f t="shared" si="84"/>
        <v>0.11624465718499273</v>
      </c>
      <c r="AA230" s="140">
        <f t="shared" si="85"/>
        <v>0</v>
      </c>
      <c r="AB230" s="140">
        <f t="shared" si="86"/>
        <v>-1</v>
      </c>
      <c r="AC230" s="140">
        <f t="shared" si="87"/>
        <v>4</v>
      </c>
      <c r="AD230" s="140">
        <f t="shared" si="88"/>
        <v>4</v>
      </c>
      <c r="AE230" s="140">
        <f t="shared" si="89"/>
        <v>0</v>
      </c>
      <c r="AF230" s="140">
        <f t="shared" si="90"/>
        <v>0</v>
      </c>
      <c r="AG230" s="140">
        <f t="shared" si="91"/>
        <v>0</v>
      </c>
      <c r="AH230" s="140">
        <f t="shared" si="92"/>
        <v>0</v>
      </c>
      <c r="AI230" s="140">
        <f t="shared" si="93"/>
        <v>4</v>
      </c>
      <c r="AJ230" s="140">
        <f t="shared" si="94"/>
        <v>4</v>
      </c>
      <c r="AK230" s="140">
        <f t="shared" si="95"/>
        <v>4</v>
      </c>
      <c r="AL230" s="140">
        <f t="shared" si="96"/>
        <v>4</v>
      </c>
      <c r="AM230" t="str">
        <f t="shared" si="97"/>
        <v>4620-000: Office supplies Supplies</v>
      </c>
      <c r="AN230" s="140">
        <f t="shared" si="98"/>
        <v>1.3333333333333333</v>
      </c>
      <c r="AO230" s="140">
        <f t="shared" si="99"/>
        <v>-1.3333333333333333</v>
      </c>
      <c r="AP230" s="1" t="str">
        <f>IF(AND(AO230&gt;0, _xlfn.XLOOKUP($AM230, Discretionaries!$A$2:'Discretionaries'!$A$150, Discretionaries!$B$2:'Discretionaries'!$B$150)), (1+AN230)*$N230, "")</f>
        <v/>
      </c>
      <c r="AQ230" s="1" t="str">
        <f>IF(AND(AO230&gt;0, _xlfn.XLOOKUP($AM230, Discretionaries!$A$2:'Discretionaries'!$A$150, Discretionaries!$B$2:'Discretionaries'!$B$150)),AP230-$Q230,"")</f>
        <v/>
      </c>
      <c r="AR230" s="140">
        <f>IF(AG230="", 0-CPI!$B$15, AG230-CPI!$B$15)</f>
        <v>-3.8999999999999993E-2</v>
      </c>
      <c r="AS230" s="1" t="str">
        <f>IF(AND(AR230&gt;0, _xlfn.XLOOKUP($AM230, Discretionaries!$A$2:'Discretionaries'!$A$150, Discretionaries!$B$2:'Discretionaries'!$B$150)), (1+CPI!$B$15)*$N230, "")</f>
        <v/>
      </c>
      <c r="AT230" s="1" t="str">
        <f>IF(AND(AR230&gt;0, _xlfn.XLOOKUP($AM230, Discretionaries!$A$2:'Discretionaries'!$A$150, Discretionaries!$B$2:'Discretionaries'!$B$150)),AS230-$Q230,"")</f>
        <v/>
      </c>
    </row>
    <row r="231" spans="1:46" x14ac:dyDescent="0.3">
      <c r="A231" t="s">
        <v>425</v>
      </c>
      <c r="B231" t="str">
        <f t="shared" si="75"/>
        <v>20</v>
      </c>
      <c r="C231" t="s">
        <v>418</v>
      </c>
      <c r="D231" t="str">
        <f t="shared" si="76"/>
        <v>10</v>
      </c>
      <c r="E231" t="s">
        <v>54</v>
      </c>
      <c r="F231" s="139" t="s">
        <v>114</v>
      </c>
      <c r="G231" t="s">
        <v>115</v>
      </c>
      <c r="H231" s="156">
        <v>100</v>
      </c>
      <c r="I231" s="156">
        <v>21578.78</v>
      </c>
      <c r="J231" s="156">
        <v>100</v>
      </c>
      <c r="K231" s="156">
        <v>23925.4</v>
      </c>
      <c r="L231" s="156">
        <v>100</v>
      </c>
      <c r="M231" s="156">
        <v>60630.17</v>
      </c>
      <c r="N231" s="156">
        <v>16000</v>
      </c>
      <c r="O231" s="156">
        <v>16000</v>
      </c>
      <c r="P231" s="156">
        <v>16000</v>
      </c>
      <c r="Q231" s="156">
        <v>16000</v>
      </c>
      <c r="R231" s="156">
        <v>16000</v>
      </c>
      <c r="S231" s="156">
        <f t="shared" si="77"/>
        <v>0</v>
      </c>
      <c r="T231" s="156">
        <f t="shared" si="78"/>
        <v>0</v>
      </c>
      <c r="U231" s="140">
        <f t="shared" si="79"/>
        <v>0</v>
      </c>
      <c r="V231" s="140">
        <f t="shared" si="80"/>
        <v>214.78779999999998</v>
      </c>
      <c r="W231" s="140">
        <f t="shared" si="81"/>
        <v>238.25400000000002</v>
      </c>
      <c r="X231" s="140">
        <f t="shared" si="82"/>
        <v>605.30169999999998</v>
      </c>
      <c r="Y231" s="140">
        <f t="shared" si="83"/>
        <v>0</v>
      </c>
      <c r="Z231" s="140">
        <f t="shared" si="84"/>
        <v>0.10874664832766276</v>
      </c>
      <c r="AA231" s="140">
        <f t="shared" si="85"/>
        <v>0</v>
      </c>
      <c r="AB231" s="140">
        <f t="shared" si="86"/>
        <v>1.5341340165681658</v>
      </c>
      <c r="AC231" s="140">
        <f t="shared" si="87"/>
        <v>159</v>
      </c>
      <c r="AD231" s="140">
        <f t="shared" si="88"/>
        <v>159</v>
      </c>
      <c r="AE231" s="140">
        <f t="shared" si="89"/>
        <v>0</v>
      </c>
      <c r="AF231" s="140">
        <f t="shared" si="90"/>
        <v>0</v>
      </c>
      <c r="AG231" s="140">
        <f t="shared" si="91"/>
        <v>0</v>
      </c>
      <c r="AH231" s="140">
        <f t="shared" si="92"/>
        <v>0</v>
      </c>
      <c r="AI231" s="140">
        <f t="shared" si="93"/>
        <v>159</v>
      </c>
      <c r="AJ231" s="140">
        <f t="shared" si="94"/>
        <v>159</v>
      </c>
      <c r="AK231" s="140">
        <f t="shared" si="95"/>
        <v>159</v>
      </c>
      <c r="AL231" s="140">
        <f t="shared" si="96"/>
        <v>159</v>
      </c>
      <c r="AM231" t="str">
        <f t="shared" si="97"/>
        <v>4740-000: Mach &amp; equip Property</v>
      </c>
      <c r="AN231" s="140">
        <f t="shared" si="98"/>
        <v>53</v>
      </c>
      <c r="AO231" s="140">
        <f t="shared" si="99"/>
        <v>-53</v>
      </c>
      <c r="AP231" s="1" t="str">
        <f>IF(AND(AO231&gt;0, _xlfn.XLOOKUP($AM231, Discretionaries!$A$2:'Discretionaries'!$A$150, Discretionaries!$B$2:'Discretionaries'!$B$150)), (1+AN231)*$N231, "")</f>
        <v/>
      </c>
      <c r="AQ231" s="1" t="str">
        <f>IF(AND(AO231&gt;0, _xlfn.XLOOKUP($AM231, Discretionaries!$A$2:'Discretionaries'!$A$150, Discretionaries!$B$2:'Discretionaries'!$B$150)),AP231-$Q231,"")</f>
        <v/>
      </c>
      <c r="AR231" s="140">
        <f>IF(AG231="", 0-CPI!$B$15, AG231-CPI!$B$15)</f>
        <v>-3.8999999999999993E-2</v>
      </c>
      <c r="AS231" s="1" t="str">
        <f>IF(AND(AR231&gt;0, _xlfn.XLOOKUP($AM231, Discretionaries!$A$2:'Discretionaries'!$A$150, Discretionaries!$B$2:'Discretionaries'!$B$150)), (1+CPI!$B$15)*$N231, "")</f>
        <v/>
      </c>
      <c r="AT231" s="1" t="str">
        <f>IF(AND(AR231&gt;0, _xlfn.XLOOKUP($AM231, Discretionaries!$A$2:'Discretionaries'!$A$150, Discretionaries!$B$2:'Discretionaries'!$B$150)),AS231-$Q231,"")</f>
        <v/>
      </c>
    </row>
    <row r="232" spans="1:46" x14ac:dyDescent="0.3">
      <c r="A232" t="s">
        <v>425</v>
      </c>
      <c r="B232" t="str">
        <f t="shared" si="75"/>
        <v>20</v>
      </c>
      <c r="C232" t="s">
        <v>428</v>
      </c>
      <c r="D232" t="str">
        <f t="shared" si="76"/>
        <v>11</v>
      </c>
      <c r="E232" t="s">
        <v>11</v>
      </c>
      <c r="F232" s="139" t="s">
        <v>35</v>
      </c>
      <c r="G232" t="s">
        <v>36</v>
      </c>
      <c r="H232" s="156">
        <v>3154295</v>
      </c>
      <c r="I232" s="156">
        <v>2800739.07</v>
      </c>
      <c r="J232" s="156">
        <v>3331495</v>
      </c>
      <c r="K232" s="156">
        <v>2969734.06</v>
      </c>
      <c r="L232" s="156">
        <v>3592074</v>
      </c>
      <c r="M232" s="156">
        <v>3322320.61</v>
      </c>
      <c r="N232" s="156">
        <v>3724628</v>
      </c>
      <c r="O232" s="156">
        <v>3813304</v>
      </c>
      <c r="P232" s="156">
        <v>3813304</v>
      </c>
      <c r="Q232" s="156">
        <v>3813304</v>
      </c>
      <c r="R232" s="156">
        <v>3813304</v>
      </c>
      <c r="S232" s="156">
        <f t="shared" si="77"/>
        <v>88676</v>
      </c>
      <c r="T232" s="156">
        <f t="shared" si="78"/>
        <v>0</v>
      </c>
      <c r="U232" s="140">
        <f t="shared" si="79"/>
        <v>2.3808015189704851E-2</v>
      </c>
      <c r="V232" s="140">
        <f t="shared" si="80"/>
        <v>-0.11208714784127678</v>
      </c>
      <c r="W232" s="140">
        <f t="shared" si="81"/>
        <v>-0.10858816837485871</v>
      </c>
      <c r="X232" s="140">
        <f t="shared" si="82"/>
        <v>-7.5096835421542024E-2</v>
      </c>
      <c r="Y232" s="140">
        <f t="shared" si="83"/>
        <v>5.6177370854660076E-2</v>
      </c>
      <c r="Z232" s="140">
        <f t="shared" si="84"/>
        <v>6.033942676423628E-2</v>
      </c>
      <c r="AA232" s="140">
        <f t="shared" si="85"/>
        <v>7.8216836585376842E-2</v>
      </c>
      <c r="AB232" s="140">
        <f t="shared" si="86"/>
        <v>0.11872664113230388</v>
      </c>
      <c r="AC232" s="140">
        <f t="shared" si="87"/>
        <v>3.6901801020803024E-2</v>
      </c>
      <c r="AD232" s="140">
        <f t="shared" si="88"/>
        <v>0.18081156011089641</v>
      </c>
      <c r="AE232" s="140">
        <f t="shared" si="89"/>
        <v>2.3808015189704851E-2</v>
      </c>
      <c r="AF232" s="140">
        <f t="shared" si="90"/>
        <v>2.3808015189704851E-2</v>
      </c>
      <c r="AG232" s="140">
        <f t="shared" si="91"/>
        <v>2.3808015189704851E-2</v>
      </c>
      <c r="AH232" s="140">
        <f t="shared" si="92"/>
        <v>2.3808015189704851E-2</v>
      </c>
      <c r="AI232" s="140">
        <f t="shared" si="93"/>
        <v>0.20892433967019572</v>
      </c>
      <c r="AJ232" s="140">
        <f t="shared" si="94"/>
        <v>0.20892433967019572</v>
      </c>
      <c r="AK232" s="140">
        <f t="shared" si="95"/>
        <v>0.20892433967019572</v>
      </c>
      <c r="AL232" s="140">
        <f t="shared" si="96"/>
        <v>0.20892433967019572</v>
      </c>
      <c r="AM232" t="str">
        <f t="shared" si="97"/>
        <v>4110-000: Regular Salaries</v>
      </c>
      <c r="AN232" s="140">
        <f t="shared" si="98"/>
        <v>5.709866948694664E-2</v>
      </c>
      <c r="AO232" s="140">
        <f t="shared" si="99"/>
        <v>-3.329065429724179E-2</v>
      </c>
      <c r="AP232" s="1" t="str">
        <f>IF(AND(AO232&gt;0, _xlfn.XLOOKUP($AM232, Discretionaries!$A$2:'Discretionaries'!$A$150, Discretionaries!$B$2:'Discretionaries'!$B$150)), (1+AN232)*$N232, "")</f>
        <v/>
      </c>
      <c r="AQ232" s="1" t="str">
        <f>IF(AND(AO232&gt;0, _xlfn.XLOOKUP($AM232, Discretionaries!$A$2:'Discretionaries'!$A$150, Discretionaries!$B$2:'Discretionaries'!$B$150)),AP232-$Q232,"")</f>
        <v/>
      </c>
      <c r="AR232" s="140">
        <f>IF(AG232="", 0-CPI!$B$15, AG232-CPI!$B$15)</f>
        <v>-1.5191984810295142E-2</v>
      </c>
      <c r="AS232" s="1" t="str">
        <f>IF(AND(AR232&gt;0, _xlfn.XLOOKUP($AM232, Discretionaries!$A$2:'Discretionaries'!$A$150, Discretionaries!$B$2:'Discretionaries'!$B$150)), (1+CPI!$B$15)*$N232, "")</f>
        <v/>
      </c>
      <c r="AT232" s="1" t="str">
        <f>IF(AND(AR232&gt;0, _xlfn.XLOOKUP($AM232, Discretionaries!$A$2:'Discretionaries'!$A$150, Discretionaries!$B$2:'Discretionaries'!$B$150)),AS232-$Q232,"")</f>
        <v/>
      </c>
    </row>
    <row r="233" spans="1:46" x14ac:dyDescent="0.3">
      <c r="A233" t="s">
        <v>425</v>
      </c>
      <c r="B233" t="str">
        <f t="shared" si="75"/>
        <v>20</v>
      </c>
      <c r="C233" t="s">
        <v>428</v>
      </c>
      <c r="D233" t="str">
        <f t="shared" si="76"/>
        <v>11</v>
      </c>
      <c r="E233" t="s">
        <v>11</v>
      </c>
      <c r="F233" s="139" t="s">
        <v>37</v>
      </c>
      <c r="G233" t="s">
        <v>38</v>
      </c>
      <c r="H233" s="156">
        <v>33270</v>
      </c>
      <c r="I233" s="156">
        <v>40179.440000000002</v>
      </c>
      <c r="J233" s="156">
        <v>35545</v>
      </c>
      <c r="K233" s="156">
        <v>41648.03</v>
      </c>
      <c r="L233" s="156">
        <v>38816</v>
      </c>
      <c r="M233" s="156">
        <v>29564.87</v>
      </c>
      <c r="N233" s="156">
        <v>38445</v>
      </c>
      <c r="O233" s="156">
        <v>37253</v>
      </c>
      <c r="P233" s="156">
        <v>37253</v>
      </c>
      <c r="Q233" s="156">
        <v>37253</v>
      </c>
      <c r="R233" s="156">
        <v>37253</v>
      </c>
      <c r="S233" s="156">
        <f t="shared" si="77"/>
        <v>-1192</v>
      </c>
      <c r="T233" s="156">
        <f t="shared" si="78"/>
        <v>0</v>
      </c>
      <c r="U233" s="140">
        <f t="shared" si="79"/>
        <v>-3.1005332292885941E-2</v>
      </c>
      <c r="V233" s="140">
        <f t="shared" si="80"/>
        <v>0.20767778779681401</v>
      </c>
      <c r="W233" s="140">
        <f t="shared" si="81"/>
        <v>0.17169869179912783</v>
      </c>
      <c r="X233" s="140">
        <f t="shared" si="82"/>
        <v>-0.23833290395713111</v>
      </c>
      <c r="Y233" s="140">
        <f t="shared" si="83"/>
        <v>6.837992185151788E-2</v>
      </c>
      <c r="Z233" s="140">
        <f t="shared" si="84"/>
        <v>3.6550783186624712E-2</v>
      </c>
      <c r="AA233" s="140">
        <f t="shared" si="85"/>
        <v>9.2024194682796462E-2</v>
      </c>
      <c r="AB233" s="140">
        <f t="shared" si="86"/>
        <v>-0.2901256073816697</v>
      </c>
      <c r="AC233" s="140">
        <f t="shared" si="87"/>
        <v>-9.5579142621599333E-3</v>
      </c>
      <c r="AD233" s="140">
        <f t="shared" si="88"/>
        <v>0.15554553651938682</v>
      </c>
      <c r="AE233" s="140">
        <f t="shared" si="89"/>
        <v>-3.1005332292885941E-2</v>
      </c>
      <c r="AF233" s="140">
        <f t="shared" si="90"/>
        <v>-3.1005332292885941E-2</v>
      </c>
      <c r="AG233" s="140">
        <f t="shared" si="91"/>
        <v>-3.1005332292885941E-2</v>
      </c>
      <c r="AH233" s="140">
        <f t="shared" si="92"/>
        <v>-3.1005332292885941E-2</v>
      </c>
      <c r="AI233" s="140">
        <f t="shared" si="93"/>
        <v>0.11971746318004207</v>
      </c>
      <c r="AJ233" s="140">
        <f t="shared" si="94"/>
        <v>0.11971746318004207</v>
      </c>
      <c r="AK233" s="140">
        <f t="shared" si="95"/>
        <v>0.11971746318004207</v>
      </c>
      <c r="AL233" s="140">
        <f t="shared" si="96"/>
        <v>0.11971746318004207</v>
      </c>
      <c r="AM233" t="str">
        <f t="shared" si="97"/>
        <v>4120-000: Part-time Salaries</v>
      </c>
      <c r="AN233" s="140">
        <f t="shared" si="98"/>
        <v>5.0282067424051474E-2</v>
      </c>
      <c r="AO233" s="140">
        <f t="shared" si="99"/>
        <v>-8.1287399716937409E-2</v>
      </c>
      <c r="AP233" s="1" t="str">
        <f>IF(AND(AO233&gt;0, _xlfn.XLOOKUP($AM233, Discretionaries!$A$2:'Discretionaries'!$A$150, Discretionaries!$B$2:'Discretionaries'!$B$150)), (1+AN233)*$N233, "")</f>
        <v/>
      </c>
      <c r="AQ233" s="1" t="str">
        <f>IF(AND(AO233&gt;0, _xlfn.XLOOKUP($AM233, Discretionaries!$A$2:'Discretionaries'!$A$150, Discretionaries!$B$2:'Discretionaries'!$B$150)),AP233-$Q233,"")</f>
        <v/>
      </c>
      <c r="AR233" s="140">
        <f>IF(AG233="", 0-CPI!$B$15, AG233-CPI!$B$15)</f>
        <v>-7.0005332292885941E-2</v>
      </c>
      <c r="AS233" s="1" t="str">
        <f>IF(AND(AR233&gt;0, _xlfn.XLOOKUP($AM233, Discretionaries!$A$2:'Discretionaries'!$A$150, Discretionaries!$B$2:'Discretionaries'!$B$150)), (1+CPI!$B$15)*$N233, "")</f>
        <v/>
      </c>
      <c r="AT233" s="1" t="str">
        <f>IF(AND(AR233&gt;0, _xlfn.XLOOKUP($AM233, Discretionaries!$A$2:'Discretionaries'!$A$150, Discretionaries!$B$2:'Discretionaries'!$B$150)),AS233-$Q233,"")</f>
        <v/>
      </c>
    </row>
    <row r="234" spans="1:46" x14ac:dyDescent="0.3">
      <c r="A234" t="s">
        <v>425</v>
      </c>
      <c r="B234" t="str">
        <f t="shared" si="75"/>
        <v>20</v>
      </c>
      <c r="C234" t="s">
        <v>428</v>
      </c>
      <c r="D234" t="str">
        <f t="shared" si="76"/>
        <v>11</v>
      </c>
      <c r="E234" t="s">
        <v>11</v>
      </c>
      <c r="F234" s="139" t="s">
        <v>39</v>
      </c>
      <c r="G234" t="s">
        <v>40</v>
      </c>
      <c r="H234" s="156">
        <v>546826</v>
      </c>
      <c r="I234" s="156">
        <v>728805.75</v>
      </c>
      <c r="J234" s="156">
        <v>574364</v>
      </c>
      <c r="K234" s="156">
        <v>668809.91</v>
      </c>
      <c r="L234" s="156">
        <v>613582</v>
      </c>
      <c r="M234" s="156">
        <v>669684.86</v>
      </c>
      <c r="N234" s="156">
        <v>844784</v>
      </c>
      <c r="O234" s="156">
        <v>844784</v>
      </c>
      <c r="P234" s="156">
        <v>844784</v>
      </c>
      <c r="Q234" s="156">
        <v>844784</v>
      </c>
      <c r="R234" s="156">
        <v>844784</v>
      </c>
      <c r="S234" s="156">
        <f t="shared" si="77"/>
        <v>0</v>
      </c>
      <c r="T234" s="156">
        <f t="shared" si="78"/>
        <v>0</v>
      </c>
      <c r="U234" s="140">
        <f t="shared" si="79"/>
        <v>0</v>
      </c>
      <c r="V234" s="140">
        <f t="shared" si="80"/>
        <v>0.33279278966252518</v>
      </c>
      <c r="W234" s="140">
        <f t="shared" si="81"/>
        <v>0.16443563663460808</v>
      </c>
      <c r="X234" s="140">
        <f t="shared" si="82"/>
        <v>9.1434983425198235E-2</v>
      </c>
      <c r="Y234" s="140">
        <f t="shared" si="83"/>
        <v>5.0359712230215826E-2</v>
      </c>
      <c r="Z234" s="140">
        <f t="shared" si="84"/>
        <v>-8.2320755564840101E-2</v>
      </c>
      <c r="AA234" s="140">
        <f t="shared" si="85"/>
        <v>6.8280741829223279E-2</v>
      </c>
      <c r="AB234" s="140">
        <f t="shared" si="86"/>
        <v>1.3082192517152645E-3</v>
      </c>
      <c r="AC234" s="140">
        <f t="shared" si="87"/>
        <v>0.37680701193972443</v>
      </c>
      <c r="AD234" s="140">
        <f t="shared" si="88"/>
        <v>0.54488630752744016</v>
      </c>
      <c r="AE234" s="140">
        <f t="shared" si="89"/>
        <v>0</v>
      </c>
      <c r="AF234" s="140">
        <f t="shared" si="90"/>
        <v>0</v>
      </c>
      <c r="AG234" s="140">
        <f t="shared" si="91"/>
        <v>0</v>
      </c>
      <c r="AH234" s="140">
        <f t="shared" si="92"/>
        <v>0</v>
      </c>
      <c r="AI234" s="140">
        <f t="shared" si="93"/>
        <v>0.54488630752744016</v>
      </c>
      <c r="AJ234" s="140">
        <f t="shared" si="94"/>
        <v>0.54488630752744016</v>
      </c>
      <c r="AK234" s="140">
        <f t="shared" si="95"/>
        <v>0.54488630752744016</v>
      </c>
      <c r="AL234" s="140">
        <f t="shared" si="96"/>
        <v>0.54488630752744016</v>
      </c>
      <c r="AM234" t="str">
        <f t="shared" si="97"/>
        <v>4140-000: Overtime Salaries</v>
      </c>
      <c r="AN234" s="140">
        <f t="shared" si="98"/>
        <v>0.16514915533305452</v>
      </c>
      <c r="AO234" s="140">
        <f t="shared" si="99"/>
        <v>-0.16514915533305452</v>
      </c>
      <c r="AP234" s="1" t="str">
        <f>IF(AND(AO234&gt;0, _xlfn.XLOOKUP($AM234, Discretionaries!$A$2:'Discretionaries'!$A$150, Discretionaries!$B$2:'Discretionaries'!$B$150)), (1+AN234)*$N234, "")</f>
        <v/>
      </c>
      <c r="AQ234" s="1" t="str">
        <f>IF(AND(AO234&gt;0, _xlfn.XLOOKUP($AM234, Discretionaries!$A$2:'Discretionaries'!$A$150, Discretionaries!$B$2:'Discretionaries'!$B$150)),AP234-$Q234,"")</f>
        <v/>
      </c>
      <c r="AR234" s="140">
        <f>IF(AG234="", 0-CPI!$B$15, AG234-CPI!$B$15)</f>
        <v>-3.8999999999999993E-2</v>
      </c>
      <c r="AS234" s="1" t="str">
        <f>IF(AND(AR234&gt;0, _xlfn.XLOOKUP($AM234, Discretionaries!$A$2:'Discretionaries'!$A$150, Discretionaries!$B$2:'Discretionaries'!$B$150)), (1+CPI!$B$15)*$N234, "")</f>
        <v/>
      </c>
      <c r="AT234" s="1" t="str">
        <f>IF(AND(AR234&gt;0, _xlfn.XLOOKUP($AM234, Discretionaries!$A$2:'Discretionaries'!$A$150, Discretionaries!$B$2:'Discretionaries'!$B$150)),AS234-$Q234,"")</f>
        <v/>
      </c>
    </row>
    <row r="235" spans="1:46" x14ac:dyDescent="0.3">
      <c r="A235" t="s">
        <v>425</v>
      </c>
      <c r="B235" t="str">
        <f t="shared" si="75"/>
        <v>20</v>
      </c>
      <c r="C235" t="s">
        <v>428</v>
      </c>
      <c r="D235" t="str">
        <f t="shared" si="76"/>
        <v>11</v>
      </c>
      <c r="E235" t="s">
        <v>11</v>
      </c>
      <c r="F235" s="139" t="s">
        <v>222</v>
      </c>
      <c r="G235" t="s">
        <v>266</v>
      </c>
      <c r="H235" s="156">
        <v>0</v>
      </c>
      <c r="I235" s="156">
        <v>0</v>
      </c>
      <c r="J235" s="156">
        <v>0</v>
      </c>
      <c r="K235" s="156">
        <v>0</v>
      </c>
      <c r="L235" s="156">
        <v>41307</v>
      </c>
      <c r="M235" s="156">
        <v>55261.919999999998</v>
      </c>
      <c r="N235" s="156">
        <v>15681</v>
      </c>
      <c r="O235" s="156">
        <v>16042</v>
      </c>
      <c r="P235" s="156">
        <v>16042</v>
      </c>
      <c r="Q235" s="156">
        <v>16042</v>
      </c>
      <c r="R235" s="156">
        <v>16042</v>
      </c>
      <c r="S235" s="156">
        <f t="shared" si="77"/>
        <v>361</v>
      </c>
      <c r="T235" s="156">
        <f t="shared" si="78"/>
        <v>0</v>
      </c>
      <c r="U235" s="140">
        <f t="shared" si="79"/>
        <v>2.3021490976340795E-2</v>
      </c>
      <c r="V235" s="140" t="str">
        <f t="shared" si="80"/>
        <v/>
      </c>
      <c r="W235" s="140" t="str">
        <f t="shared" si="81"/>
        <v/>
      </c>
      <c r="X235" s="140">
        <f t="shared" si="82"/>
        <v>0.33783426537874933</v>
      </c>
      <c r="Y235" s="140" t="str">
        <f t="shared" si="83"/>
        <v/>
      </c>
      <c r="Z235" s="140" t="str">
        <f t="shared" si="84"/>
        <v/>
      </c>
      <c r="AA235" s="140" t="str">
        <f t="shared" si="85"/>
        <v/>
      </c>
      <c r="AB235" s="140" t="str">
        <f t="shared" si="86"/>
        <v/>
      </c>
      <c r="AC235" s="140">
        <f t="shared" si="87"/>
        <v>-0.62037911249909217</v>
      </c>
      <c r="AD235" s="140" t="str">
        <f t="shared" si="88"/>
        <v/>
      </c>
      <c r="AE235" s="140">
        <f t="shared" si="89"/>
        <v>2.3021490976340795E-2</v>
      </c>
      <c r="AF235" s="140">
        <f t="shared" si="90"/>
        <v>2.3021490976340795E-2</v>
      </c>
      <c r="AG235" s="140">
        <f t="shared" si="91"/>
        <v>2.3021490976340795E-2</v>
      </c>
      <c r="AH235" s="140">
        <f t="shared" si="92"/>
        <v>2.3021490976340795E-2</v>
      </c>
      <c r="AI235" s="140" t="str">
        <f t="shared" si="93"/>
        <v/>
      </c>
      <c r="AJ235" s="140" t="str">
        <f t="shared" si="94"/>
        <v/>
      </c>
      <c r="AK235" s="140" t="str">
        <f t="shared" si="95"/>
        <v/>
      </c>
      <c r="AL235" s="140" t="str">
        <f t="shared" si="96"/>
        <v/>
      </c>
      <c r="AM235" t="str">
        <f t="shared" si="97"/>
        <v>4151-000: Contractually Mandated Training Overtime</v>
      </c>
      <c r="AN235" s="140">
        <f t="shared" si="98"/>
        <v>-0.62037911249909217</v>
      </c>
      <c r="AO235" s="140">
        <f t="shared" si="99"/>
        <v>0.64340060347543293</v>
      </c>
      <c r="AP235" s="1" t="str">
        <f>IF(AND(AO235&gt;0, _xlfn.XLOOKUP($AM235, Discretionaries!$A$2:'Discretionaries'!$A$150, Discretionaries!$B$2:'Discretionaries'!$B$150)), (1+AN235)*$N235, "")</f>
        <v/>
      </c>
      <c r="AQ235" s="1" t="str">
        <f>IF(AND(AO235&gt;0, _xlfn.XLOOKUP($AM235, Discretionaries!$A$2:'Discretionaries'!$A$150, Discretionaries!$B$2:'Discretionaries'!$B$150)),AP235-$Q235,"")</f>
        <v/>
      </c>
      <c r="AR235" s="140">
        <f>IF(AG235="", 0-CPI!$B$15, AG235-CPI!$B$15)</f>
        <v>-1.5978509023659198E-2</v>
      </c>
      <c r="AS235" s="1" t="str">
        <f>IF(AND(AR235&gt;0, _xlfn.XLOOKUP($AM235, Discretionaries!$A$2:'Discretionaries'!$A$150, Discretionaries!$B$2:'Discretionaries'!$B$150)), (1+CPI!$B$15)*$N235, "")</f>
        <v/>
      </c>
      <c r="AT235" s="1" t="str">
        <f>IF(AND(AR235&gt;0, _xlfn.XLOOKUP($AM235, Discretionaries!$A$2:'Discretionaries'!$A$150, Discretionaries!$B$2:'Discretionaries'!$B$150)),AS235-$Q235,"")</f>
        <v/>
      </c>
    </row>
    <row r="236" spans="1:46" x14ac:dyDescent="0.3">
      <c r="A236" t="s">
        <v>425</v>
      </c>
      <c r="B236" t="str">
        <f t="shared" si="75"/>
        <v>20</v>
      </c>
      <c r="C236" t="s">
        <v>428</v>
      </c>
      <c r="D236" t="str">
        <f t="shared" si="76"/>
        <v>11</v>
      </c>
      <c r="E236" t="s">
        <v>11</v>
      </c>
      <c r="F236" s="139" t="s">
        <v>223</v>
      </c>
      <c r="G236" t="s">
        <v>224</v>
      </c>
      <c r="H236" s="156">
        <v>0</v>
      </c>
      <c r="I236" s="156">
        <v>0</v>
      </c>
      <c r="J236" s="156">
        <v>0</v>
      </c>
      <c r="K236" s="156">
        <v>0</v>
      </c>
      <c r="L236" s="156">
        <v>0</v>
      </c>
      <c r="M236" s="156">
        <v>0</v>
      </c>
      <c r="N236" s="156">
        <v>117603</v>
      </c>
      <c r="O236" s="156">
        <v>120312</v>
      </c>
      <c r="P236" s="156">
        <v>120312</v>
      </c>
      <c r="Q236" s="156">
        <v>120312</v>
      </c>
      <c r="R236" s="156">
        <v>120312</v>
      </c>
      <c r="S236" s="156">
        <f t="shared" si="77"/>
        <v>2709</v>
      </c>
      <c r="T236" s="156">
        <f t="shared" si="78"/>
        <v>0</v>
      </c>
      <c r="U236" s="140">
        <f t="shared" si="79"/>
        <v>2.3035126654932271E-2</v>
      </c>
      <c r="V236" s="140" t="str">
        <f t="shared" si="80"/>
        <v/>
      </c>
      <c r="W236" s="140" t="str">
        <f t="shared" si="81"/>
        <v/>
      </c>
      <c r="X236" s="140" t="str">
        <f t="shared" si="82"/>
        <v/>
      </c>
      <c r="Y236" s="140" t="str">
        <f t="shared" si="83"/>
        <v/>
      </c>
      <c r="Z236" s="140" t="str">
        <f t="shared" si="84"/>
        <v/>
      </c>
      <c r="AA236" s="140" t="str">
        <f t="shared" si="85"/>
        <v/>
      </c>
      <c r="AB236" s="140" t="str">
        <f t="shared" si="86"/>
        <v/>
      </c>
      <c r="AC236" s="140" t="str">
        <f t="shared" si="87"/>
        <v/>
      </c>
      <c r="AD236" s="140" t="str">
        <f t="shared" si="88"/>
        <v/>
      </c>
      <c r="AE236" s="140">
        <f t="shared" si="89"/>
        <v>2.3035126654932271E-2</v>
      </c>
      <c r="AF236" s="140">
        <f t="shared" si="90"/>
        <v>2.3035126654932271E-2</v>
      </c>
      <c r="AG236" s="140">
        <f t="shared" si="91"/>
        <v>2.3035126654932271E-2</v>
      </c>
      <c r="AH236" s="140">
        <f t="shared" si="92"/>
        <v>2.3035126654932271E-2</v>
      </c>
      <c r="AI236" s="140" t="str">
        <f t="shared" si="93"/>
        <v/>
      </c>
      <c r="AJ236" s="140" t="str">
        <f t="shared" si="94"/>
        <v/>
      </c>
      <c r="AK236" s="140" t="str">
        <f t="shared" si="95"/>
        <v/>
      </c>
      <c r="AL236" s="140" t="str">
        <f t="shared" si="96"/>
        <v/>
      </c>
      <c r="AM236" t="str">
        <f t="shared" si="97"/>
        <v>4151-001: Legally Mandated Training - Salaries</v>
      </c>
      <c r="AN236" s="140">
        <f t="shared" si="98"/>
        <v>0</v>
      </c>
      <c r="AO236" s="140">
        <f t="shared" si="99"/>
        <v>2.3035126654932271E-2</v>
      </c>
      <c r="AP236" s="1" t="str">
        <f>IF(AND(AO236&gt;0, _xlfn.XLOOKUP($AM236, Discretionaries!$A$2:'Discretionaries'!$A$150, Discretionaries!$B$2:'Discretionaries'!$B$150)), (1+AN236)*$N236, "")</f>
        <v/>
      </c>
      <c r="AQ236" s="1" t="str">
        <f>IF(AND(AO236&gt;0, _xlfn.XLOOKUP($AM236, Discretionaries!$A$2:'Discretionaries'!$A$150, Discretionaries!$B$2:'Discretionaries'!$B$150)),AP236-$Q236,"")</f>
        <v/>
      </c>
      <c r="AR236" s="140">
        <f>IF(AG236="", 0-CPI!$B$15, AG236-CPI!$B$15)</f>
        <v>-1.5964873345067722E-2</v>
      </c>
      <c r="AS236" s="1" t="str">
        <f>IF(AND(AR236&gt;0, _xlfn.XLOOKUP($AM236, Discretionaries!$A$2:'Discretionaries'!$A$150, Discretionaries!$B$2:'Discretionaries'!$B$150)), (1+CPI!$B$15)*$N236, "")</f>
        <v/>
      </c>
      <c r="AT236" s="1" t="str">
        <f>IF(AND(AR236&gt;0, _xlfn.XLOOKUP($AM236, Discretionaries!$A$2:'Discretionaries'!$A$150, Discretionaries!$B$2:'Discretionaries'!$B$150)),AS236-$Q236,"")</f>
        <v/>
      </c>
    </row>
    <row r="237" spans="1:46" x14ac:dyDescent="0.3">
      <c r="A237" t="s">
        <v>425</v>
      </c>
      <c r="B237" t="str">
        <f t="shared" si="75"/>
        <v>20</v>
      </c>
      <c r="C237" t="s">
        <v>428</v>
      </c>
      <c r="D237" t="str">
        <f t="shared" si="76"/>
        <v>11</v>
      </c>
      <c r="E237" t="s">
        <v>11</v>
      </c>
      <c r="F237" s="139" t="s">
        <v>240</v>
      </c>
      <c r="G237" t="s">
        <v>241</v>
      </c>
      <c r="H237" s="156">
        <v>119320</v>
      </c>
      <c r="I237" s="156">
        <v>88036.49</v>
      </c>
      <c r="J237" s="156">
        <v>142885</v>
      </c>
      <c r="K237" s="156">
        <v>115229.05</v>
      </c>
      <c r="L237" s="156">
        <v>163480</v>
      </c>
      <c r="M237" s="156">
        <v>136703.93</v>
      </c>
      <c r="N237" s="156">
        <v>168532</v>
      </c>
      <c r="O237" s="156">
        <v>185117</v>
      </c>
      <c r="P237" s="156">
        <v>185117</v>
      </c>
      <c r="Q237" s="156">
        <v>185117</v>
      </c>
      <c r="R237" s="156">
        <v>185117</v>
      </c>
      <c r="S237" s="156">
        <f t="shared" si="77"/>
        <v>16585</v>
      </c>
      <c r="T237" s="156">
        <f t="shared" si="78"/>
        <v>0</v>
      </c>
      <c r="U237" s="140">
        <f t="shared" si="79"/>
        <v>9.8408610827617302E-2</v>
      </c>
      <c r="V237" s="140">
        <f t="shared" si="80"/>
        <v>-0.26218161247066707</v>
      </c>
      <c r="W237" s="140">
        <f t="shared" si="81"/>
        <v>-0.19355390698813729</v>
      </c>
      <c r="X237" s="140">
        <f t="shared" si="82"/>
        <v>-0.16378804746758016</v>
      </c>
      <c r="Y237" s="140">
        <f t="shared" si="83"/>
        <v>0.19749413342272878</v>
      </c>
      <c r="Z237" s="140">
        <f t="shared" si="84"/>
        <v>0.30887828444773291</v>
      </c>
      <c r="AA237" s="140">
        <f t="shared" si="85"/>
        <v>0.14413689330580537</v>
      </c>
      <c r="AB237" s="140">
        <f t="shared" si="86"/>
        <v>0.18636689272366638</v>
      </c>
      <c r="AC237" s="140">
        <f t="shared" si="87"/>
        <v>3.0902862735502815E-2</v>
      </c>
      <c r="AD237" s="140">
        <f t="shared" si="88"/>
        <v>0.41243714381495139</v>
      </c>
      <c r="AE237" s="140">
        <f t="shared" si="89"/>
        <v>9.8408610827617302E-2</v>
      </c>
      <c r="AF237" s="140">
        <f t="shared" si="90"/>
        <v>9.8408610827617302E-2</v>
      </c>
      <c r="AG237" s="140">
        <f t="shared" si="91"/>
        <v>9.8408610827617302E-2</v>
      </c>
      <c r="AH237" s="140">
        <f t="shared" si="92"/>
        <v>9.8408610827617302E-2</v>
      </c>
      <c r="AI237" s="140">
        <f t="shared" si="93"/>
        <v>0.55143312101910824</v>
      </c>
      <c r="AJ237" s="140">
        <f t="shared" si="94"/>
        <v>0.55143312101910824</v>
      </c>
      <c r="AK237" s="140">
        <f t="shared" si="95"/>
        <v>0.55143312101910824</v>
      </c>
      <c r="AL237" s="140">
        <f t="shared" si="96"/>
        <v>0.55143312101910824</v>
      </c>
      <c r="AM237" t="str">
        <f t="shared" si="97"/>
        <v>4193-000: Holiday Salaries</v>
      </c>
      <c r="AN237" s="140">
        <f t="shared" si="98"/>
        <v>0.12417796315467899</v>
      </c>
      <c r="AO237" s="140">
        <f t="shared" si="99"/>
        <v>-2.5769352327061693E-2</v>
      </c>
      <c r="AP237" s="1" t="str">
        <f>IF(AND(AO237&gt;0, _xlfn.XLOOKUP($AM237, Discretionaries!$A$2:'Discretionaries'!$A$150, Discretionaries!$B$2:'Discretionaries'!$B$150)), (1+AN237)*$N237, "")</f>
        <v/>
      </c>
      <c r="AQ237" s="1" t="str">
        <f>IF(AND(AO237&gt;0, _xlfn.XLOOKUP($AM237, Discretionaries!$A$2:'Discretionaries'!$A$150, Discretionaries!$B$2:'Discretionaries'!$B$150)),AP237-$Q237,"")</f>
        <v/>
      </c>
      <c r="AR237" s="140">
        <f>IF(AG237="", 0-CPI!$B$15, AG237-CPI!$B$15)</f>
        <v>5.9408610827617309E-2</v>
      </c>
      <c r="AS237" s="1" t="str">
        <f>IF(AND(AR237&gt;0, _xlfn.XLOOKUP($AM237, Discretionaries!$A$2:'Discretionaries'!$A$150, Discretionaries!$B$2:'Discretionaries'!$B$150)), (1+CPI!$B$15)*$N237, "")</f>
        <v/>
      </c>
      <c r="AT237" s="1" t="str">
        <f>IF(AND(AR237&gt;0, _xlfn.XLOOKUP($AM237, Discretionaries!$A$2:'Discretionaries'!$A$150, Discretionaries!$B$2:'Discretionaries'!$B$150)),AS237-$Q237,"")</f>
        <v/>
      </c>
    </row>
    <row r="238" spans="1:46" x14ac:dyDescent="0.3">
      <c r="A238" t="s">
        <v>425</v>
      </c>
      <c r="B238" t="str">
        <f t="shared" si="75"/>
        <v>20</v>
      </c>
      <c r="C238" t="s">
        <v>428</v>
      </c>
      <c r="D238" t="str">
        <f t="shared" si="76"/>
        <v>11</v>
      </c>
      <c r="E238" t="s">
        <v>14</v>
      </c>
      <c r="F238" s="139" t="s">
        <v>41</v>
      </c>
      <c r="G238" t="s">
        <v>242</v>
      </c>
      <c r="H238" s="156">
        <v>0</v>
      </c>
      <c r="I238" s="156">
        <v>0</v>
      </c>
      <c r="J238" s="156">
        <v>0</v>
      </c>
      <c r="K238" s="156">
        <v>-30</v>
      </c>
      <c r="L238" s="156">
        <v>0</v>
      </c>
      <c r="M238" s="156">
        <v>0</v>
      </c>
      <c r="N238" s="156">
        <v>0</v>
      </c>
      <c r="O238" s="156">
        <v>0</v>
      </c>
      <c r="P238" s="156">
        <v>0</v>
      </c>
      <c r="Q238" s="156">
        <v>0</v>
      </c>
      <c r="R238" s="156">
        <v>0</v>
      </c>
      <c r="S238" s="156">
        <f t="shared" si="77"/>
        <v>0</v>
      </c>
      <c r="T238" s="156">
        <f t="shared" si="78"/>
        <v>0</v>
      </c>
      <c r="U238" s="140" t="str">
        <f t="shared" si="79"/>
        <v/>
      </c>
      <c r="V238" s="140" t="str">
        <f t="shared" si="80"/>
        <v/>
      </c>
      <c r="W238" s="140" t="str">
        <f t="shared" si="81"/>
        <v/>
      </c>
      <c r="X238" s="140" t="str">
        <f t="shared" si="82"/>
        <v/>
      </c>
      <c r="Y238" s="140" t="str">
        <f t="shared" si="83"/>
        <v/>
      </c>
      <c r="Z238" s="140" t="str">
        <f t="shared" si="84"/>
        <v/>
      </c>
      <c r="AA238" s="140" t="str">
        <f t="shared" si="85"/>
        <v/>
      </c>
      <c r="AB238" s="140">
        <f t="shared" si="86"/>
        <v>-1</v>
      </c>
      <c r="AC238" s="140" t="str">
        <f t="shared" si="87"/>
        <v/>
      </c>
      <c r="AD238" s="140" t="str">
        <f t="shared" si="88"/>
        <v/>
      </c>
      <c r="AE238" s="140" t="str">
        <f t="shared" si="89"/>
        <v/>
      </c>
      <c r="AF238" s="140" t="str">
        <f t="shared" si="90"/>
        <v/>
      </c>
      <c r="AG238" s="140" t="str">
        <f t="shared" si="91"/>
        <v/>
      </c>
      <c r="AH238" s="140" t="str">
        <f t="shared" si="92"/>
        <v/>
      </c>
      <c r="AI238" s="140" t="str">
        <f t="shared" si="93"/>
        <v/>
      </c>
      <c r="AJ238" s="140" t="str">
        <f t="shared" si="94"/>
        <v/>
      </c>
      <c r="AK238" s="140" t="str">
        <f t="shared" si="95"/>
        <v/>
      </c>
      <c r="AL238" s="140" t="str">
        <f t="shared" si="96"/>
        <v/>
      </c>
      <c r="AM238" t="str">
        <f t="shared" si="97"/>
        <v>4215-000: Life Ins Benefits</v>
      </c>
      <c r="AN238" s="140">
        <f t="shared" si="98"/>
        <v>0</v>
      </c>
      <c r="AO238" s="140">
        <f t="shared" si="99"/>
        <v>0</v>
      </c>
      <c r="AP238" s="1" t="str">
        <f>IF(AND(AO238&gt;0, _xlfn.XLOOKUP($AM238, Discretionaries!$A$2:'Discretionaries'!$A$150, Discretionaries!$B$2:'Discretionaries'!$B$150)), (1+AN238)*$N238, "")</f>
        <v/>
      </c>
      <c r="AQ238" s="1" t="str">
        <f>IF(AND(AO238&gt;0, _xlfn.XLOOKUP($AM238, Discretionaries!$A$2:'Discretionaries'!$A$150, Discretionaries!$B$2:'Discretionaries'!$B$150)),AP238-$Q238,"")</f>
        <v/>
      </c>
      <c r="AR238" s="140">
        <f>IF(AG238="", 0-CPI!$B$15, AG238-CPI!$B$15)</f>
        <v>-3.8999999999999993E-2</v>
      </c>
      <c r="AS238" s="1" t="str">
        <f>IF(AND(AR238&gt;0, _xlfn.XLOOKUP($AM238, Discretionaries!$A$2:'Discretionaries'!$A$150, Discretionaries!$B$2:'Discretionaries'!$B$150)), (1+CPI!$B$15)*$N238, "")</f>
        <v/>
      </c>
      <c r="AT238" s="1" t="str">
        <f>IF(AND(AR238&gt;0, _xlfn.XLOOKUP($AM238, Discretionaries!$A$2:'Discretionaries'!$A$150, Discretionaries!$B$2:'Discretionaries'!$B$150)),AS238-$Q238,"")</f>
        <v/>
      </c>
    </row>
    <row r="239" spans="1:46" x14ac:dyDescent="0.3">
      <c r="A239" t="s">
        <v>425</v>
      </c>
      <c r="B239" t="str">
        <f t="shared" si="75"/>
        <v>20</v>
      </c>
      <c r="C239" t="s">
        <v>428</v>
      </c>
      <c r="D239" t="str">
        <f t="shared" si="76"/>
        <v>11</v>
      </c>
      <c r="E239" t="s">
        <v>14</v>
      </c>
      <c r="F239" s="139" t="s">
        <v>15</v>
      </c>
      <c r="G239" t="s">
        <v>16</v>
      </c>
      <c r="H239" s="156">
        <v>2062</v>
      </c>
      <c r="I239" s="156">
        <v>2759.69</v>
      </c>
      <c r="J239" s="156">
        <v>2326</v>
      </c>
      <c r="K239" s="156">
        <v>0</v>
      </c>
      <c r="L239" s="156">
        <v>2407</v>
      </c>
      <c r="M239" s="156">
        <v>0</v>
      </c>
      <c r="N239" s="156">
        <v>2384</v>
      </c>
      <c r="O239" s="156">
        <v>2443</v>
      </c>
      <c r="P239" s="156">
        <v>2443</v>
      </c>
      <c r="Q239" s="156">
        <v>2443</v>
      </c>
      <c r="R239" s="156">
        <v>2443</v>
      </c>
      <c r="S239" s="156">
        <f t="shared" si="77"/>
        <v>59</v>
      </c>
      <c r="T239" s="156">
        <f t="shared" si="78"/>
        <v>0</v>
      </c>
      <c r="U239" s="140">
        <f t="shared" si="79"/>
        <v>2.4748322147651006E-2</v>
      </c>
      <c r="V239" s="140">
        <f t="shared" si="80"/>
        <v>0.33835596508244425</v>
      </c>
      <c r="W239" s="140">
        <f t="shared" si="81"/>
        <v>-1</v>
      </c>
      <c r="X239" s="140">
        <f t="shared" si="82"/>
        <v>-1</v>
      </c>
      <c r="Y239" s="140">
        <f t="shared" si="83"/>
        <v>0.12803103782735209</v>
      </c>
      <c r="Z239" s="140">
        <f t="shared" si="84"/>
        <v>-1</v>
      </c>
      <c r="AA239" s="140">
        <f t="shared" si="85"/>
        <v>3.4823731728288905E-2</v>
      </c>
      <c r="AB239" s="140" t="str">
        <f t="shared" si="86"/>
        <v/>
      </c>
      <c r="AC239" s="140">
        <f t="shared" si="87"/>
        <v>-9.5554632322393026E-3</v>
      </c>
      <c r="AD239" s="140">
        <f t="shared" si="88"/>
        <v>0.15615906886517944</v>
      </c>
      <c r="AE239" s="140">
        <f t="shared" si="89"/>
        <v>2.4748322147651006E-2</v>
      </c>
      <c r="AF239" s="140">
        <f t="shared" si="90"/>
        <v>2.4748322147651006E-2</v>
      </c>
      <c r="AG239" s="140">
        <f t="shared" si="91"/>
        <v>2.4748322147651006E-2</v>
      </c>
      <c r="AH239" s="140">
        <f t="shared" si="92"/>
        <v>2.4748322147651006E-2</v>
      </c>
      <c r="AI239" s="140">
        <f t="shared" si="93"/>
        <v>0.18477206595538312</v>
      </c>
      <c r="AJ239" s="140">
        <f t="shared" si="94"/>
        <v>0.18477206595538312</v>
      </c>
      <c r="AK239" s="140">
        <f t="shared" si="95"/>
        <v>0.18477206595538312</v>
      </c>
      <c r="AL239" s="140">
        <f t="shared" si="96"/>
        <v>0.18477206595538312</v>
      </c>
      <c r="AM239" t="str">
        <f t="shared" si="97"/>
        <v>4220-000: FICA Benefits</v>
      </c>
      <c r="AN239" s="140">
        <f t="shared" si="98"/>
        <v>5.109976877446723E-2</v>
      </c>
      <c r="AO239" s="140">
        <f t="shared" si="99"/>
        <v>-2.6351446626816225E-2</v>
      </c>
      <c r="AP239" s="1" t="str">
        <f>IF(AND(AO239&gt;0, _xlfn.XLOOKUP($AM239, Discretionaries!$A$2:'Discretionaries'!$A$150, Discretionaries!$B$2:'Discretionaries'!$B$150)), (1+AN239)*$N239, "")</f>
        <v/>
      </c>
      <c r="AQ239" s="1" t="str">
        <f>IF(AND(AO239&gt;0, _xlfn.XLOOKUP($AM239, Discretionaries!$A$2:'Discretionaries'!$A$150, Discretionaries!$B$2:'Discretionaries'!$B$150)),AP239-$Q239,"")</f>
        <v/>
      </c>
      <c r="AR239" s="140">
        <f>IF(AG239="", 0-CPI!$B$15, AG239-CPI!$B$15)</f>
        <v>-1.4251677852348987E-2</v>
      </c>
      <c r="AS239" s="1" t="str">
        <f>IF(AND(AR239&gt;0, _xlfn.XLOOKUP($AM239, Discretionaries!$A$2:'Discretionaries'!$A$150, Discretionaries!$B$2:'Discretionaries'!$B$150)), (1+CPI!$B$15)*$N239, "")</f>
        <v/>
      </c>
      <c r="AT239" s="1" t="str">
        <f>IF(AND(AR239&gt;0, _xlfn.XLOOKUP($AM239, Discretionaries!$A$2:'Discretionaries'!$A$150, Discretionaries!$B$2:'Discretionaries'!$B$150)),AS239-$Q239,"")</f>
        <v/>
      </c>
    </row>
    <row r="240" spans="1:46" x14ac:dyDescent="0.3">
      <c r="A240" t="s">
        <v>425</v>
      </c>
      <c r="B240" t="str">
        <f t="shared" si="75"/>
        <v>20</v>
      </c>
      <c r="C240" t="s">
        <v>428</v>
      </c>
      <c r="D240" t="str">
        <f t="shared" si="76"/>
        <v>11</v>
      </c>
      <c r="E240" t="s">
        <v>14</v>
      </c>
      <c r="F240" s="139" t="s">
        <v>17</v>
      </c>
      <c r="G240" t="s">
        <v>18</v>
      </c>
      <c r="H240" s="156">
        <v>55834</v>
      </c>
      <c r="I240" s="156">
        <v>52463.8</v>
      </c>
      <c r="J240" s="156">
        <v>58660</v>
      </c>
      <c r="K240" s="156">
        <v>53143.13</v>
      </c>
      <c r="L240" s="156">
        <v>64362</v>
      </c>
      <c r="M240" s="156">
        <v>59105.37</v>
      </c>
      <c r="N240" s="156">
        <v>71242</v>
      </c>
      <c r="O240" s="156">
        <v>72744</v>
      </c>
      <c r="P240" s="156">
        <v>72744</v>
      </c>
      <c r="Q240" s="156">
        <v>72744</v>
      </c>
      <c r="R240" s="156">
        <v>72744</v>
      </c>
      <c r="S240" s="156">
        <f t="shared" si="77"/>
        <v>1502</v>
      </c>
      <c r="T240" s="156">
        <f t="shared" si="78"/>
        <v>0</v>
      </c>
      <c r="U240" s="140">
        <f t="shared" si="79"/>
        <v>2.1083068976165745E-2</v>
      </c>
      <c r="V240" s="140">
        <f t="shared" si="80"/>
        <v>-6.0361070315578268E-2</v>
      </c>
      <c r="W240" s="140">
        <f t="shared" si="81"/>
        <v>-9.4048244118649885E-2</v>
      </c>
      <c r="X240" s="140">
        <f t="shared" si="82"/>
        <v>-8.1672881513936757E-2</v>
      </c>
      <c r="Y240" s="140">
        <f t="shared" si="83"/>
        <v>5.0614321023032559E-2</v>
      </c>
      <c r="Z240" s="140">
        <f t="shared" si="84"/>
        <v>1.2948547379335741E-2</v>
      </c>
      <c r="AA240" s="140">
        <f t="shared" si="85"/>
        <v>9.7204227753153766E-2</v>
      </c>
      <c r="AB240" s="140">
        <f t="shared" si="86"/>
        <v>0.11219211213189749</v>
      </c>
      <c r="AC240" s="140">
        <f t="shared" si="87"/>
        <v>0.10689537304620739</v>
      </c>
      <c r="AD240" s="140">
        <f t="shared" si="88"/>
        <v>0.2759608840491457</v>
      </c>
      <c r="AE240" s="140">
        <f t="shared" si="89"/>
        <v>2.1083068976165745E-2</v>
      </c>
      <c r="AF240" s="140">
        <f t="shared" si="90"/>
        <v>2.1083068976165745E-2</v>
      </c>
      <c r="AG240" s="140">
        <f t="shared" si="91"/>
        <v>2.1083068976165745E-2</v>
      </c>
      <c r="AH240" s="140">
        <f t="shared" si="92"/>
        <v>2.1083068976165745E-2</v>
      </c>
      <c r="AI240" s="140">
        <f t="shared" si="93"/>
        <v>0.30286205537844324</v>
      </c>
      <c r="AJ240" s="140">
        <f t="shared" si="94"/>
        <v>0.30286205537844324</v>
      </c>
      <c r="AK240" s="140">
        <f t="shared" si="95"/>
        <v>0.30286205537844324</v>
      </c>
      <c r="AL240" s="140">
        <f t="shared" si="96"/>
        <v>0.30286205537844324</v>
      </c>
      <c r="AM240" t="str">
        <f t="shared" si="97"/>
        <v>4225-000: Medicare Benefits</v>
      </c>
      <c r="AN240" s="140">
        <f t="shared" si="98"/>
        <v>8.4904640607464568E-2</v>
      </c>
      <c r="AO240" s="140">
        <f t="shared" si="99"/>
        <v>-6.3821571631298826E-2</v>
      </c>
      <c r="AP240" s="1" t="str">
        <f>IF(AND(AO240&gt;0, _xlfn.XLOOKUP($AM240, Discretionaries!$A$2:'Discretionaries'!$A$150, Discretionaries!$B$2:'Discretionaries'!$B$150)), (1+AN240)*$N240, "")</f>
        <v/>
      </c>
      <c r="AQ240" s="1" t="str">
        <f>IF(AND(AO240&gt;0, _xlfn.XLOOKUP($AM240, Discretionaries!$A$2:'Discretionaries'!$A$150, Discretionaries!$B$2:'Discretionaries'!$B$150)),AP240-$Q240,"")</f>
        <v/>
      </c>
      <c r="AR240" s="140">
        <f>IF(AG240="", 0-CPI!$B$15, AG240-CPI!$B$15)</f>
        <v>-1.7916931023834248E-2</v>
      </c>
      <c r="AS240" s="1" t="str">
        <f>IF(AND(AR240&gt;0, _xlfn.XLOOKUP($AM240, Discretionaries!$A$2:'Discretionaries'!$A$150, Discretionaries!$B$2:'Discretionaries'!$B$150)), (1+CPI!$B$15)*$N240, "")</f>
        <v/>
      </c>
      <c r="AT240" s="1" t="str">
        <f>IF(AND(AR240&gt;0, _xlfn.XLOOKUP($AM240, Discretionaries!$A$2:'Discretionaries'!$A$150, Discretionaries!$B$2:'Discretionaries'!$B$150)),AS240-$Q240,"")</f>
        <v/>
      </c>
    </row>
    <row r="241" spans="1:46" x14ac:dyDescent="0.3">
      <c r="A241" t="s">
        <v>425</v>
      </c>
      <c r="B241" t="str">
        <f t="shared" si="75"/>
        <v>20</v>
      </c>
      <c r="C241" t="s">
        <v>428</v>
      </c>
      <c r="D241" t="str">
        <f t="shared" si="76"/>
        <v>11</v>
      </c>
      <c r="E241" t="s">
        <v>14</v>
      </c>
      <c r="F241" s="139" t="s">
        <v>43</v>
      </c>
      <c r="G241" t="s">
        <v>44</v>
      </c>
      <c r="H241" s="156">
        <v>1293311</v>
      </c>
      <c r="I241" s="156">
        <v>1243442.77</v>
      </c>
      <c r="J241" s="156">
        <v>1257559</v>
      </c>
      <c r="K241" s="156">
        <v>1152789.8999999999</v>
      </c>
      <c r="L241" s="156">
        <v>1376287</v>
      </c>
      <c r="M241" s="156">
        <v>1294588.78</v>
      </c>
      <c r="N241" s="156">
        <v>1508270</v>
      </c>
      <c r="O241" s="156">
        <v>1540509</v>
      </c>
      <c r="P241" s="156">
        <v>1540509</v>
      </c>
      <c r="Q241" s="156">
        <v>1540509</v>
      </c>
      <c r="R241" s="156">
        <v>1540509</v>
      </c>
      <c r="S241" s="156">
        <f t="shared" si="77"/>
        <v>32239</v>
      </c>
      <c r="T241" s="156">
        <f t="shared" si="78"/>
        <v>0</v>
      </c>
      <c r="U241" s="140">
        <f t="shared" si="79"/>
        <v>2.1374820158194488E-2</v>
      </c>
      <c r="V241" s="140">
        <f t="shared" si="80"/>
        <v>-3.8558575624888354E-2</v>
      </c>
      <c r="W241" s="140">
        <f t="shared" si="81"/>
        <v>-8.3311478825248031E-2</v>
      </c>
      <c r="X241" s="140">
        <f t="shared" si="82"/>
        <v>-5.9361325072459434E-2</v>
      </c>
      <c r="Y241" s="140">
        <f t="shared" si="83"/>
        <v>-2.7643776322941658E-2</v>
      </c>
      <c r="Z241" s="140">
        <f t="shared" si="84"/>
        <v>-7.2904738510804243E-2</v>
      </c>
      <c r="AA241" s="140">
        <f t="shared" si="85"/>
        <v>9.4411474928810496E-2</v>
      </c>
      <c r="AB241" s="140">
        <f t="shared" si="86"/>
        <v>0.12300496387069329</v>
      </c>
      <c r="AC241" s="140">
        <f t="shared" si="87"/>
        <v>9.5897875951745523E-2</v>
      </c>
      <c r="AD241" s="140">
        <f t="shared" si="88"/>
        <v>0.16620828246260955</v>
      </c>
      <c r="AE241" s="140">
        <f t="shared" si="89"/>
        <v>2.1374820158194488E-2</v>
      </c>
      <c r="AF241" s="140">
        <f t="shared" si="90"/>
        <v>2.1374820158194488E-2</v>
      </c>
      <c r="AG241" s="140">
        <f t="shared" si="91"/>
        <v>2.1374820158194488E-2</v>
      </c>
      <c r="AH241" s="140">
        <f t="shared" si="92"/>
        <v>2.1374820158194488E-2</v>
      </c>
      <c r="AI241" s="140">
        <f t="shared" si="93"/>
        <v>0.19113577476724469</v>
      </c>
      <c r="AJ241" s="140">
        <f t="shared" si="94"/>
        <v>0.19113577476724469</v>
      </c>
      <c r="AK241" s="140">
        <f t="shared" si="95"/>
        <v>0.19113577476724469</v>
      </c>
      <c r="AL241" s="140">
        <f t="shared" si="96"/>
        <v>0.19113577476724469</v>
      </c>
      <c r="AM241" t="str">
        <f t="shared" si="97"/>
        <v>4230-000: Retirement Benefits</v>
      </c>
      <c r="AN241" s="140">
        <f t="shared" si="98"/>
        <v>5.4221858185871462E-2</v>
      </c>
      <c r="AO241" s="140">
        <f t="shared" si="99"/>
        <v>-3.2847038027676974E-2</v>
      </c>
      <c r="AP241" s="1" t="str">
        <f>IF(AND(AO241&gt;0, _xlfn.XLOOKUP($AM241, Discretionaries!$A$2:'Discretionaries'!$A$150, Discretionaries!$B$2:'Discretionaries'!$B$150)), (1+AN241)*$N241, "")</f>
        <v/>
      </c>
      <c r="AQ241" s="1" t="str">
        <f>IF(AND(AO241&gt;0, _xlfn.XLOOKUP($AM241, Discretionaries!$A$2:'Discretionaries'!$A$150, Discretionaries!$B$2:'Discretionaries'!$B$150)),AP241-$Q241,"")</f>
        <v/>
      </c>
      <c r="AR241" s="140">
        <f>IF(AG241="", 0-CPI!$B$15, AG241-CPI!$B$15)</f>
        <v>-1.7625179841805505E-2</v>
      </c>
      <c r="AS241" s="1" t="str">
        <f>IF(AND(AR241&gt;0, _xlfn.XLOOKUP($AM241, Discretionaries!$A$2:'Discretionaries'!$A$150, Discretionaries!$B$2:'Discretionaries'!$B$150)), (1+CPI!$B$15)*$N241, "")</f>
        <v/>
      </c>
      <c r="AT241" s="1" t="str">
        <f>IF(AND(AR241&gt;0, _xlfn.XLOOKUP($AM241, Discretionaries!$A$2:'Discretionaries'!$A$150, Discretionaries!$B$2:'Discretionaries'!$B$150)),AS241-$Q241,"")</f>
        <v/>
      </c>
    </row>
    <row r="242" spans="1:46" x14ac:dyDescent="0.3">
      <c r="A242" t="s">
        <v>425</v>
      </c>
      <c r="B242" t="str">
        <f t="shared" si="75"/>
        <v>20</v>
      </c>
      <c r="C242" t="s">
        <v>428</v>
      </c>
      <c r="D242" t="str">
        <f t="shared" si="76"/>
        <v>11</v>
      </c>
      <c r="E242" t="s">
        <v>14</v>
      </c>
      <c r="F242" s="139" t="s">
        <v>19</v>
      </c>
      <c r="G242" t="s">
        <v>20</v>
      </c>
      <c r="H242" s="156">
        <v>43628</v>
      </c>
      <c r="I242" s="156">
        <v>42175.24</v>
      </c>
      <c r="J242" s="156">
        <v>46204</v>
      </c>
      <c r="K242" s="156">
        <v>49092.62</v>
      </c>
      <c r="L242" s="156">
        <v>55172</v>
      </c>
      <c r="M242" s="156">
        <v>55171.74</v>
      </c>
      <c r="N242" s="156">
        <v>65187</v>
      </c>
      <c r="O242" s="156">
        <v>64216</v>
      </c>
      <c r="P242" s="156">
        <v>64216</v>
      </c>
      <c r="Q242" s="156">
        <v>64216</v>
      </c>
      <c r="R242" s="156">
        <v>64216</v>
      </c>
      <c r="S242" s="156">
        <f t="shared" si="77"/>
        <v>-971</v>
      </c>
      <c r="T242" s="156">
        <f t="shared" si="78"/>
        <v>0</v>
      </c>
      <c r="U242" s="140">
        <f t="shared" si="79"/>
        <v>-1.4895608020003989E-2</v>
      </c>
      <c r="V242" s="140">
        <f t="shared" si="80"/>
        <v>-3.329879893646287E-2</v>
      </c>
      <c r="W242" s="140">
        <f t="shared" si="81"/>
        <v>6.2518829538568146E-2</v>
      </c>
      <c r="X242" s="140">
        <f t="shared" si="82"/>
        <v>-4.7125353440520058E-6</v>
      </c>
      <c r="Y242" s="140">
        <f t="shared" si="83"/>
        <v>5.9044650224626384E-2</v>
      </c>
      <c r="Z242" s="140">
        <f t="shared" si="84"/>
        <v>0.16401518995505432</v>
      </c>
      <c r="AA242" s="140">
        <f t="shared" si="85"/>
        <v>0.19409574928577614</v>
      </c>
      <c r="AB242" s="140">
        <f t="shared" si="86"/>
        <v>0.12382961023469505</v>
      </c>
      <c r="AC242" s="140">
        <f t="shared" si="87"/>
        <v>0.18152323642427318</v>
      </c>
      <c r="AD242" s="140">
        <f t="shared" si="88"/>
        <v>0.49415512973319886</v>
      </c>
      <c r="AE242" s="140">
        <f t="shared" si="89"/>
        <v>-1.4895608020003989E-2</v>
      </c>
      <c r="AF242" s="140">
        <f t="shared" si="90"/>
        <v>-1.4895608020003989E-2</v>
      </c>
      <c r="AG242" s="140">
        <f t="shared" si="91"/>
        <v>-1.4895608020003989E-2</v>
      </c>
      <c r="AH242" s="140">
        <f t="shared" si="92"/>
        <v>-1.4895608020003989E-2</v>
      </c>
      <c r="AI242" s="140">
        <f t="shared" si="93"/>
        <v>0.47189878059961493</v>
      </c>
      <c r="AJ242" s="140">
        <f t="shared" si="94"/>
        <v>0.47189878059961493</v>
      </c>
      <c r="AK242" s="140">
        <f t="shared" si="95"/>
        <v>0.47189878059961493</v>
      </c>
      <c r="AL242" s="140">
        <f t="shared" si="96"/>
        <v>0.47189878059961493</v>
      </c>
      <c r="AM242" t="str">
        <f t="shared" si="97"/>
        <v>4260-000: Workers' comp Benefits</v>
      </c>
      <c r="AN242" s="140">
        <f t="shared" si="98"/>
        <v>0.14488787864489192</v>
      </c>
      <c r="AO242" s="140">
        <f t="shared" si="99"/>
        <v>-0.15978348666489589</v>
      </c>
      <c r="AP242" s="1" t="str">
        <f>IF(AND(AO242&gt;0, _xlfn.XLOOKUP($AM242, Discretionaries!$A$2:'Discretionaries'!$A$150, Discretionaries!$B$2:'Discretionaries'!$B$150)), (1+AN242)*$N242, "")</f>
        <v/>
      </c>
      <c r="AQ242" s="1" t="str">
        <f>IF(AND(AO242&gt;0, _xlfn.XLOOKUP($AM242, Discretionaries!$A$2:'Discretionaries'!$A$150, Discretionaries!$B$2:'Discretionaries'!$B$150)),AP242-$Q242,"")</f>
        <v/>
      </c>
      <c r="AR242" s="140">
        <f>IF(AG242="", 0-CPI!$B$15, AG242-CPI!$B$15)</f>
        <v>-5.3895608020003982E-2</v>
      </c>
      <c r="AS242" s="1" t="str">
        <f>IF(AND(AR242&gt;0, _xlfn.XLOOKUP($AM242, Discretionaries!$A$2:'Discretionaries'!$A$150, Discretionaries!$B$2:'Discretionaries'!$B$150)), (1+CPI!$B$15)*$N242, "")</f>
        <v/>
      </c>
      <c r="AT242" s="1" t="str">
        <f>IF(AND(AR242&gt;0, _xlfn.XLOOKUP($AM242, Discretionaries!$A$2:'Discretionaries'!$A$150, Discretionaries!$B$2:'Discretionaries'!$B$150)),AS242-$Q242,"")</f>
        <v/>
      </c>
    </row>
    <row r="243" spans="1:46" x14ac:dyDescent="0.3">
      <c r="A243" t="s">
        <v>425</v>
      </c>
      <c r="B243" t="str">
        <f t="shared" si="75"/>
        <v>20</v>
      </c>
      <c r="C243" t="s">
        <v>428</v>
      </c>
      <c r="D243" t="str">
        <f t="shared" si="76"/>
        <v>11</v>
      </c>
      <c r="E243" t="s">
        <v>21</v>
      </c>
      <c r="F243" s="139" t="s">
        <v>225</v>
      </c>
      <c r="G243" t="s">
        <v>226</v>
      </c>
      <c r="H243" s="156">
        <v>90000</v>
      </c>
      <c r="I243" s="156">
        <v>126170.96</v>
      </c>
      <c r="J243" s="156">
        <v>90000</v>
      </c>
      <c r="K243" s="156">
        <v>106960.8</v>
      </c>
      <c r="L243" s="156">
        <v>90000</v>
      </c>
      <c r="M243" s="156">
        <v>98249.94</v>
      </c>
      <c r="N243" s="156">
        <v>90000</v>
      </c>
      <c r="O243" s="156">
        <v>90000</v>
      </c>
      <c r="P243" s="156">
        <v>90000</v>
      </c>
      <c r="Q243" s="156">
        <v>90000</v>
      </c>
      <c r="R243" s="156">
        <v>90000</v>
      </c>
      <c r="S243" s="156">
        <f t="shared" si="77"/>
        <v>0</v>
      </c>
      <c r="T243" s="156">
        <f t="shared" si="78"/>
        <v>0</v>
      </c>
      <c r="U243" s="140">
        <f t="shared" si="79"/>
        <v>0</v>
      </c>
      <c r="V243" s="140">
        <f t="shared" si="80"/>
        <v>0.40189955555555562</v>
      </c>
      <c r="W243" s="140">
        <f t="shared" si="81"/>
        <v>0.18845333333333336</v>
      </c>
      <c r="X243" s="140">
        <f t="shared" si="82"/>
        <v>9.1666000000000025E-2</v>
      </c>
      <c r="Y243" s="140">
        <f t="shared" si="83"/>
        <v>0</v>
      </c>
      <c r="Z243" s="140">
        <f t="shared" si="84"/>
        <v>-0.15225500384557589</v>
      </c>
      <c r="AA243" s="140">
        <f t="shared" si="85"/>
        <v>0</v>
      </c>
      <c r="AB243" s="140">
        <f t="shared" si="86"/>
        <v>-8.1439742410303592E-2</v>
      </c>
      <c r="AC243" s="140">
        <f t="shared" si="87"/>
        <v>0</v>
      </c>
      <c r="AD243" s="140">
        <f t="shared" si="88"/>
        <v>0</v>
      </c>
      <c r="AE243" s="140">
        <f t="shared" si="89"/>
        <v>0</v>
      </c>
      <c r="AF243" s="140">
        <f t="shared" si="90"/>
        <v>0</v>
      </c>
      <c r="AG243" s="140">
        <f t="shared" si="91"/>
        <v>0</v>
      </c>
      <c r="AH243" s="140">
        <f t="shared" si="92"/>
        <v>0</v>
      </c>
      <c r="AI243" s="140">
        <f t="shared" si="93"/>
        <v>0</v>
      </c>
      <c r="AJ243" s="140">
        <f t="shared" si="94"/>
        <v>0</v>
      </c>
      <c r="AK243" s="140">
        <f t="shared" si="95"/>
        <v>0</v>
      </c>
      <c r="AL243" s="140">
        <f t="shared" si="96"/>
        <v>0</v>
      </c>
      <c r="AM243" t="str">
        <f t="shared" si="97"/>
        <v>4290-000: Uniforms &amp; cleaning Benefits</v>
      </c>
      <c r="AN243" s="140">
        <f t="shared" si="98"/>
        <v>0</v>
      </c>
      <c r="AO243" s="140">
        <f t="shared" si="99"/>
        <v>0</v>
      </c>
      <c r="AP243" s="1" t="str">
        <f>IF(AND(AO243&gt;0, _xlfn.XLOOKUP($AM243, Discretionaries!$A$2:'Discretionaries'!$A$150, Discretionaries!$B$2:'Discretionaries'!$B$150)), (1+AN243)*$N243, "")</f>
        <v/>
      </c>
      <c r="AQ243" s="1" t="str">
        <f>IF(AND(AO243&gt;0, _xlfn.XLOOKUP($AM243, Discretionaries!$A$2:'Discretionaries'!$A$150, Discretionaries!$B$2:'Discretionaries'!$B$150)),AP243-$Q243,"")</f>
        <v/>
      </c>
      <c r="AR243" s="140">
        <f>IF(AG243="", 0-CPI!$B$15, AG243-CPI!$B$15)</f>
        <v>-3.8999999999999993E-2</v>
      </c>
      <c r="AS243" s="1" t="str">
        <f>IF(AND(AR243&gt;0, _xlfn.XLOOKUP($AM243, Discretionaries!$A$2:'Discretionaries'!$A$150, Discretionaries!$B$2:'Discretionaries'!$B$150)), (1+CPI!$B$15)*$N243, "")</f>
        <v/>
      </c>
      <c r="AT243" s="1" t="str">
        <f>IF(AND(AR243&gt;0, _xlfn.XLOOKUP($AM243, Discretionaries!$A$2:'Discretionaries'!$A$150, Discretionaries!$B$2:'Discretionaries'!$B$150)),AS243-$Q243,"")</f>
        <v/>
      </c>
    </row>
    <row r="244" spans="1:46" x14ac:dyDescent="0.3">
      <c r="A244" t="s">
        <v>425</v>
      </c>
      <c r="B244" t="str">
        <f t="shared" si="75"/>
        <v>20</v>
      </c>
      <c r="C244" t="s">
        <v>428</v>
      </c>
      <c r="D244" t="str">
        <f t="shared" si="76"/>
        <v>11</v>
      </c>
      <c r="E244" t="s">
        <v>21</v>
      </c>
      <c r="F244" s="139" t="s">
        <v>243</v>
      </c>
      <c r="G244" t="s">
        <v>244</v>
      </c>
      <c r="H244" s="156">
        <v>6500</v>
      </c>
      <c r="I244" s="156">
        <v>11079.6</v>
      </c>
      <c r="J244" s="156">
        <v>6500</v>
      </c>
      <c r="K244" s="156">
        <v>22078.51</v>
      </c>
      <c r="L244" s="156">
        <v>6500</v>
      </c>
      <c r="M244" s="156">
        <v>11114.26</v>
      </c>
      <c r="N244" s="156">
        <v>6500</v>
      </c>
      <c r="O244" s="156">
        <v>6500</v>
      </c>
      <c r="P244" s="156">
        <v>6500</v>
      </c>
      <c r="Q244" s="156">
        <v>6500</v>
      </c>
      <c r="R244" s="156">
        <v>6500</v>
      </c>
      <c r="S244" s="156">
        <f t="shared" si="77"/>
        <v>0</v>
      </c>
      <c r="T244" s="156">
        <f t="shared" si="78"/>
        <v>0</v>
      </c>
      <c r="U244" s="140">
        <f t="shared" si="79"/>
        <v>0</v>
      </c>
      <c r="V244" s="140">
        <f t="shared" si="80"/>
        <v>0.7045538461538462</v>
      </c>
      <c r="W244" s="140">
        <f t="shared" si="81"/>
        <v>2.3966938461538461</v>
      </c>
      <c r="X244" s="140">
        <f t="shared" si="82"/>
        <v>0.70988615384615383</v>
      </c>
      <c r="Y244" s="140">
        <f t="shared" si="83"/>
        <v>0</v>
      </c>
      <c r="Z244" s="140">
        <f t="shared" si="84"/>
        <v>0.9927172461099677</v>
      </c>
      <c r="AA244" s="140">
        <f t="shared" si="85"/>
        <v>0</v>
      </c>
      <c r="AB244" s="140">
        <f t="shared" si="86"/>
        <v>-0.49660280517118227</v>
      </c>
      <c r="AC244" s="140">
        <f t="shared" si="87"/>
        <v>0</v>
      </c>
      <c r="AD244" s="140">
        <f t="shared" si="88"/>
        <v>0</v>
      </c>
      <c r="AE244" s="140">
        <f t="shared" si="89"/>
        <v>0</v>
      </c>
      <c r="AF244" s="140">
        <f t="shared" si="90"/>
        <v>0</v>
      </c>
      <c r="AG244" s="140">
        <f t="shared" si="91"/>
        <v>0</v>
      </c>
      <c r="AH244" s="140">
        <f t="shared" si="92"/>
        <v>0</v>
      </c>
      <c r="AI244" s="140">
        <f t="shared" si="93"/>
        <v>0</v>
      </c>
      <c r="AJ244" s="140">
        <f t="shared" si="94"/>
        <v>0</v>
      </c>
      <c r="AK244" s="140">
        <f t="shared" si="95"/>
        <v>0</v>
      </c>
      <c r="AL244" s="140">
        <f t="shared" si="96"/>
        <v>0</v>
      </c>
      <c r="AM244" t="str">
        <f t="shared" si="97"/>
        <v>4331-000: Special investigations Services</v>
      </c>
      <c r="AN244" s="140">
        <f t="shared" si="98"/>
        <v>0</v>
      </c>
      <c r="AO244" s="140">
        <f t="shared" si="99"/>
        <v>0</v>
      </c>
      <c r="AP244" s="1" t="str">
        <f>IF(AND(AO244&gt;0, _xlfn.XLOOKUP($AM244, Discretionaries!$A$2:'Discretionaries'!$A$150, Discretionaries!$B$2:'Discretionaries'!$B$150)), (1+AN244)*$N244, "")</f>
        <v/>
      </c>
      <c r="AQ244" s="1" t="str">
        <f>IF(AND(AO244&gt;0, _xlfn.XLOOKUP($AM244, Discretionaries!$A$2:'Discretionaries'!$A$150, Discretionaries!$B$2:'Discretionaries'!$B$150)),AP244-$Q244,"")</f>
        <v/>
      </c>
      <c r="AR244" s="140">
        <f>IF(AG244="", 0-CPI!$B$15, AG244-CPI!$B$15)</f>
        <v>-3.8999999999999993E-2</v>
      </c>
      <c r="AS244" s="1" t="str">
        <f>IF(AND(AR244&gt;0, _xlfn.XLOOKUP($AM244, Discretionaries!$A$2:'Discretionaries'!$A$150, Discretionaries!$B$2:'Discretionaries'!$B$150)), (1+CPI!$B$15)*$N244, "")</f>
        <v/>
      </c>
      <c r="AT244" s="1" t="str">
        <f>IF(AND(AR244&gt;0, _xlfn.XLOOKUP($AM244, Discretionaries!$A$2:'Discretionaries'!$A$150, Discretionaries!$B$2:'Discretionaries'!$B$150)),AS244-$Q244,"")</f>
        <v/>
      </c>
    </row>
    <row r="245" spans="1:46" x14ac:dyDescent="0.3">
      <c r="A245" t="s">
        <v>425</v>
      </c>
      <c r="B245" t="str">
        <f t="shared" si="75"/>
        <v>20</v>
      </c>
      <c r="C245" t="s">
        <v>428</v>
      </c>
      <c r="D245" t="str">
        <f t="shared" si="76"/>
        <v>11</v>
      </c>
      <c r="E245" t="s">
        <v>21</v>
      </c>
      <c r="F245" s="139" t="s">
        <v>111</v>
      </c>
      <c r="G245" t="s">
        <v>112</v>
      </c>
      <c r="H245" s="156">
        <v>5100</v>
      </c>
      <c r="I245" s="156">
        <v>0</v>
      </c>
      <c r="J245" s="156">
        <v>0</v>
      </c>
      <c r="K245" s="156">
        <v>0</v>
      </c>
      <c r="L245" s="156">
        <v>0</v>
      </c>
      <c r="M245" s="156">
        <v>0</v>
      </c>
      <c r="N245" s="156">
        <v>0</v>
      </c>
      <c r="O245" s="156">
        <v>0</v>
      </c>
      <c r="P245" s="156">
        <v>0</v>
      </c>
      <c r="Q245" s="156">
        <v>0</v>
      </c>
      <c r="R245" s="156">
        <v>0</v>
      </c>
      <c r="S245" s="156">
        <f t="shared" si="77"/>
        <v>0</v>
      </c>
      <c r="T245" s="156">
        <f t="shared" si="78"/>
        <v>0</v>
      </c>
      <c r="U245" s="140" t="str">
        <f t="shared" si="79"/>
        <v/>
      </c>
      <c r="V245" s="140">
        <f t="shared" si="80"/>
        <v>-1</v>
      </c>
      <c r="W245" s="140" t="str">
        <f t="shared" si="81"/>
        <v/>
      </c>
      <c r="X245" s="140" t="str">
        <f t="shared" si="82"/>
        <v/>
      </c>
      <c r="Y245" s="140">
        <f t="shared" si="83"/>
        <v>-1</v>
      </c>
      <c r="Z245" s="140" t="str">
        <f t="shared" si="84"/>
        <v/>
      </c>
      <c r="AA245" s="140" t="str">
        <f t="shared" si="85"/>
        <v/>
      </c>
      <c r="AB245" s="140" t="str">
        <f t="shared" si="86"/>
        <v/>
      </c>
      <c r="AC245" s="140" t="str">
        <f t="shared" si="87"/>
        <v/>
      </c>
      <c r="AD245" s="140">
        <f t="shared" si="88"/>
        <v>-1</v>
      </c>
      <c r="AE245" s="140" t="str">
        <f t="shared" si="89"/>
        <v/>
      </c>
      <c r="AF245" s="140" t="str">
        <f t="shared" si="90"/>
        <v/>
      </c>
      <c r="AG245" s="140" t="str">
        <f t="shared" si="91"/>
        <v/>
      </c>
      <c r="AH245" s="140" t="str">
        <f t="shared" si="92"/>
        <v/>
      </c>
      <c r="AI245" s="140">
        <f t="shared" si="93"/>
        <v>-1</v>
      </c>
      <c r="AJ245" s="140">
        <f t="shared" si="94"/>
        <v>-1</v>
      </c>
      <c r="AK245" s="140">
        <f t="shared" si="95"/>
        <v>-1</v>
      </c>
      <c r="AL245" s="140">
        <f t="shared" si="96"/>
        <v>-1</v>
      </c>
      <c r="AM245" t="str">
        <f t="shared" si="97"/>
        <v>4440-000: Rental and leases Services</v>
      </c>
      <c r="AN245" s="140">
        <f t="shared" si="98"/>
        <v>-1</v>
      </c>
      <c r="AO245" s="140">
        <f t="shared" si="99"/>
        <v>1</v>
      </c>
      <c r="AP245" s="1">
        <f>IF(AND(AO245&gt;0, _xlfn.XLOOKUP($AM245, Discretionaries!$A$2:'Discretionaries'!$A$150, Discretionaries!$B$2:'Discretionaries'!$B$150)), (1+AN245)*$N245, "")</f>
        <v>0</v>
      </c>
      <c r="AQ245" s="1">
        <f>IF(AND(AO245&gt;0, _xlfn.XLOOKUP($AM245, Discretionaries!$A$2:'Discretionaries'!$A$150, Discretionaries!$B$2:'Discretionaries'!$B$150)),AP245-$Q245,"")</f>
        <v>0</v>
      </c>
      <c r="AR245" s="140">
        <f>IF(AG245="", 0-CPI!$B$15, AG245-CPI!$B$15)</f>
        <v>-3.8999999999999993E-2</v>
      </c>
      <c r="AS245" s="1" t="str">
        <f>IF(AND(AR245&gt;0, _xlfn.XLOOKUP($AM245, Discretionaries!$A$2:'Discretionaries'!$A$150, Discretionaries!$B$2:'Discretionaries'!$B$150)), (1+CPI!$B$15)*$N245, "")</f>
        <v/>
      </c>
      <c r="AT245" s="1" t="str">
        <f>IF(AND(AR245&gt;0, _xlfn.XLOOKUP($AM245, Discretionaries!$A$2:'Discretionaries'!$A$150, Discretionaries!$B$2:'Discretionaries'!$B$150)),AS245-$Q245,"")</f>
        <v/>
      </c>
    </row>
    <row r="246" spans="1:46" x14ac:dyDescent="0.3">
      <c r="A246" t="s">
        <v>425</v>
      </c>
      <c r="B246" t="str">
        <f t="shared" si="75"/>
        <v>20</v>
      </c>
      <c r="C246" t="s">
        <v>428</v>
      </c>
      <c r="D246" t="str">
        <f t="shared" si="76"/>
        <v>11</v>
      </c>
      <c r="E246" t="s">
        <v>30</v>
      </c>
      <c r="F246" s="139" t="s">
        <v>245</v>
      </c>
      <c r="G246" t="s">
        <v>246</v>
      </c>
      <c r="H246" s="156">
        <v>2935</v>
      </c>
      <c r="I246" s="156">
        <v>6859.84</v>
      </c>
      <c r="J246" s="156">
        <v>2935</v>
      </c>
      <c r="K246" s="156">
        <v>4995.8999999999996</v>
      </c>
      <c r="L246" s="156">
        <v>2935</v>
      </c>
      <c r="M246" s="156">
        <v>13122.99</v>
      </c>
      <c r="N246" s="156">
        <v>10000</v>
      </c>
      <c r="O246" s="156">
        <v>10000</v>
      </c>
      <c r="P246" s="156">
        <v>10000</v>
      </c>
      <c r="Q246" s="156">
        <v>10000</v>
      </c>
      <c r="R246" s="156">
        <v>10000</v>
      </c>
      <c r="S246" s="156">
        <f t="shared" si="77"/>
        <v>0</v>
      </c>
      <c r="T246" s="156">
        <f t="shared" si="78"/>
        <v>0</v>
      </c>
      <c r="U246" s="140">
        <f t="shared" si="79"/>
        <v>0</v>
      </c>
      <c r="V246" s="140">
        <f t="shared" si="80"/>
        <v>1.3372538330494037</v>
      </c>
      <c r="W246" s="140">
        <f t="shared" si="81"/>
        <v>0.70218057921635424</v>
      </c>
      <c r="X246" s="140">
        <f t="shared" si="82"/>
        <v>3.471206132879046</v>
      </c>
      <c r="Y246" s="140">
        <f t="shared" si="83"/>
        <v>0</v>
      </c>
      <c r="Z246" s="140">
        <f t="shared" si="84"/>
        <v>-0.27171770770163745</v>
      </c>
      <c r="AA246" s="140">
        <f t="shared" si="85"/>
        <v>0</v>
      </c>
      <c r="AB246" s="140">
        <f t="shared" si="86"/>
        <v>1.6267519365880023</v>
      </c>
      <c r="AC246" s="140">
        <f t="shared" si="87"/>
        <v>2.4071550255536627</v>
      </c>
      <c r="AD246" s="140">
        <f t="shared" si="88"/>
        <v>2.4071550255536627</v>
      </c>
      <c r="AE246" s="140">
        <f t="shared" si="89"/>
        <v>0</v>
      </c>
      <c r="AF246" s="140">
        <f t="shared" si="90"/>
        <v>0</v>
      </c>
      <c r="AG246" s="140">
        <f t="shared" si="91"/>
        <v>0</v>
      </c>
      <c r="AH246" s="140">
        <f t="shared" si="92"/>
        <v>0</v>
      </c>
      <c r="AI246" s="140">
        <f t="shared" si="93"/>
        <v>2.4071550255536627</v>
      </c>
      <c r="AJ246" s="140">
        <f t="shared" si="94"/>
        <v>2.4071550255536627</v>
      </c>
      <c r="AK246" s="140">
        <f t="shared" si="95"/>
        <v>2.4071550255536627</v>
      </c>
      <c r="AL246" s="140">
        <f t="shared" si="96"/>
        <v>2.4071550255536627</v>
      </c>
      <c r="AM246" t="str">
        <f t="shared" si="97"/>
        <v>4611-000: K-9 supplies Supplies</v>
      </c>
      <c r="AN246" s="140">
        <f t="shared" si="98"/>
        <v>0.80238500851788752</v>
      </c>
      <c r="AO246" s="140">
        <f t="shared" si="99"/>
        <v>-0.80238500851788752</v>
      </c>
      <c r="AP246" s="1" t="str">
        <f>IF(AND(AO246&gt;0, _xlfn.XLOOKUP($AM246, Discretionaries!$A$2:'Discretionaries'!$A$150, Discretionaries!$B$2:'Discretionaries'!$B$150)), (1+AN246)*$N246, "")</f>
        <v/>
      </c>
      <c r="AQ246" s="1" t="str">
        <f>IF(AND(AO246&gt;0, _xlfn.XLOOKUP($AM246, Discretionaries!$A$2:'Discretionaries'!$A$150, Discretionaries!$B$2:'Discretionaries'!$B$150)),AP246-$Q246,"")</f>
        <v/>
      </c>
      <c r="AR246" s="140">
        <f>IF(AG246="", 0-CPI!$B$15, AG246-CPI!$B$15)</f>
        <v>-3.8999999999999993E-2</v>
      </c>
      <c r="AS246" s="1" t="str">
        <f>IF(AND(AR246&gt;0, _xlfn.XLOOKUP($AM246, Discretionaries!$A$2:'Discretionaries'!$A$150, Discretionaries!$B$2:'Discretionaries'!$B$150)), (1+CPI!$B$15)*$N246, "")</f>
        <v/>
      </c>
      <c r="AT246" s="1" t="str">
        <f>IF(AND(AR246&gt;0, _xlfn.XLOOKUP($AM246, Discretionaries!$A$2:'Discretionaries'!$A$150, Discretionaries!$B$2:'Discretionaries'!$B$150)),AS246-$Q246,"")</f>
        <v/>
      </c>
    </row>
    <row r="247" spans="1:46" x14ac:dyDescent="0.3">
      <c r="A247" t="s">
        <v>425</v>
      </c>
      <c r="B247" t="str">
        <f t="shared" si="75"/>
        <v>20</v>
      </c>
      <c r="C247" t="s">
        <v>428</v>
      </c>
      <c r="D247" t="str">
        <f t="shared" si="76"/>
        <v>11</v>
      </c>
      <c r="E247" t="s">
        <v>30</v>
      </c>
      <c r="F247" s="139" t="s">
        <v>170</v>
      </c>
      <c r="G247" t="s">
        <v>171</v>
      </c>
      <c r="H247" s="156">
        <v>0</v>
      </c>
      <c r="I247" s="156">
        <v>0</v>
      </c>
      <c r="J247" s="156">
        <v>0</v>
      </c>
      <c r="K247" s="156">
        <v>0</v>
      </c>
      <c r="L247" s="156">
        <v>0</v>
      </c>
      <c r="M247" s="156">
        <v>4825</v>
      </c>
      <c r="N247" s="156">
        <v>0</v>
      </c>
      <c r="O247" s="156">
        <v>0</v>
      </c>
      <c r="P247" s="156">
        <v>0</v>
      </c>
      <c r="Q247" s="156">
        <v>0</v>
      </c>
      <c r="R247" s="156">
        <v>0</v>
      </c>
      <c r="S247" s="156">
        <f t="shared" si="77"/>
        <v>0</v>
      </c>
      <c r="T247" s="156">
        <f t="shared" si="78"/>
        <v>0</v>
      </c>
      <c r="U247" s="140" t="str">
        <f t="shared" si="79"/>
        <v/>
      </c>
      <c r="V247" s="140" t="str">
        <f t="shared" si="80"/>
        <v/>
      </c>
      <c r="W247" s="140" t="str">
        <f t="shared" si="81"/>
        <v/>
      </c>
      <c r="X247" s="140" t="str">
        <f t="shared" si="82"/>
        <v/>
      </c>
      <c r="Y247" s="140" t="str">
        <f t="shared" si="83"/>
        <v/>
      </c>
      <c r="Z247" s="140" t="str">
        <f t="shared" si="84"/>
        <v/>
      </c>
      <c r="AA247" s="140" t="str">
        <f t="shared" si="85"/>
        <v/>
      </c>
      <c r="AB247" s="140" t="str">
        <f t="shared" si="86"/>
        <v/>
      </c>
      <c r="AC247" s="140" t="str">
        <f t="shared" si="87"/>
        <v/>
      </c>
      <c r="AD247" s="140" t="str">
        <f t="shared" si="88"/>
        <v/>
      </c>
      <c r="AE247" s="140" t="str">
        <f t="shared" si="89"/>
        <v/>
      </c>
      <c r="AF247" s="140" t="str">
        <f t="shared" si="90"/>
        <v/>
      </c>
      <c r="AG247" s="140" t="str">
        <f t="shared" si="91"/>
        <v/>
      </c>
      <c r="AH247" s="140" t="str">
        <f t="shared" si="92"/>
        <v/>
      </c>
      <c r="AI247" s="140" t="str">
        <f t="shared" si="93"/>
        <v/>
      </c>
      <c r="AJ247" s="140" t="str">
        <f t="shared" si="94"/>
        <v/>
      </c>
      <c r="AK247" s="140" t="str">
        <f t="shared" si="95"/>
        <v/>
      </c>
      <c r="AL247" s="140" t="str">
        <f t="shared" si="96"/>
        <v/>
      </c>
      <c r="AM247" t="str">
        <f t="shared" si="97"/>
        <v>4660-000: Vehicle repairs Supplies</v>
      </c>
      <c r="AN247" s="140">
        <f t="shared" si="98"/>
        <v>0</v>
      </c>
      <c r="AO247" s="140">
        <f t="shared" si="99"/>
        <v>0</v>
      </c>
      <c r="AP247" s="1" t="str">
        <f>IF(AND(AO247&gt;0, _xlfn.XLOOKUP($AM247, Discretionaries!$A$2:'Discretionaries'!$A$150, Discretionaries!$B$2:'Discretionaries'!$B$150)), (1+AN247)*$N247, "")</f>
        <v/>
      </c>
      <c r="AQ247" s="1" t="str">
        <f>IF(AND(AO247&gt;0, _xlfn.XLOOKUP($AM247, Discretionaries!$A$2:'Discretionaries'!$A$150, Discretionaries!$B$2:'Discretionaries'!$B$150)),AP247-$Q247,"")</f>
        <v/>
      </c>
      <c r="AR247" s="140">
        <f>IF(AG247="", 0-CPI!$B$15, AG247-CPI!$B$15)</f>
        <v>-3.8999999999999993E-2</v>
      </c>
      <c r="AS247" s="1" t="str">
        <f>IF(AND(AR247&gt;0, _xlfn.XLOOKUP($AM247, Discretionaries!$A$2:'Discretionaries'!$A$150, Discretionaries!$B$2:'Discretionaries'!$B$150)), (1+CPI!$B$15)*$N247, "")</f>
        <v/>
      </c>
      <c r="AT247" s="1" t="str">
        <f>IF(AND(AR247&gt;0, _xlfn.XLOOKUP($AM247, Discretionaries!$A$2:'Discretionaries'!$A$150, Discretionaries!$B$2:'Discretionaries'!$B$150)),AS247-$Q247,"")</f>
        <v/>
      </c>
    </row>
    <row r="248" spans="1:46" x14ac:dyDescent="0.3">
      <c r="A248" t="s">
        <v>425</v>
      </c>
      <c r="B248" t="str">
        <f t="shared" si="75"/>
        <v>20</v>
      </c>
      <c r="C248" t="s">
        <v>428</v>
      </c>
      <c r="D248" t="str">
        <f t="shared" si="76"/>
        <v>11</v>
      </c>
      <c r="E248" t="s">
        <v>54</v>
      </c>
      <c r="F248" s="139" t="s">
        <v>114</v>
      </c>
      <c r="G248" t="s">
        <v>115</v>
      </c>
      <c r="H248" s="156">
        <v>32177</v>
      </c>
      <c r="I248" s="156">
        <v>0</v>
      </c>
      <c r="J248" s="156">
        <v>32177</v>
      </c>
      <c r="K248" s="156">
        <v>0</v>
      </c>
      <c r="L248" s="156">
        <v>32177</v>
      </c>
      <c r="M248" s="156">
        <v>235640.25</v>
      </c>
      <c r="N248" s="156">
        <v>0</v>
      </c>
      <c r="O248" s="156">
        <v>0</v>
      </c>
      <c r="P248" s="156">
        <v>0</v>
      </c>
      <c r="Q248" s="156">
        <v>0</v>
      </c>
      <c r="R248" s="156">
        <v>0</v>
      </c>
      <c r="S248" s="156">
        <f t="shared" si="77"/>
        <v>0</v>
      </c>
      <c r="T248" s="156">
        <f t="shared" si="78"/>
        <v>0</v>
      </c>
      <c r="U248" s="140" t="str">
        <f t="shared" si="79"/>
        <v/>
      </c>
      <c r="V248" s="140">
        <f t="shared" si="80"/>
        <v>-1</v>
      </c>
      <c r="W248" s="140">
        <f t="shared" si="81"/>
        <v>-1</v>
      </c>
      <c r="X248" s="140">
        <f t="shared" si="82"/>
        <v>6.3232510799639492</v>
      </c>
      <c r="Y248" s="140">
        <f t="shared" si="83"/>
        <v>0</v>
      </c>
      <c r="Z248" s="140" t="str">
        <f t="shared" si="84"/>
        <v/>
      </c>
      <c r="AA248" s="140">
        <f t="shared" si="85"/>
        <v>0</v>
      </c>
      <c r="AB248" s="140" t="str">
        <f t="shared" si="86"/>
        <v/>
      </c>
      <c r="AC248" s="140">
        <f t="shared" si="87"/>
        <v>-1</v>
      </c>
      <c r="AD248" s="140">
        <f t="shared" si="88"/>
        <v>-1</v>
      </c>
      <c r="AE248" s="140" t="str">
        <f t="shared" si="89"/>
        <v/>
      </c>
      <c r="AF248" s="140" t="str">
        <f t="shared" si="90"/>
        <v/>
      </c>
      <c r="AG248" s="140" t="str">
        <f t="shared" si="91"/>
        <v/>
      </c>
      <c r="AH248" s="140" t="str">
        <f t="shared" si="92"/>
        <v/>
      </c>
      <c r="AI248" s="140">
        <f t="shared" si="93"/>
        <v>-1</v>
      </c>
      <c r="AJ248" s="140">
        <f t="shared" si="94"/>
        <v>-1</v>
      </c>
      <c r="AK248" s="140">
        <f t="shared" si="95"/>
        <v>-1</v>
      </c>
      <c r="AL248" s="140">
        <f t="shared" si="96"/>
        <v>-1</v>
      </c>
      <c r="AM248" t="str">
        <f t="shared" si="97"/>
        <v>4740-000: Mach &amp; equip Property</v>
      </c>
      <c r="AN248" s="140">
        <f t="shared" si="98"/>
        <v>-0.33333333333333331</v>
      </c>
      <c r="AO248" s="140">
        <f t="shared" si="99"/>
        <v>0.33333333333333331</v>
      </c>
      <c r="AP248" s="1">
        <f>IF(AND(AO248&gt;0, _xlfn.XLOOKUP($AM248, Discretionaries!$A$2:'Discretionaries'!$A$150, Discretionaries!$B$2:'Discretionaries'!$B$150)), (1+AN248)*$N248, "")</f>
        <v>0</v>
      </c>
      <c r="AQ248" s="1">
        <f>IF(AND(AO248&gt;0, _xlfn.XLOOKUP($AM248, Discretionaries!$A$2:'Discretionaries'!$A$150, Discretionaries!$B$2:'Discretionaries'!$B$150)),AP248-$Q248,"")</f>
        <v>0</v>
      </c>
      <c r="AR248" s="140">
        <f>IF(AG248="", 0-CPI!$B$15, AG248-CPI!$B$15)</f>
        <v>-3.8999999999999993E-2</v>
      </c>
      <c r="AS248" s="1" t="str">
        <f>IF(AND(AR248&gt;0, _xlfn.XLOOKUP($AM248, Discretionaries!$A$2:'Discretionaries'!$A$150, Discretionaries!$B$2:'Discretionaries'!$B$150)), (1+CPI!$B$15)*$N248, "")</f>
        <v/>
      </c>
      <c r="AT248" s="1" t="str">
        <f>IF(AND(AR248&gt;0, _xlfn.XLOOKUP($AM248, Discretionaries!$A$2:'Discretionaries'!$A$150, Discretionaries!$B$2:'Discretionaries'!$B$150)),AS248-$Q248,"")</f>
        <v/>
      </c>
    </row>
    <row r="249" spans="1:46" x14ac:dyDescent="0.3">
      <c r="A249" t="s">
        <v>425</v>
      </c>
      <c r="B249" t="str">
        <f t="shared" si="75"/>
        <v>20</v>
      </c>
      <c r="C249" t="s">
        <v>428</v>
      </c>
      <c r="D249" t="str">
        <f t="shared" si="76"/>
        <v>11</v>
      </c>
      <c r="E249" t="s">
        <v>54</v>
      </c>
      <c r="F249" s="139" t="s">
        <v>247</v>
      </c>
      <c r="G249" t="s">
        <v>248</v>
      </c>
      <c r="H249" s="156">
        <v>0</v>
      </c>
      <c r="I249" s="156">
        <v>0</v>
      </c>
      <c r="J249" s="156">
        <v>0</v>
      </c>
      <c r="K249" s="156">
        <v>21435.75</v>
      </c>
      <c r="L249" s="156">
        <v>0</v>
      </c>
      <c r="N249" s="156">
        <v>0</v>
      </c>
      <c r="O249" s="156">
        <v>0</v>
      </c>
      <c r="P249" s="156">
        <v>0</v>
      </c>
      <c r="Q249" s="156">
        <v>0</v>
      </c>
      <c r="R249" s="156">
        <v>0</v>
      </c>
      <c r="S249" s="156">
        <f t="shared" si="77"/>
        <v>0</v>
      </c>
      <c r="T249" s="156">
        <f t="shared" si="78"/>
        <v>0</v>
      </c>
      <c r="U249" s="140" t="str">
        <f t="shared" si="79"/>
        <v/>
      </c>
      <c r="V249" s="140" t="str">
        <f t="shared" si="80"/>
        <v/>
      </c>
      <c r="W249" s="140" t="str">
        <f t="shared" si="81"/>
        <v/>
      </c>
      <c r="X249" s="140" t="str">
        <f t="shared" si="82"/>
        <v/>
      </c>
      <c r="Y249" s="140" t="str">
        <f t="shared" si="83"/>
        <v/>
      </c>
      <c r="Z249" s="140" t="str">
        <f t="shared" si="84"/>
        <v/>
      </c>
      <c r="AA249" s="140" t="str">
        <f t="shared" si="85"/>
        <v/>
      </c>
      <c r="AB249" s="140">
        <f t="shared" si="86"/>
        <v>-1</v>
      </c>
      <c r="AC249" s="140" t="str">
        <f t="shared" si="87"/>
        <v/>
      </c>
      <c r="AD249" s="140" t="str">
        <f t="shared" si="88"/>
        <v/>
      </c>
      <c r="AE249" s="140" t="str">
        <f t="shared" si="89"/>
        <v/>
      </c>
      <c r="AF249" s="140" t="str">
        <f t="shared" si="90"/>
        <v/>
      </c>
      <c r="AG249" s="140" t="str">
        <f t="shared" si="91"/>
        <v/>
      </c>
      <c r="AH249" s="140" t="str">
        <f t="shared" si="92"/>
        <v/>
      </c>
      <c r="AI249" s="140" t="str">
        <f t="shared" si="93"/>
        <v/>
      </c>
      <c r="AJ249" s="140" t="str">
        <f t="shared" si="94"/>
        <v/>
      </c>
      <c r="AK249" s="140" t="str">
        <f t="shared" si="95"/>
        <v/>
      </c>
      <c r="AL249" s="140" t="str">
        <f t="shared" si="96"/>
        <v/>
      </c>
      <c r="AM249" t="str">
        <f t="shared" si="97"/>
        <v>4760-000: Imp Other than Building Other Property</v>
      </c>
      <c r="AN249" s="140">
        <f t="shared" si="98"/>
        <v>0</v>
      </c>
      <c r="AO249" s="140">
        <f t="shared" si="99"/>
        <v>0</v>
      </c>
      <c r="AP249" s="1" t="str">
        <f>IF(AND(AO249&gt;0, _xlfn.XLOOKUP($AM249, Discretionaries!$A$2:'Discretionaries'!$A$150, Discretionaries!$B$2:'Discretionaries'!$B$150)), (1+AN249)*$N249, "")</f>
        <v/>
      </c>
      <c r="AQ249" s="1" t="str">
        <f>IF(AND(AO249&gt;0, _xlfn.XLOOKUP($AM249, Discretionaries!$A$2:'Discretionaries'!$A$150, Discretionaries!$B$2:'Discretionaries'!$B$150)),AP249-$Q249,"")</f>
        <v/>
      </c>
      <c r="AR249" s="140">
        <f>IF(AG249="", 0-CPI!$B$15, AG249-CPI!$B$15)</f>
        <v>-3.8999999999999993E-2</v>
      </c>
      <c r="AS249" s="1" t="str">
        <f>IF(AND(AR249&gt;0, _xlfn.XLOOKUP($AM249, Discretionaries!$A$2:'Discretionaries'!$A$150, Discretionaries!$B$2:'Discretionaries'!$B$150)), (1+CPI!$B$15)*$N249, "")</f>
        <v/>
      </c>
      <c r="AT249" s="1" t="str">
        <f>IF(AND(AR249&gt;0, _xlfn.XLOOKUP($AM249, Discretionaries!$A$2:'Discretionaries'!$A$150, Discretionaries!$B$2:'Discretionaries'!$B$150)),AS249-$Q249,"")</f>
        <v/>
      </c>
    </row>
    <row r="250" spans="1:46" x14ac:dyDescent="0.3">
      <c r="A250" t="s">
        <v>425</v>
      </c>
      <c r="B250" t="str">
        <f t="shared" si="75"/>
        <v>20</v>
      </c>
      <c r="C250" t="s">
        <v>429</v>
      </c>
      <c r="D250" t="str">
        <f t="shared" si="76"/>
        <v>12</v>
      </c>
      <c r="E250" t="s">
        <v>11</v>
      </c>
      <c r="F250" s="139" t="s">
        <v>35</v>
      </c>
      <c r="G250" t="s">
        <v>36</v>
      </c>
      <c r="H250" s="156">
        <v>605177</v>
      </c>
      <c r="I250" s="156">
        <v>576188.18999999994</v>
      </c>
      <c r="J250" s="156">
        <v>601574</v>
      </c>
      <c r="K250" s="156">
        <v>581559.09</v>
      </c>
      <c r="L250" s="156">
        <v>632468</v>
      </c>
      <c r="M250" s="156">
        <v>573343.4</v>
      </c>
      <c r="N250" s="156">
        <v>597152</v>
      </c>
      <c r="O250" s="156">
        <v>608749</v>
      </c>
      <c r="P250" s="156">
        <v>608749</v>
      </c>
      <c r="Q250" s="156">
        <v>608749</v>
      </c>
      <c r="R250" s="156">
        <v>608749</v>
      </c>
      <c r="S250" s="156">
        <f t="shared" si="77"/>
        <v>11597</v>
      </c>
      <c r="T250" s="156">
        <f t="shared" si="78"/>
        <v>0</v>
      </c>
      <c r="U250" s="140">
        <f t="shared" si="79"/>
        <v>1.942051604951503E-2</v>
      </c>
      <c r="V250" s="140">
        <f t="shared" si="80"/>
        <v>-4.7901374308673424E-2</v>
      </c>
      <c r="W250" s="140">
        <f t="shared" si="81"/>
        <v>-3.3270902665341308E-2</v>
      </c>
      <c r="X250" s="140">
        <f t="shared" si="82"/>
        <v>-9.3482358000720953E-2</v>
      </c>
      <c r="Y250" s="140">
        <f t="shared" si="83"/>
        <v>-5.9536300949970013E-3</v>
      </c>
      <c r="Z250" s="140">
        <f t="shared" si="84"/>
        <v>9.3214336795067309E-3</v>
      </c>
      <c r="AA250" s="140">
        <f t="shared" si="85"/>
        <v>5.1355277987413017E-2</v>
      </c>
      <c r="AB250" s="140">
        <f t="shared" si="86"/>
        <v>-1.4127008142886985E-2</v>
      </c>
      <c r="AC250" s="140">
        <f t="shared" si="87"/>
        <v>-5.5838398148206708E-2</v>
      </c>
      <c r="AD250" s="140">
        <f t="shared" si="88"/>
        <v>-1.3260583267374669E-2</v>
      </c>
      <c r="AE250" s="140">
        <f t="shared" si="89"/>
        <v>1.942051604951503E-2</v>
      </c>
      <c r="AF250" s="140">
        <f t="shared" si="90"/>
        <v>1.942051604951503E-2</v>
      </c>
      <c r="AG250" s="140">
        <f t="shared" si="91"/>
        <v>1.942051604951503E-2</v>
      </c>
      <c r="AH250" s="140">
        <f t="shared" si="92"/>
        <v>1.942051604951503E-2</v>
      </c>
      <c r="AI250" s="140">
        <f t="shared" si="93"/>
        <v>5.9024054119703826E-3</v>
      </c>
      <c r="AJ250" s="140">
        <f t="shared" si="94"/>
        <v>5.9024054119703826E-3</v>
      </c>
      <c r="AK250" s="140">
        <f t="shared" si="95"/>
        <v>5.9024054119703826E-3</v>
      </c>
      <c r="AL250" s="140">
        <f t="shared" si="96"/>
        <v>5.9024054119703826E-3</v>
      </c>
      <c r="AM250" t="str">
        <f t="shared" si="97"/>
        <v>4110-000: Regular Salaries</v>
      </c>
      <c r="AN250" s="140">
        <f t="shared" si="98"/>
        <v>-3.4789167519302298E-3</v>
      </c>
      <c r="AO250" s="140">
        <f t="shared" si="99"/>
        <v>2.2899432801445258E-2</v>
      </c>
      <c r="AP250" s="1" t="str">
        <f>IF(AND(AO250&gt;0, _xlfn.XLOOKUP($AM250, Discretionaries!$A$2:'Discretionaries'!$A$150, Discretionaries!$B$2:'Discretionaries'!$B$150)), (1+AN250)*$N250, "")</f>
        <v/>
      </c>
      <c r="AQ250" s="1" t="str">
        <f>IF(AND(AO250&gt;0, _xlfn.XLOOKUP($AM250, Discretionaries!$A$2:'Discretionaries'!$A$150, Discretionaries!$B$2:'Discretionaries'!$B$150)),AP250-$Q250,"")</f>
        <v/>
      </c>
      <c r="AR250" s="140">
        <f>IF(AG250="", 0-CPI!$B$15, AG250-CPI!$B$15)</f>
        <v>-1.9579483950484963E-2</v>
      </c>
      <c r="AS250" s="1" t="str">
        <f>IF(AND(AR250&gt;0, _xlfn.XLOOKUP($AM250, Discretionaries!$A$2:'Discretionaries'!$A$150, Discretionaries!$B$2:'Discretionaries'!$B$150)), (1+CPI!$B$15)*$N250, "")</f>
        <v/>
      </c>
      <c r="AT250" s="1" t="str">
        <f>IF(AND(AR250&gt;0, _xlfn.XLOOKUP($AM250, Discretionaries!$A$2:'Discretionaries'!$A$150, Discretionaries!$B$2:'Discretionaries'!$B$150)),AS250-$Q250,"")</f>
        <v/>
      </c>
    </row>
    <row r="251" spans="1:46" x14ac:dyDescent="0.3">
      <c r="A251" t="s">
        <v>425</v>
      </c>
      <c r="B251" t="str">
        <f t="shared" si="75"/>
        <v>20</v>
      </c>
      <c r="C251" t="s">
        <v>429</v>
      </c>
      <c r="D251" t="str">
        <f t="shared" si="76"/>
        <v>12</v>
      </c>
      <c r="E251" t="s">
        <v>11</v>
      </c>
      <c r="F251" s="139" t="s">
        <v>37</v>
      </c>
      <c r="G251" t="s">
        <v>38</v>
      </c>
      <c r="H251" s="156">
        <v>148125</v>
      </c>
      <c r="I251" s="156">
        <v>96536.67</v>
      </c>
      <c r="J251" s="156">
        <v>149663</v>
      </c>
      <c r="K251" s="156">
        <v>110627.68</v>
      </c>
      <c r="L251" s="156">
        <v>187989</v>
      </c>
      <c r="M251" s="156">
        <v>103777.60000000001</v>
      </c>
      <c r="N251" s="156">
        <v>195397</v>
      </c>
      <c r="O251" s="156">
        <v>202482</v>
      </c>
      <c r="P251" s="156">
        <v>202482</v>
      </c>
      <c r="Q251" s="156">
        <v>202482</v>
      </c>
      <c r="R251" s="156">
        <v>202482</v>
      </c>
      <c r="S251" s="156">
        <f t="shared" si="77"/>
        <v>7085</v>
      </c>
      <c r="T251" s="156">
        <f t="shared" si="78"/>
        <v>0</v>
      </c>
      <c r="U251" s="140">
        <f t="shared" si="79"/>
        <v>3.6259512684432206E-2</v>
      </c>
      <c r="V251" s="140">
        <f t="shared" si="80"/>
        <v>-0.34827564556962026</v>
      </c>
      <c r="W251" s="140">
        <f t="shared" si="81"/>
        <v>-0.2608214455142554</v>
      </c>
      <c r="X251" s="140">
        <f t="shared" si="82"/>
        <v>-0.44795918910148996</v>
      </c>
      <c r="Y251" s="140">
        <f t="shared" si="83"/>
        <v>1.0383122362869198E-2</v>
      </c>
      <c r="Z251" s="140">
        <f t="shared" si="84"/>
        <v>0.14596536217791639</v>
      </c>
      <c r="AA251" s="140">
        <f t="shared" si="85"/>
        <v>0.25608199755450578</v>
      </c>
      <c r="AB251" s="140">
        <f t="shared" si="86"/>
        <v>-6.1920127042345889E-2</v>
      </c>
      <c r="AC251" s="140">
        <f t="shared" si="87"/>
        <v>3.9406561022187467E-2</v>
      </c>
      <c r="AD251" s="140">
        <f t="shared" si="88"/>
        <v>0.31913586497890295</v>
      </c>
      <c r="AE251" s="140">
        <f t="shared" si="89"/>
        <v>3.6259512684432206E-2</v>
      </c>
      <c r="AF251" s="140">
        <f t="shared" si="90"/>
        <v>3.6259512684432206E-2</v>
      </c>
      <c r="AG251" s="140">
        <f t="shared" si="91"/>
        <v>3.6259512684432206E-2</v>
      </c>
      <c r="AH251" s="140">
        <f t="shared" si="92"/>
        <v>3.6259512684432206E-2</v>
      </c>
      <c r="AI251" s="140">
        <f t="shared" si="93"/>
        <v>0.36696708860759492</v>
      </c>
      <c r="AJ251" s="140">
        <f t="shared" si="94"/>
        <v>0.36696708860759492</v>
      </c>
      <c r="AK251" s="140">
        <f t="shared" si="95"/>
        <v>0.36696708860759492</v>
      </c>
      <c r="AL251" s="140">
        <f t="shared" si="96"/>
        <v>0.36696708860759492</v>
      </c>
      <c r="AM251" t="str">
        <f t="shared" si="97"/>
        <v>4120-000: Part-time Salaries</v>
      </c>
      <c r="AN251" s="140">
        <f t="shared" si="98"/>
        <v>0.10195722697985415</v>
      </c>
      <c r="AO251" s="140">
        <f t="shared" si="99"/>
        <v>-6.5697714295421955E-2</v>
      </c>
      <c r="AP251" s="1" t="str">
        <f>IF(AND(AO251&gt;0, _xlfn.XLOOKUP($AM251, Discretionaries!$A$2:'Discretionaries'!$A$150, Discretionaries!$B$2:'Discretionaries'!$B$150)), (1+AN251)*$N251, "")</f>
        <v/>
      </c>
      <c r="AQ251" s="1" t="str">
        <f>IF(AND(AO251&gt;0, _xlfn.XLOOKUP($AM251, Discretionaries!$A$2:'Discretionaries'!$A$150, Discretionaries!$B$2:'Discretionaries'!$B$150)),AP251-$Q251,"")</f>
        <v/>
      </c>
      <c r="AR251" s="140">
        <f>IF(AG251="", 0-CPI!$B$15, AG251-CPI!$B$15)</f>
        <v>-2.740487315567787E-3</v>
      </c>
      <c r="AS251" s="1" t="str">
        <f>IF(AND(AR251&gt;0, _xlfn.XLOOKUP($AM251, Discretionaries!$A$2:'Discretionaries'!$A$150, Discretionaries!$B$2:'Discretionaries'!$B$150)), (1+CPI!$B$15)*$N251, "")</f>
        <v/>
      </c>
      <c r="AT251" s="1" t="str">
        <f>IF(AND(AR251&gt;0, _xlfn.XLOOKUP($AM251, Discretionaries!$A$2:'Discretionaries'!$A$150, Discretionaries!$B$2:'Discretionaries'!$B$150)),AS251-$Q251,"")</f>
        <v/>
      </c>
    </row>
    <row r="252" spans="1:46" x14ac:dyDescent="0.3">
      <c r="A252" t="s">
        <v>425</v>
      </c>
      <c r="B252" t="str">
        <f t="shared" si="75"/>
        <v>20</v>
      </c>
      <c r="C252" t="s">
        <v>429</v>
      </c>
      <c r="D252" t="str">
        <f t="shared" si="76"/>
        <v>12</v>
      </c>
      <c r="E252" t="s">
        <v>11</v>
      </c>
      <c r="F252" s="139" t="s">
        <v>39</v>
      </c>
      <c r="G252" t="s">
        <v>40</v>
      </c>
      <c r="H252" s="156">
        <v>80497</v>
      </c>
      <c r="I252" s="156">
        <v>162664.89000000001</v>
      </c>
      <c r="J252" s="156">
        <v>94225</v>
      </c>
      <c r="K252" s="156">
        <v>128939.11</v>
      </c>
      <c r="L252" s="156">
        <v>112542</v>
      </c>
      <c r="M252" s="156">
        <v>72740.75</v>
      </c>
      <c r="N252" s="156">
        <v>112542</v>
      </c>
      <c r="O252" s="156">
        <v>112542</v>
      </c>
      <c r="P252" s="156">
        <v>112542</v>
      </c>
      <c r="Q252" s="156">
        <v>112542</v>
      </c>
      <c r="R252" s="156">
        <v>112542</v>
      </c>
      <c r="S252" s="156">
        <f t="shared" si="77"/>
        <v>0</v>
      </c>
      <c r="T252" s="156">
        <f t="shared" si="78"/>
        <v>0</v>
      </c>
      <c r="U252" s="140">
        <f t="shared" si="79"/>
        <v>0</v>
      </c>
      <c r="V252" s="140">
        <f t="shared" si="80"/>
        <v>1.0207571710746985</v>
      </c>
      <c r="W252" s="140">
        <f t="shared" si="81"/>
        <v>0.36841719288936059</v>
      </c>
      <c r="X252" s="140">
        <f t="shared" si="82"/>
        <v>-0.3536568569956105</v>
      </c>
      <c r="Y252" s="140">
        <f t="shared" si="83"/>
        <v>0.17054051703790205</v>
      </c>
      <c r="Z252" s="140">
        <f t="shared" si="84"/>
        <v>-0.20733287927099703</v>
      </c>
      <c r="AA252" s="140">
        <f t="shared" si="85"/>
        <v>0.19439639161581321</v>
      </c>
      <c r="AB252" s="140">
        <f t="shared" si="86"/>
        <v>-0.4358519304189396</v>
      </c>
      <c r="AC252" s="140">
        <f t="shared" si="87"/>
        <v>0</v>
      </c>
      <c r="AD252" s="140">
        <f t="shared" si="88"/>
        <v>0.3980893697901785</v>
      </c>
      <c r="AE252" s="140">
        <f t="shared" si="89"/>
        <v>0</v>
      </c>
      <c r="AF252" s="140">
        <f t="shared" si="90"/>
        <v>0</v>
      </c>
      <c r="AG252" s="140">
        <f t="shared" si="91"/>
        <v>0</v>
      </c>
      <c r="AH252" s="140">
        <f t="shared" si="92"/>
        <v>0</v>
      </c>
      <c r="AI252" s="140">
        <f t="shared" si="93"/>
        <v>0.3980893697901785</v>
      </c>
      <c r="AJ252" s="140">
        <f t="shared" si="94"/>
        <v>0.3980893697901785</v>
      </c>
      <c r="AK252" s="140">
        <f t="shared" si="95"/>
        <v>0.3980893697901785</v>
      </c>
      <c r="AL252" s="140">
        <f t="shared" si="96"/>
        <v>0.3980893697901785</v>
      </c>
      <c r="AM252" t="str">
        <f t="shared" si="97"/>
        <v>4140-000: Overtime Salaries</v>
      </c>
      <c r="AN252" s="140">
        <f t="shared" si="98"/>
        <v>0.12164563621790508</v>
      </c>
      <c r="AO252" s="140">
        <f t="shared" si="99"/>
        <v>-0.12164563621790508</v>
      </c>
      <c r="AP252" s="1" t="str">
        <f>IF(AND(AO252&gt;0, _xlfn.XLOOKUP($AM252, Discretionaries!$A$2:'Discretionaries'!$A$150, Discretionaries!$B$2:'Discretionaries'!$B$150)), (1+AN252)*$N252, "")</f>
        <v/>
      </c>
      <c r="AQ252" s="1" t="str">
        <f>IF(AND(AO252&gt;0, _xlfn.XLOOKUP($AM252, Discretionaries!$A$2:'Discretionaries'!$A$150, Discretionaries!$B$2:'Discretionaries'!$B$150)),AP252-$Q252,"")</f>
        <v/>
      </c>
      <c r="AR252" s="140">
        <f>IF(AG252="", 0-CPI!$B$15, AG252-CPI!$B$15)</f>
        <v>-3.8999999999999993E-2</v>
      </c>
      <c r="AS252" s="1" t="str">
        <f>IF(AND(AR252&gt;0, _xlfn.XLOOKUP($AM252, Discretionaries!$A$2:'Discretionaries'!$A$150, Discretionaries!$B$2:'Discretionaries'!$B$150)), (1+CPI!$B$15)*$N252, "")</f>
        <v/>
      </c>
      <c r="AT252" s="1" t="str">
        <f>IF(AND(AR252&gt;0, _xlfn.XLOOKUP($AM252, Discretionaries!$A$2:'Discretionaries'!$A$150, Discretionaries!$B$2:'Discretionaries'!$B$150)),AS252-$Q252,"")</f>
        <v/>
      </c>
    </row>
    <row r="253" spans="1:46" x14ac:dyDescent="0.3">
      <c r="A253" t="s">
        <v>425</v>
      </c>
      <c r="B253" t="str">
        <f t="shared" si="75"/>
        <v>20</v>
      </c>
      <c r="C253" t="s">
        <v>429</v>
      </c>
      <c r="D253" t="str">
        <f t="shared" si="76"/>
        <v>12</v>
      </c>
      <c r="E253" t="s">
        <v>11</v>
      </c>
      <c r="F253" s="139" t="s">
        <v>222</v>
      </c>
      <c r="G253" t="s">
        <v>266</v>
      </c>
      <c r="H253" s="156">
        <v>0</v>
      </c>
      <c r="I253" s="156">
        <v>0</v>
      </c>
      <c r="J253" s="156">
        <v>0</v>
      </c>
      <c r="K253" s="156">
        <v>0</v>
      </c>
      <c r="L253" s="156">
        <v>0</v>
      </c>
      <c r="M253" s="156">
        <v>0</v>
      </c>
      <c r="N253" s="156">
        <v>2484</v>
      </c>
      <c r="O253" s="156">
        <v>2545</v>
      </c>
      <c r="P253" s="156">
        <v>2545</v>
      </c>
      <c r="Q253" s="156">
        <v>2545</v>
      </c>
      <c r="R253" s="156">
        <v>2545</v>
      </c>
      <c r="S253" s="156">
        <f t="shared" si="77"/>
        <v>61</v>
      </c>
      <c r="T253" s="156">
        <f t="shared" si="78"/>
        <v>0</v>
      </c>
      <c r="U253" s="140">
        <f t="shared" si="79"/>
        <v>2.4557165861513689E-2</v>
      </c>
      <c r="V253" s="140" t="str">
        <f t="shared" si="80"/>
        <v/>
      </c>
      <c r="W253" s="140" t="str">
        <f t="shared" si="81"/>
        <v/>
      </c>
      <c r="X253" s="140" t="str">
        <f t="shared" si="82"/>
        <v/>
      </c>
      <c r="Y253" s="140" t="str">
        <f t="shared" si="83"/>
        <v/>
      </c>
      <c r="Z253" s="140" t="str">
        <f t="shared" si="84"/>
        <v/>
      </c>
      <c r="AA253" s="140" t="str">
        <f t="shared" si="85"/>
        <v/>
      </c>
      <c r="AB253" s="140" t="str">
        <f t="shared" si="86"/>
        <v/>
      </c>
      <c r="AC253" s="140" t="str">
        <f t="shared" si="87"/>
        <v/>
      </c>
      <c r="AD253" s="140" t="str">
        <f t="shared" si="88"/>
        <v/>
      </c>
      <c r="AE253" s="140">
        <f t="shared" si="89"/>
        <v>2.4557165861513689E-2</v>
      </c>
      <c r="AF253" s="140">
        <f t="shared" si="90"/>
        <v>2.4557165861513689E-2</v>
      </c>
      <c r="AG253" s="140">
        <f t="shared" si="91"/>
        <v>2.4557165861513689E-2</v>
      </c>
      <c r="AH253" s="140">
        <f t="shared" si="92"/>
        <v>2.4557165861513689E-2</v>
      </c>
      <c r="AI253" s="140" t="str">
        <f t="shared" si="93"/>
        <v/>
      </c>
      <c r="AJ253" s="140" t="str">
        <f t="shared" si="94"/>
        <v/>
      </c>
      <c r="AK253" s="140" t="str">
        <f t="shared" si="95"/>
        <v/>
      </c>
      <c r="AL253" s="140" t="str">
        <f t="shared" si="96"/>
        <v/>
      </c>
      <c r="AM253" t="str">
        <f t="shared" si="97"/>
        <v>4151-000: Contractually Mandated Training Overtime</v>
      </c>
      <c r="AN253" s="140">
        <f t="shared" si="98"/>
        <v>0</v>
      </c>
      <c r="AO253" s="140">
        <f t="shared" si="99"/>
        <v>2.4557165861513689E-2</v>
      </c>
      <c r="AP253" s="1" t="str">
        <f>IF(AND(AO253&gt;0, _xlfn.XLOOKUP($AM253, Discretionaries!$A$2:'Discretionaries'!$A$150, Discretionaries!$B$2:'Discretionaries'!$B$150)), (1+AN253)*$N253, "")</f>
        <v/>
      </c>
      <c r="AQ253" s="1" t="str">
        <f>IF(AND(AO253&gt;0, _xlfn.XLOOKUP($AM253, Discretionaries!$A$2:'Discretionaries'!$A$150, Discretionaries!$B$2:'Discretionaries'!$B$150)),AP253-$Q253,"")</f>
        <v/>
      </c>
      <c r="AR253" s="140">
        <f>IF(AG253="", 0-CPI!$B$15, AG253-CPI!$B$15)</f>
        <v>-1.4442834138486304E-2</v>
      </c>
      <c r="AS253" s="1" t="str">
        <f>IF(AND(AR253&gt;0, _xlfn.XLOOKUP($AM253, Discretionaries!$A$2:'Discretionaries'!$A$150, Discretionaries!$B$2:'Discretionaries'!$B$150)), (1+CPI!$B$15)*$N253, "")</f>
        <v/>
      </c>
      <c r="AT253" s="1" t="str">
        <f>IF(AND(AR253&gt;0, _xlfn.XLOOKUP($AM253, Discretionaries!$A$2:'Discretionaries'!$A$150, Discretionaries!$B$2:'Discretionaries'!$B$150)),AS253-$Q253,"")</f>
        <v/>
      </c>
    </row>
    <row r="254" spans="1:46" x14ac:dyDescent="0.3">
      <c r="A254" t="s">
        <v>425</v>
      </c>
      <c r="B254" t="str">
        <f t="shared" si="75"/>
        <v>20</v>
      </c>
      <c r="C254" t="s">
        <v>429</v>
      </c>
      <c r="D254" t="str">
        <f t="shared" si="76"/>
        <v>12</v>
      </c>
      <c r="E254" t="s">
        <v>11</v>
      </c>
      <c r="F254" s="139" t="s">
        <v>240</v>
      </c>
      <c r="G254" t="s">
        <v>241</v>
      </c>
      <c r="H254" s="156">
        <v>32026</v>
      </c>
      <c r="I254" s="156">
        <v>14420.01</v>
      </c>
      <c r="J254" s="156">
        <v>33373</v>
      </c>
      <c r="K254" s="156">
        <v>18708.88</v>
      </c>
      <c r="L254" s="156">
        <v>42012</v>
      </c>
      <c r="M254" s="156">
        <v>22678.61</v>
      </c>
      <c r="N254" s="156">
        <v>40840</v>
      </c>
      <c r="O254" s="156">
        <v>41839</v>
      </c>
      <c r="P254" s="156">
        <v>41839</v>
      </c>
      <c r="Q254" s="156">
        <v>41839</v>
      </c>
      <c r="R254" s="156">
        <v>41839</v>
      </c>
      <c r="S254" s="156">
        <f t="shared" si="77"/>
        <v>999</v>
      </c>
      <c r="T254" s="156">
        <f t="shared" si="78"/>
        <v>0</v>
      </c>
      <c r="U254" s="140">
        <f t="shared" si="79"/>
        <v>2.4461312438785503E-2</v>
      </c>
      <c r="V254" s="140">
        <f t="shared" si="80"/>
        <v>-0.5497405233247985</v>
      </c>
      <c r="W254" s="140">
        <f t="shared" si="81"/>
        <v>-0.43940071315134988</v>
      </c>
      <c r="X254" s="140">
        <f t="shared" si="82"/>
        <v>-0.46018732743025803</v>
      </c>
      <c r="Y254" s="140">
        <f t="shared" si="83"/>
        <v>4.2059576594017357E-2</v>
      </c>
      <c r="Z254" s="140">
        <f t="shared" si="84"/>
        <v>0.29742489776359382</v>
      </c>
      <c r="AA254" s="140">
        <f t="shared" si="85"/>
        <v>0.25886195427441344</v>
      </c>
      <c r="AB254" s="140">
        <f t="shared" si="86"/>
        <v>0.21218426757774914</v>
      </c>
      <c r="AC254" s="140">
        <f t="shared" si="87"/>
        <v>-2.7896791392935352E-2</v>
      </c>
      <c r="AD254" s="140">
        <f t="shared" si="88"/>
        <v>0.27521388871541874</v>
      </c>
      <c r="AE254" s="140">
        <f t="shared" si="89"/>
        <v>2.4461312438785503E-2</v>
      </c>
      <c r="AF254" s="140">
        <f t="shared" si="90"/>
        <v>2.4461312438785503E-2</v>
      </c>
      <c r="AG254" s="140">
        <f t="shared" si="91"/>
        <v>2.4461312438785503E-2</v>
      </c>
      <c r="AH254" s="140">
        <f t="shared" si="92"/>
        <v>2.4461312438785503E-2</v>
      </c>
      <c r="AI254" s="140">
        <f t="shared" si="93"/>
        <v>0.30640729407356521</v>
      </c>
      <c r="AJ254" s="140">
        <f t="shared" si="94"/>
        <v>0.30640729407356521</v>
      </c>
      <c r="AK254" s="140">
        <f t="shared" si="95"/>
        <v>0.30640729407356521</v>
      </c>
      <c r="AL254" s="140">
        <f t="shared" si="96"/>
        <v>0.30640729407356521</v>
      </c>
      <c r="AM254" t="str">
        <f t="shared" si="97"/>
        <v>4193-000: Holiday Salaries</v>
      </c>
      <c r="AN254" s="140">
        <f t="shared" si="98"/>
        <v>9.1008246491831826E-2</v>
      </c>
      <c r="AO254" s="140">
        <f t="shared" si="99"/>
        <v>-6.6546934053046319E-2</v>
      </c>
      <c r="AP254" s="1" t="str">
        <f>IF(AND(AO254&gt;0, _xlfn.XLOOKUP($AM254, Discretionaries!$A$2:'Discretionaries'!$A$150, Discretionaries!$B$2:'Discretionaries'!$B$150)), (1+AN254)*$N254, "")</f>
        <v/>
      </c>
      <c r="AQ254" s="1" t="str">
        <f>IF(AND(AO254&gt;0, _xlfn.XLOOKUP($AM254, Discretionaries!$A$2:'Discretionaries'!$A$150, Discretionaries!$B$2:'Discretionaries'!$B$150)),AP254-$Q254,"")</f>
        <v/>
      </c>
      <c r="AR254" s="140">
        <f>IF(AG254="", 0-CPI!$B$15, AG254-CPI!$B$15)</f>
        <v>-1.453868756121449E-2</v>
      </c>
      <c r="AS254" s="1" t="str">
        <f>IF(AND(AR254&gt;0, _xlfn.XLOOKUP($AM254, Discretionaries!$A$2:'Discretionaries'!$A$150, Discretionaries!$B$2:'Discretionaries'!$B$150)), (1+CPI!$B$15)*$N254, "")</f>
        <v/>
      </c>
      <c r="AT254" s="1" t="str">
        <f>IF(AND(AR254&gt;0, _xlfn.XLOOKUP($AM254, Discretionaries!$A$2:'Discretionaries'!$A$150, Discretionaries!$B$2:'Discretionaries'!$B$150)),AS254-$Q254,"")</f>
        <v/>
      </c>
    </row>
    <row r="255" spans="1:46" x14ac:dyDescent="0.3">
      <c r="A255" t="s">
        <v>425</v>
      </c>
      <c r="B255" t="str">
        <f t="shared" si="75"/>
        <v>20</v>
      </c>
      <c r="C255" t="s">
        <v>429</v>
      </c>
      <c r="D255" t="str">
        <f t="shared" si="76"/>
        <v>12</v>
      </c>
      <c r="E255" t="s">
        <v>14</v>
      </c>
      <c r="F255" s="139" t="s">
        <v>15</v>
      </c>
      <c r="G255" t="s">
        <v>16</v>
      </c>
      <c r="H255" s="156">
        <v>53682</v>
      </c>
      <c r="I255" s="156">
        <v>47559.91</v>
      </c>
      <c r="J255" s="156">
        <v>54384</v>
      </c>
      <c r="K255" s="156">
        <v>42958.1</v>
      </c>
      <c r="L255" s="156">
        <v>60451</v>
      </c>
      <c r="M255" s="156">
        <v>40742.68</v>
      </c>
      <c r="N255" s="156">
        <v>58971</v>
      </c>
      <c r="O255" s="156">
        <v>60191</v>
      </c>
      <c r="P255" s="156">
        <v>60191</v>
      </c>
      <c r="Q255" s="156">
        <v>60191</v>
      </c>
      <c r="R255" s="156">
        <v>60191</v>
      </c>
      <c r="S255" s="156">
        <f t="shared" si="77"/>
        <v>1220</v>
      </c>
      <c r="T255" s="156">
        <f t="shared" si="78"/>
        <v>0</v>
      </c>
      <c r="U255" s="140">
        <f t="shared" si="79"/>
        <v>2.0688134845941224E-2</v>
      </c>
      <c r="V255" s="140">
        <f t="shared" si="80"/>
        <v>-0.1140436272866137</v>
      </c>
      <c r="W255" s="140">
        <f t="shared" si="81"/>
        <v>-0.21009671962341869</v>
      </c>
      <c r="X255" s="140">
        <f t="shared" si="82"/>
        <v>-0.326021405766654</v>
      </c>
      <c r="Y255" s="140">
        <f t="shared" si="83"/>
        <v>1.307700905331396E-2</v>
      </c>
      <c r="Z255" s="140">
        <f t="shared" si="84"/>
        <v>-9.6758173007476356E-2</v>
      </c>
      <c r="AA255" s="140">
        <f t="shared" si="85"/>
        <v>0.11155854663136217</v>
      </c>
      <c r="AB255" s="140">
        <f t="shared" si="86"/>
        <v>-5.1571647721849856E-2</v>
      </c>
      <c r="AC255" s="140">
        <f t="shared" si="87"/>
        <v>-2.4482638831450264E-2</v>
      </c>
      <c r="AD255" s="140">
        <f t="shared" si="88"/>
        <v>9.8524645132446631E-2</v>
      </c>
      <c r="AE255" s="140">
        <f t="shared" si="89"/>
        <v>2.0688134845941224E-2</v>
      </c>
      <c r="AF255" s="140">
        <f t="shared" si="90"/>
        <v>2.0688134845941224E-2</v>
      </c>
      <c r="AG255" s="140">
        <f t="shared" si="91"/>
        <v>2.0688134845941224E-2</v>
      </c>
      <c r="AH255" s="140">
        <f t="shared" si="92"/>
        <v>2.0688134845941224E-2</v>
      </c>
      <c r="AI255" s="140">
        <f t="shared" si="93"/>
        <v>0.12125107112253641</v>
      </c>
      <c r="AJ255" s="140">
        <f t="shared" si="94"/>
        <v>0.12125107112253641</v>
      </c>
      <c r="AK255" s="140">
        <f t="shared" si="95"/>
        <v>0.12125107112253641</v>
      </c>
      <c r="AL255" s="140">
        <f t="shared" si="96"/>
        <v>0.12125107112253641</v>
      </c>
      <c r="AM255" t="str">
        <f t="shared" si="97"/>
        <v>4220-000: FICA Benefits</v>
      </c>
      <c r="AN255" s="140">
        <f t="shared" si="98"/>
        <v>3.3384305617741951E-2</v>
      </c>
      <c r="AO255" s="140">
        <f t="shared" si="99"/>
        <v>-1.2696170771800727E-2</v>
      </c>
      <c r="AP255" s="1" t="str">
        <f>IF(AND(AO255&gt;0, _xlfn.XLOOKUP($AM255, Discretionaries!$A$2:'Discretionaries'!$A$150, Discretionaries!$B$2:'Discretionaries'!$B$150)), (1+AN255)*$N255, "")</f>
        <v/>
      </c>
      <c r="AQ255" s="1" t="str">
        <f>IF(AND(AO255&gt;0, _xlfn.XLOOKUP($AM255, Discretionaries!$A$2:'Discretionaries'!$A$150, Discretionaries!$B$2:'Discretionaries'!$B$150)),AP255-$Q255,"")</f>
        <v/>
      </c>
      <c r="AR255" s="140">
        <f>IF(AG255="", 0-CPI!$B$15, AG255-CPI!$B$15)</f>
        <v>-1.8311865154058769E-2</v>
      </c>
      <c r="AS255" s="1" t="str">
        <f>IF(AND(AR255&gt;0, _xlfn.XLOOKUP($AM255, Discretionaries!$A$2:'Discretionaries'!$A$150, Discretionaries!$B$2:'Discretionaries'!$B$150)), (1+CPI!$B$15)*$N255, "")</f>
        <v/>
      </c>
      <c r="AT255" s="1" t="str">
        <f>IF(AND(AR255&gt;0, _xlfn.XLOOKUP($AM255, Discretionaries!$A$2:'Discretionaries'!$A$150, Discretionaries!$B$2:'Discretionaries'!$B$150)),AS255-$Q255,"")</f>
        <v/>
      </c>
    </row>
    <row r="256" spans="1:46" x14ac:dyDescent="0.3">
      <c r="A256" t="s">
        <v>425</v>
      </c>
      <c r="B256" t="str">
        <f t="shared" si="75"/>
        <v>20</v>
      </c>
      <c r="C256" t="s">
        <v>429</v>
      </c>
      <c r="D256" t="str">
        <f t="shared" si="76"/>
        <v>12</v>
      </c>
      <c r="E256" t="s">
        <v>14</v>
      </c>
      <c r="F256" s="139" t="s">
        <v>17</v>
      </c>
      <c r="G256" t="s">
        <v>18</v>
      </c>
      <c r="H256" s="156">
        <v>12555</v>
      </c>
      <c r="I256" s="156">
        <v>11878.1</v>
      </c>
      <c r="J256" s="156">
        <v>12723</v>
      </c>
      <c r="K256" s="156">
        <v>11541.31</v>
      </c>
      <c r="L256" s="156">
        <v>14138</v>
      </c>
      <c r="M256" s="156">
        <v>11277.03</v>
      </c>
      <c r="N256" s="156">
        <v>13792</v>
      </c>
      <c r="O256" s="156">
        <v>14077</v>
      </c>
      <c r="P256" s="156">
        <v>14077</v>
      </c>
      <c r="Q256" s="156">
        <v>14077</v>
      </c>
      <c r="R256" s="156">
        <v>14077</v>
      </c>
      <c r="S256" s="156">
        <f t="shared" si="77"/>
        <v>285</v>
      </c>
      <c r="T256" s="156">
        <f t="shared" si="78"/>
        <v>0</v>
      </c>
      <c r="U256" s="140">
        <f t="shared" si="79"/>
        <v>2.066415313225058E-2</v>
      </c>
      <c r="V256" s="140">
        <f t="shared" si="80"/>
        <v>-5.3914774990043782E-2</v>
      </c>
      <c r="W256" s="140">
        <f t="shared" si="81"/>
        <v>-9.2878251984594873E-2</v>
      </c>
      <c r="X256" s="140">
        <f t="shared" si="82"/>
        <v>-0.20236030555948503</v>
      </c>
      <c r="Y256" s="140">
        <f t="shared" si="83"/>
        <v>1.3381123058542414E-2</v>
      </c>
      <c r="Z256" s="140">
        <f t="shared" si="84"/>
        <v>-2.8353861307784986E-2</v>
      </c>
      <c r="AA256" s="140">
        <f t="shared" si="85"/>
        <v>0.11121590819775211</v>
      </c>
      <c r="AB256" s="140">
        <f t="shared" si="86"/>
        <v>-2.2898613762215803E-2</v>
      </c>
      <c r="AC256" s="140">
        <f t="shared" si="87"/>
        <v>-2.447305135096902E-2</v>
      </c>
      <c r="AD256" s="140">
        <f t="shared" si="88"/>
        <v>9.8526483472720028E-2</v>
      </c>
      <c r="AE256" s="140">
        <f t="shared" si="89"/>
        <v>2.066415313225058E-2</v>
      </c>
      <c r="AF256" s="140">
        <f t="shared" si="90"/>
        <v>2.066415313225058E-2</v>
      </c>
      <c r="AG256" s="140">
        <f t="shared" si="91"/>
        <v>2.066415313225058E-2</v>
      </c>
      <c r="AH256" s="140">
        <f t="shared" si="92"/>
        <v>2.066415313225058E-2</v>
      </c>
      <c r="AI256" s="140">
        <f t="shared" si="93"/>
        <v>0.12122660294703305</v>
      </c>
      <c r="AJ256" s="140">
        <f t="shared" si="94"/>
        <v>0.12122660294703305</v>
      </c>
      <c r="AK256" s="140">
        <f t="shared" si="95"/>
        <v>0.12122660294703305</v>
      </c>
      <c r="AL256" s="140">
        <f t="shared" si="96"/>
        <v>0.12122660294703305</v>
      </c>
      <c r="AM256" t="str">
        <f t="shared" si="97"/>
        <v>4225-000: Medicare Benefits</v>
      </c>
      <c r="AN256" s="140">
        <f t="shared" si="98"/>
        <v>3.3374659968441835E-2</v>
      </c>
      <c r="AO256" s="140">
        <f t="shared" si="99"/>
        <v>-1.2710506836191255E-2</v>
      </c>
      <c r="AP256" s="1" t="str">
        <f>IF(AND(AO256&gt;0, _xlfn.XLOOKUP($AM256, Discretionaries!$A$2:'Discretionaries'!$A$150, Discretionaries!$B$2:'Discretionaries'!$B$150)), (1+AN256)*$N256, "")</f>
        <v/>
      </c>
      <c r="AQ256" s="1" t="str">
        <f>IF(AND(AO256&gt;0, _xlfn.XLOOKUP($AM256, Discretionaries!$A$2:'Discretionaries'!$A$150, Discretionaries!$B$2:'Discretionaries'!$B$150)),AP256-$Q256,"")</f>
        <v/>
      </c>
      <c r="AR256" s="140">
        <f>IF(AG256="", 0-CPI!$B$15, AG256-CPI!$B$15)</f>
        <v>-1.8335846867749413E-2</v>
      </c>
      <c r="AS256" s="1" t="str">
        <f>IF(AND(AR256&gt;0, _xlfn.XLOOKUP($AM256, Discretionaries!$A$2:'Discretionaries'!$A$150, Discretionaries!$B$2:'Discretionaries'!$B$150)), (1+CPI!$B$15)*$N256, "")</f>
        <v/>
      </c>
      <c r="AT256" s="1" t="str">
        <f>IF(AND(AR256&gt;0, _xlfn.XLOOKUP($AM256, Discretionaries!$A$2:'Discretionaries'!$A$150, Discretionaries!$B$2:'Discretionaries'!$B$150)),AS256-$Q256,"")</f>
        <v/>
      </c>
    </row>
    <row r="257" spans="1:46" x14ac:dyDescent="0.3">
      <c r="A257" t="s">
        <v>425</v>
      </c>
      <c r="B257" t="str">
        <f t="shared" si="75"/>
        <v>20</v>
      </c>
      <c r="C257" t="s">
        <v>429</v>
      </c>
      <c r="D257" t="str">
        <f t="shared" si="76"/>
        <v>12</v>
      </c>
      <c r="E257" t="s">
        <v>14</v>
      </c>
      <c r="F257" s="139" t="s">
        <v>43</v>
      </c>
      <c r="G257" t="s">
        <v>44</v>
      </c>
      <c r="H257" s="156">
        <v>124121</v>
      </c>
      <c r="I257" s="156">
        <v>110679.93</v>
      </c>
      <c r="J257" s="156">
        <v>97797</v>
      </c>
      <c r="K257" s="156">
        <v>100849.5</v>
      </c>
      <c r="L257" s="156">
        <v>105823</v>
      </c>
      <c r="M257" s="156">
        <v>92117.440000000002</v>
      </c>
      <c r="N257" s="156">
        <v>95716</v>
      </c>
      <c r="O257" s="156">
        <v>97305</v>
      </c>
      <c r="P257" s="156">
        <v>97305</v>
      </c>
      <c r="Q257" s="156">
        <v>97305</v>
      </c>
      <c r="R257" s="156">
        <v>97305</v>
      </c>
      <c r="S257" s="156">
        <f t="shared" si="77"/>
        <v>1589</v>
      </c>
      <c r="T257" s="156">
        <f t="shared" si="78"/>
        <v>0</v>
      </c>
      <c r="U257" s="140">
        <f t="shared" si="79"/>
        <v>1.6601195202473985E-2</v>
      </c>
      <c r="V257" s="140">
        <f t="shared" si="80"/>
        <v>-0.10829005567148192</v>
      </c>
      <c r="W257" s="140">
        <f t="shared" si="81"/>
        <v>3.1212613883861467E-2</v>
      </c>
      <c r="X257" s="140">
        <f t="shared" si="82"/>
        <v>-0.12951399979210568</v>
      </c>
      <c r="Y257" s="140">
        <f t="shared" si="83"/>
        <v>-0.21208337025966598</v>
      </c>
      <c r="Z257" s="140">
        <f t="shared" si="84"/>
        <v>-8.8818541898246534E-2</v>
      </c>
      <c r="AA257" s="140">
        <f t="shared" si="85"/>
        <v>8.2067957094798402E-2</v>
      </c>
      <c r="AB257" s="140">
        <f t="shared" si="86"/>
        <v>-8.6585059916013438E-2</v>
      </c>
      <c r="AC257" s="140">
        <f t="shared" si="87"/>
        <v>-9.5508537841490035E-2</v>
      </c>
      <c r="AD257" s="140">
        <f t="shared" si="88"/>
        <v>-0.22884926805294833</v>
      </c>
      <c r="AE257" s="140">
        <f t="shared" si="89"/>
        <v>1.6601195202473985E-2</v>
      </c>
      <c r="AF257" s="140">
        <f t="shared" si="90"/>
        <v>1.6601195202473985E-2</v>
      </c>
      <c r="AG257" s="140">
        <f t="shared" si="91"/>
        <v>1.6601195202473985E-2</v>
      </c>
      <c r="AH257" s="140">
        <f t="shared" si="92"/>
        <v>1.6601195202473985E-2</v>
      </c>
      <c r="AI257" s="140">
        <f t="shared" si="93"/>
        <v>-0.21604724422136465</v>
      </c>
      <c r="AJ257" s="140">
        <f t="shared" si="94"/>
        <v>-0.21604724422136465</v>
      </c>
      <c r="AK257" s="140">
        <f t="shared" si="95"/>
        <v>-0.21604724422136465</v>
      </c>
      <c r="AL257" s="140">
        <f t="shared" si="96"/>
        <v>-0.21604724422136465</v>
      </c>
      <c r="AM257" t="str">
        <f t="shared" si="97"/>
        <v>4230-000: Retirement Benefits</v>
      </c>
      <c r="AN257" s="140">
        <f t="shared" si="98"/>
        <v>-7.517465033545255E-2</v>
      </c>
      <c r="AO257" s="140">
        <f t="shared" si="99"/>
        <v>9.1775845537926531E-2</v>
      </c>
      <c r="AP257" s="1" t="str">
        <f>IF(AND(AO257&gt;0, _xlfn.XLOOKUP($AM257, Discretionaries!$A$2:'Discretionaries'!$A$150, Discretionaries!$B$2:'Discretionaries'!$B$150)), (1+AN257)*$N257, "")</f>
        <v/>
      </c>
      <c r="AQ257" s="1" t="str">
        <f>IF(AND(AO257&gt;0, _xlfn.XLOOKUP($AM257, Discretionaries!$A$2:'Discretionaries'!$A$150, Discretionaries!$B$2:'Discretionaries'!$B$150)),AP257-$Q257,"")</f>
        <v/>
      </c>
      <c r="AR257" s="140">
        <f>IF(AG257="", 0-CPI!$B$15, AG257-CPI!$B$15)</f>
        <v>-2.2398804797526008E-2</v>
      </c>
      <c r="AS257" s="1" t="str">
        <f>IF(AND(AR257&gt;0, _xlfn.XLOOKUP($AM257, Discretionaries!$A$2:'Discretionaries'!$A$150, Discretionaries!$B$2:'Discretionaries'!$B$150)), (1+CPI!$B$15)*$N257, "")</f>
        <v/>
      </c>
      <c r="AT257" s="1" t="str">
        <f>IF(AND(AR257&gt;0, _xlfn.XLOOKUP($AM257, Discretionaries!$A$2:'Discretionaries'!$A$150, Discretionaries!$B$2:'Discretionaries'!$B$150)),AS257-$Q257,"")</f>
        <v/>
      </c>
    </row>
    <row r="258" spans="1:46" x14ac:dyDescent="0.3">
      <c r="A258" t="s">
        <v>425</v>
      </c>
      <c r="B258" t="str">
        <f t="shared" ref="B258:B321" si="100">LEFT(A258, 2)</f>
        <v>20</v>
      </c>
      <c r="C258" t="s">
        <v>429</v>
      </c>
      <c r="D258" t="str">
        <f t="shared" ref="D258:D321" si="101">LEFT(C258, 2)</f>
        <v>12</v>
      </c>
      <c r="E258" t="s">
        <v>14</v>
      </c>
      <c r="F258" s="139" t="s">
        <v>19</v>
      </c>
      <c r="G258" t="s">
        <v>20</v>
      </c>
      <c r="H258" s="156">
        <v>11289</v>
      </c>
      <c r="I258" s="156">
        <v>10759.88</v>
      </c>
      <c r="J258" s="156">
        <v>11956</v>
      </c>
      <c r="K258" s="156">
        <v>12741.42</v>
      </c>
      <c r="L258" s="156">
        <v>14278</v>
      </c>
      <c r="M258" s="156">
        <v>14278.43</v>
      </c>
      <c r="N258" s="156">
        <v>16870</v>
      </c>
      <c r="O258" s="156">
        <v>16619</v>
      </c>
      <c r="P258" s="156">
        <v>16619</v>
      </c>
      <c r="Q258" s="156">
        <v>16619</v>
      </c>
      <c r="R258" s="156">
        <v>16619</v>
      </c>
      <c r="S258" s="156">
        <f t="shared" ref="S258:S321" si="102">Q258 - N258</f>
        <v>-251</v>
      </c>
      <c r="T258" s="156">
        <f t="shared" ref="T258:T321" si="103">Q258 - R258</f>
        <v>0</v>
      </c>
      <c r="U258" s="140">
        <f t="shared" ref="U258:U321" si="104">IFERROR((Q258 - N258) / N258, "")</f>
        <v>-1.4878482513337284E-2</v>
      </c>
      <c r="V258" s="140">
        <f t="shared" ref="V258:V321" si="105">IFERROR((I258 - H258) / H258, "")</f>
        <v>-4.6870404818850277E-2</v>
      </c>
      <c r="W258" s="140">
        <f t="shared" ref="W258:W321" si="106">IFERROR((K258 - J258) / J258, "")</f>
        <v>6.5692539310806292E-2</v>
      </c>
      <c r="X258" s="140">
        <f t="shared" ref="X258:X321" si="107">IFERROR((M258 - L258) / L258, "")</f>
        <v>3.011626278192261E-5</v>
      </c>
      <c r="Y258" s="140">
        <f t="shared" ref="Y258:Y321" si="108">IFERROR((J258 - H258) / H258, "")</f>
        <v>5.9084064133227032E-2</v>
      </c>
      <c r="Z258" s="140">
        <f t="shared" ref="Z258:Z321" si="109">IFERROR((K258 - I258) / I258, "")</f>
        <v>0.18416004639456954</v>
      </c>
      <c r="AA258" s="140">
        <f t="shared" ref="AA258:AA321" si="110">IFERROR((L258 - J258) / J258, "")</f>
        <v>0.19421211107393777</v>
      </c>
      <c r="AB258" s="140">
        <f t="shared" ref="AB258:AB321" si="111">IFERROR((M258 - K258) / K258, "")</f>
        <v>0.12063098147616201</v>
      </c>
      <c r="AC258" s="140">
        <f t="shared" ref="AC258:AC321" si="112">IFERROR((N258 - L258) / L258, "")</f>
        <v>0.1815380305364897</v>
      </c>
      <c r="AD258" s="140">
        <f t="shared" ref="AD258:AD321" si="113">IFERROR((N258 - H258) / H258, "")</f>
        <v>0.4943750553636283</v>
      </c>
      <c r="AE258" s="140">
        <f t="shared" ref="AE258:AE321" si="114">IFERROR((O258 - N258) / N258, "")</f>
        <v>-1.4878482513337284E-2</v>
      </c>
      <c r="AF258" s="140">
        <f t="shared" ref="AF258:AF321" si="115">IFERROR((P258 - N258) / N258, "")</f>
        <v>-1.4878482513337284E-2</v>
      </c>
      <c r="AG258" s="140">
        <f t="shared" ref="AG258:AG321" si="116">IFERROR((Q258 - N258) / N258, "")</f>
        <v>-1.4878482513337284E-2</v>
      </c>
      <c r="AH258" s="140">
        <f t="shared" ref="AH258:AH321" si="117">IFERROR((R258 - N258) / N258, "")</f>
        <v>-1.4878482513337284E-2</v>
      </c>
      <c r="AI258" s="140">
        <f t="shared" ref="AI258:AI321" si="118">IFERROR((O258 - H258) / H258, "")</f>
        <v>0.47214102223403315</v>
      </c>
      <c r="AJ258" s="140">
        <f t="shared" ref="AJ258:AJ321" si="119">IFERROR((P258 - H258) / H258, "")</f>
        <v>0.47214102223403315</v>
      </c>
      <c r="AK258" s="140">
        <f t="shared" ref="AK258:AK321" si="120">IFERROR((Q258 - H258) / H258, "")</f>
        <v>0.47214102223403315</v>
      </c>
      <c r="AL258" s="140">
        <f t="shared" ref="AL258:AL321" si="121">IFERROR((R258 - H258) / H258, "")</f>
        <v>0.47214102223403315</v>
      </c>
      <c r="AM258" t="str">
        <f t="shared" ref="AM258:AM321" si="122">_xlfn.CONCAT(TRIM(F258), ": ", TRIM(G258))</f>
        <v>4260-000: Workers' comp Benefits</v>
      </c>
      <c r="AN258" s="140">
        <f t="shared" si="98"/>
        <v>0.14494473524788484</v>
      </c>
      <c r="AO258" s="140">
        <f t="shared" si="99"/>
        <v>-0.15982321776122213</v>
      </c>
      <c r="AP258" s="1" t="str">
        <f>IF(AND(AO258&gt;0, _xlfn.XLOOKUP($AM258, Discretionaries!$A$2:'Discretionaries'!$A$150, Discretionaries!$B$2:'Discretionaries'!$B$150)), (1+AN258)*$N258, "")</f>
        <v/>
      </c>
      <c r="AQ258" s="1" t="str">
        <f>IF(AND(AO258&gt;0, _xlfn.XLOOKUP($AM258, Discretionaries!$A$2:'Discretionaries'!$A$150, Discretionaries!$B$2:'Discretionaries'!$B$150)),AP258-$Q258,"")</f>
        <v/>
      </c>
      <c r="AR258" s="140">
        <f>IF(AG258="", 0-CPI!$B$15, AG258-CPI!$B$15)</f>
        <v>-5.3878482513337281E-2</v>
      </c>
      <c r="AS258" s="1" t="str">
        <f>IF(AND(AR258&gt;0, _xlfn.XLOOKUP($AM258, Discretionaries!$A$2:'Discretionaries'!$A$150, Discretionaries!$B$2:'Discretionaries'!$B$150)), (1+CPI!$B$15)*$N258, "")</f>
        <v/>
      </c>
      <c r="AT258" s="1" t="str">
        <f>IF(AND(AR258&gt;0, _xlfn.XLOOKUP($AM258, Discretionaries!$A$2:'Discretionaries'!$A$150, Discretionaries!$B$2:'Discretionaries'!$B$150)),AS258-$Q258,"")</f>
        <v/>
      </c>
    </row>
    <row r="259" spans="1:46" x14ac:dyDescent="0.3">
      <c r="A259" t="s">
        <v>425</v>
      </c>
      <c r="B259" t="str">
        <f t="shared" si="100"/>
        <v>20</v>
      </c>
      <c r="C259" t="s">
        <v>429</v>
      </c>
      <c r="D259" t="str">
        <f t="shared" si="101"/>
        <v>12</v>
      </c>
      <c r="E259" t="s">
        <v>21</v>
      </c>
      <c r="F259" s="139" t="s">
        <v>131</v>
      </c>
      <c r="G259" t="s">
        <v>132</v>
      </c>
      <c r="H259" s="156">
        <v>40000</v>
      </c>
      <c r="I259" s="156">
        <v>123694.72</v>
      </c>
      <c r="J259" s="156">
        <v>40000</v>
      </c>
      <c r="K259" s="156">
        <v>186228.1</v>
      </c>
      <c r="L259" s="156">
        <v>40000</v>
      </c>
      <c r="M259" s="156">
        <v>87415.42</v>
      </c>
      <c r="N259" s="156">
        <v>143500</v>
      </c>
      <c r="O259" s="156">
        <v>143500</v>
      </c>
      <c r="P259" s="156">
        <v>143500</v>
      </c>
      <c r="Q259" s="156">
        <v>143500</v>
      </c>
      <c r="R259" s="156">
        <v>143500</v>
      </c>
      <c r="S259" s="156">
        <f t="shared" si="102"/>
        <v>0</v>
      </c>
      <c r="T259" s="156">
        <f t="shared" si="103"/>
        <v>0</v>
      </c>
      <c r="U259" s="140">
        <f t="shared" si="104"/>
        <v>0</v>
      </c>
      <c r="V259" s="140">
        <f t="shared" si="105"/>
        <v>2.092368</v>
      </c>
      <c r="W259" s="140">
        <f t="shared" si="106"/>
        <v>3.6557025000000003</v>
      </c>
      <c r="X259" s="140">
        <f t="shared" si="107"/>
        <v>1.1853855</v>
      </c>
      <c r="Y259" s="140">
        <f t="shared" si="108"/>
        <v>0</v>
      </c>
      <c r="Z259" s="140">
        <f t="shared" si="109"/>
        <v>0.50554607342981173</v>
      </c>
      <c r="AA259" s="140">
        <f t="shared" si="110"/>
        <v>0</v>
      </c>
      <c r="AB259" s="140">
        <f t="shared" si="111"/>
        <v>-0.53060026923971193</v>
      </c>
      <c r="AC259" s="140">
        <f t="shared" si="112"/>
        <v>2.5874999999999999</v>
      </c>
      <c r="AD259" s="140">
        <f t="shared" si="113"/>
        <v>2.5874999999999999</v>
      </c>
      <c r="AE259" s="140">
        <f t="shared" si="114"/>
        <v>0</v>
      </c>
      <c r="AF259" s="140">
        <f t="shared" si="115"/>
        <v>0</v>
      </c>
      <c r="AG259" s="140">
        <f t="shared" si="116"/>
        <v>0</v>
      </c>
      <c r="AH259" s="140">
        <f t="shared" si="117"/>
        <v>0</v>
      </c>
      <c r="AI259" s="140">
        <f t="shared" si="118"/>
        <v>2.5874999999999999</v>
      </c>
      <c r="AJ259" s="140">
        <f t="shared" si="119"/>
        <v>2.5874999999999999</v>
      </c>
      <c r="AK259" s="140">
        <f t="shared" si="120"/>
        <v>2.5874999999999999</v>
      </c>
      <c r="AL259" s="140">
        <f t="shared" si="121"/>
        <v>2.5874999999999999</v>
      </c>
      <c r="AM259" t="str">
        <f t="shared" si="122"/>
        <v>4241-000: Training Benefits</v>
      </c>
      <c r="AN259" s="140">
        <f t="shared" ref="AN259:AN322" si="123">IFERROR(AVERAGE(Y259, AA259, AC259), 0)</f>
        <v>0.86249999999999993</v>
      </c>
      <c r="AO259" s="140">
        <f t="shared" ref="AO259:AO322" si="124">IF($AG259="", 0-AN259, $AG259-AN259)</f>
        <v>-0.86249999999999993</v>
      </c>
      <c r="AP259" s="1" t="str">
        <f>IF(AND(AO259&gt;0, _xlfn.XLOOKUP($AM259, Discretionaries!$A$2:'Discretionaries'!$A$150, Discretionaries!$B$2:'Discretionaries'!$B$150)), (1+AN259)*$N259, "")</f>
        <v/>
      </c>
      <c r="AQ259" s="1" t="str">
        <f>IF(AND(AO259&gt;0, _xlfn.XLOOKUP($AM259, Discretionaries!$A$2:'Discretionaries'!$A$150, Discretionaries!$B$2:'Discretionaries'!$B$150)),AP259-$Q259,"")</f>
        <v/>
      </c>
      <c r="AR259" s="140">
        <f>IF(AG259="", 0-CPI!$B$15, AG259-CPI!$B$15)</f>
        <v>-3.8999999999999993E-2</v>
      </c>
      <c r="AS259" s="1" t="str">
        <f>IF(AND(AR259&gt;0, _xlfn.XLOOKUP($AM259, Discretionaries!$A$2:'Discretionaries'!$A$150, Discretionaries!$B$2:'Discretionaries'!$B$150)), (1+CPI!$B$15)*$N259, "")</f>
        <v/>
      </c>
      <c r="AT259" s="1" t="str">
        <f>IF(AND(AR259&gt;0, _xlfn.XLOOKUP($AM259, Discretionaries!$A$2:'Discretionaries'!$A$150, Discretionaries!$B$2:'Discretionaries'!$B$150)),AS259-$Q259,"")</f>
        <v/>
      </c>
    </row>
    <row r="260" spans="1:46" x14ac:dyDescent="0.3">
      <c r="A260" t="s">
        <v>425</v>
      </c>
      <c r="B260" t="str">
        <f t="shared" si="100"/>
        <v>20</v>
      </c>
      <c r="C260" t="s">
        <v>429</v>
      </c>
      <c r="D260" t="str">
        <f t="shared" si="101"/>
        <v>12</v>
      </c>
      <c r="E260" t="s">
        <v>21</v>
      </c>
      <c r="F260" s="139" t="s">
        <v>225</v>
      </c>
      <c r="G260" t="s">
        <v>226</v>
      </c>
      <c r="H260" s="156">
        <v>0</v>
      </c>
      <c r="I260" s="156">
        <v>1624.7</v>
      </c>
      <c r="J260" s="156">
        <v>0</v>
      </c>
      <c r="K260" s="156">
        <v>0</v>
      </c>
      <c r="L260" s="156">
        <v>0</v>
      </c>
      <c r="M260" s="156">
        <v>0</v>
      </c>
      <c r="N260" s="156">
        <v>0</v>
      </c>
      <c r="O260" s="156">
        <v>0</v>
      </c>
      <c r="P260" s="156">
        <v>0</v>
      </c>
      <c r="Q260" s="156">
        <v>0</v>
      </c>
      <c r="R260" s="156">
        <v>0</v>
      </c>
      <c r="S260" s="156">
        <f t="shared" si="102"/>
        <v>0</v>
      </c>
      <c r="T260" s="156">
        <f t="shared" si="103"/>
        <v>0</v>
      </c>
      <c r="U260" s="140" t="str">
        <f t="shared" si="104"/>
        <v/>
      </c>
      <c r="V260" s="140" t="str">
        <f t="shared" si="105"/>
        <v/>
      </c>
      <c r="W260" s="140" t="str">
        <f t="shared" si="106"/>
        <v/>
      </c>
      <c r="X260" s="140" t="str">
        <f t="shared" si="107"/>
        <v/>
      </c>
      <c r="Y260" s="140" t="str">
        <f t="shared" si="108"/>
        <v/>
      </c>
      <c r="Z260" s="140">
        <f t="shared" si="109"/>
        <v>-1</v>
      </c>
      <c r="AA260" s="140" t="str">
        <f t="shared" si="110"/>
        <v/>
      </c>
      <c r="AB260" s="140" t="str">
        <f t="shared" si="111"/>
        <v/>
      </c>
      <c r="AC260" s="140" t="str">
        <f t="shared" si="112"/>
        <v/>
      </c>
      <c r="AD260" s="140" t="str">
        <f t="shared" si="113"/>
        <v/>
      </c>
      <c r="AE260" s="140" t="str">
        <f t="shared" si="114"/>
        <v/>
      </c>
      <c r="AF260" s="140" t="str">
        <f t="shared" si="115"/>
        <v/>
      </c>
      <c r="AG260" s="140" t="str">
        <f t="shared" si="116"/>
        <v/>
      </c>
      <c r="AH260" s="140" t="str">
        <f t="shared" si="117"/>
        <v/>
      </c>
      <c r="AI260" s="140" t="str">
        <f t="shared" si="118"/>
        <v/>
      </c>
      <c r="AJ260" s="140" t="str">
        <f t="shared" si="119"/>
        <v/>
      </c>
      <c r="AK260" s="140" t="str">
        <f t="shared" si="120"/>
        <v/>
      </c>
      <c r="AL260" s="140" t="str">
        <f t="shared" si="121"/>
        <v/>
      </c>
      <c r="AM260" t="str">
        <f t="shared" si="122"/>
        <v>4290-000: Uniforms &amp; cleaning Benefits</v>
      </c>
      <c r="AN260" s="140">
        <f t="shared" si="123"/>
        <v>0</v>
      </c>
      <c r="AO260" s="140">
        <f t="shared" si="124"/>
        <v>0</v>
      </c>
      <c r="AP260" s="1" t="str">
        <f>IF(AND(AO260&gt;0, _xlfn.XLOOKUP($AM260, Discretionaries!$A$2:'Discretionaries'!$A$150, Discretionaries!$B$2:'Discretionaries'!$B$150)), (1+AN260)*$N260, "")</f>
        <v/>
      </c>
      <c r="AQ260" s="1" t="str">
        <f>IF(AND(AO260&gt;0, _xlfn.XLOOKUP($AM260, Discretionaries!$A$2:'Discretionaries'!$A$150, Discretionaries!$B$2:'Discretionaries'!$B$150)),AP260-$Q260,"")</f>
        <v/>
      </c>
      <c r="AR260" s="140">
        <f>IF(AG260="", 0-CPI!$B$15, AG260-CPI!$B$15)</f>
        <v>-3.8999999999999993E-2</v>
      </c>
      <c r="AS260" s="1" t="str">
        <f>IF(AND(AR260&gt;0, _xlfn.XLOOKUP($AM260, Discretionaries!$A$2:'Discretionaries'!$A$150, Discretionaries!$B$2:'Discretionaries'!$B$150)), (1+CPI!$B$15)*$N260, "")</f>
        <v/>
      </c>
      <c r="AT260" s="1" t="str">
        <f>IF(AND(AR260&gt;0, _xlfn.XLOOKUP($AM260, Discretionaries!$A$2:'Discretionaries'!$A$150, Discretionaries!$B$2:'Discretionaries'!$B$150)),AS260-$Q260,"")</f>
        <v/>
      </c>
    </row>
    <row r="261" spans="1:46" x14ac:dyDescent="0.3">
      <c r="A261" t="s">
        <v>425</v>
      </c>
      <c r="B261" t="str">
        <f t="shared" si="100"/>
        <v>20</v>
      </c>
      <c r="C261" t="s">
        <v>429</v>
      </c>
      <c r="D261" t="str">
        <f t="shared" si="101"/>
        <v>12</v>
      </c>
      <c r="E261" t="s">
        <v>21</v>
      </c>
      <c r="F261" s="139" t="s">
        <v>229</v>
      </c>
      <c r="G261" t="s">
        <v>230</v>
      </c>
      <c r="H261" s="156">
        <v>2500</v>
      </c>
      <c r="I261" s="156">
        <v>6089.75</v>
      </c>
      <c r="J261" s="156">
        <v>2500</v>
      </c>
      <c r="K261" s="156">
        <v>1455</v>
      </c>
      <c r="L261" s="156">
        <v>2500</v>
      </c>
      <c r="M261" s="156">
        <v>1330</v>
      </c>
      <c r="N261" s="156">
        <v>2500</v>
      </c>
      <c r="O261" s="156">
        <v>2500</v>
      </c>
      <c r="P261" s="156">
        <v>2500</v>
      </c>
      <c r="Q261" s="156">
        <v>2500</v>
      </c>
      <c r="R261" s="156">
        <v>2500</v>
      </c>
      <c r="S261" s="156">
        <f t="shared" si="102"/>
        <v>0</v>
      </c>
      <c r="T261" s="156">
        <f t="shared" si="103"/>
        <v>0</v>
      </c>
      <c r="U261" s="140">
        <f t="shared" si="104"/>
        <v>0</v>
      </c>
      <c r="V261" s="140">
        <f t="shared" si="105"/>
        <v>1.4359</v>
      </c>
      <c r="W261" s="140">
        <f t="shared" si="106"/>
        <v>-0.41799999999999998</v>
      </c>
      <c r="X261" s="140">
        <f t="shared" si="107"/>
        <v>-0.46800000000000003</v>
      </c>
      <c r="Y261" s="140">
        <f t="shared" si="108"/>
        <v>0</v>
      </c>
      <c r="Z261" s="140">
        <f t="shared" si="109"/>
        <v>-0.76107393571164661</v>
      </c>
      <c r="AA261" s="140">
        <f t="shared" si="110"/>
        <v>0</v>
      </c>
      <c r="AB261" s="140">
        <f t="shared" si="111"/>
        <v>-8.5910652920962199E-2</v>
      </c>
      <c r="AC261" s="140">
        <f t="shared" si="112"/>
        <v>0</v>
      </c>
      <c r="AD261" s="140">
        <f t="shared" si="113"/>
        <v>0</v>
      </c>
      <c r="AE261" s="140">
        <f t="shared" si="114"/>
        <v>0</v>
      </c>
      <c r="AF261" s="140">
        <f t="shared" si="115"/>
        <v>0</v>
      </c>
      <c r="AG261" s="140">
        <f t="shared" si="116"/>
        <v>0</v>
      </c>
      <c r="AH261" s="140">
        <f t="shared" si="117"/>
        <v>0</v>
      </c>
      <c r="AI261" s="140">
        <f t="shared" si="118"/>
        <v>0</v>
      </c>
      <c r="AJ261" s="140">
        <f t="shared" si="119"/>
        <v>0</v>
      </c>
      <c r="AK261" s="140">
        <f t="shared" si="120"/>
        <v>0</v>
      </c>
      <c r="AL261" s="140">
        <f t="shared" si="121"/>
        <v>0</v>
      </c>
      <c r="AM261" t="str">
        <f t="shared" si="122"/>
        <v>4350-000: Medical services Services</v>
      </c>
      <c r="AN261" s="140">
        <f t="shared" si="123"/>
        <v>0</v>
      </c>
      <c r="AO261" s="140">
        <f t="shared" si="124"/>
        <v>0</v>
      </c>
      <c r="AP261" s="1" t="str">
        <f>IF(AND(AO261&gt;0, _xlfn.XLOOKUP($AM261, Discretionaries!$A$2:'Discretionaries'!$A$150, Discretionaries!$B$2:'Discretionaries'!$B$150)), (1+AN261)*$N261, "")</f>
        <v/>
      </c>
      <c r="AQ261" s="1" t="str">
        <f>IF(AND(AO261&gt;0, _xlfn.XLOOKUP($AM261, Discretionaries!$A$2:'Discretionaries'!$A$150, Discretionaries!$B$2:'Discretionaries'!$B$150)),AP261-$Q261,"")</f>
        <v/>
      </c>
      <c r="AR261" s="140">
        <f>IF(AG261="", 0-CPI!$B$15, AG261-CPI!$B$15)</f>
        <v>-3.8999999999999993E-2</v>
      </c>
      <c r="AS261" s="1" t="str">
        <f>IF(AND(AR261&gt;0, _xlfn.XLOOKUP($AM261, Discretionaries!$A$2:'Discretionaries'!$A$150, Discretionaries!$B$2:'Discretionaries'!$B$150)), (1+CPI!$B$15)*$N261, "")</f>
        <v/>
      </c>
      <c r="AT261" s="1" t="str">
        <f>IF(AND(AR261&gt;0, _xlfn.XLOOKUP($AM261, Discretionaries!$A$2:'Discretionaries'!$A$150, Discretionaries!$B$2:'Discretionaries'!$B$150)),AS261-$Q261,"")</f>
        <v/>
      </c>
    </row>
    <row r="262" spans="1:46" x14ac:dyDescent="0.3">
      <c r="A262" t="s">
        <v>425</v>
      </c>
      <c r="B262" t="str">
        <f t="shared" si="100"/>
        <v>20</v>
      </c>
      <c r="C262" t="s">
        <v>429</v>
      </c>
      <c r="D262" t="str">
        <f t="shared" si="101"/>
        <v>12</v>
      </c>
      <c r="E262" t="s">
        <v>133</v>
      </c>
      <c r="F262" s="139" t="s">
        <v>146</v>
      </c>
      <c r="G262" t="s">
        <v>147</v>
      </c>
      <c r="H262" s="156">
        <v>36600</v>
      </c>
      <c r="I262" s="156">
        <v>36486.800000000003</v>
      </c>
      <c r="J262" s="156">
        <v>4000</v>
      </c>
      <c r="K262" s="156">
        <v>6700</v>
      </c>
      <c r="L262" s="156">
        <v>4000</v>
      </c>
      <c r="M262" s="156">
        <v>101.48</v>
      </c>
      <c r="N262" s="156">
        <v>4000</v>
      </c>
      <c r="O262" s="156">
        <v>4000</v>
      </c>
      <c r="P262" s="156">
        <v>4000</v>
      </c>
      <c r="Q262" s="156">
        <v>4000</v>
      </c>
      <c r="R262" s="156">
        <v>4000</v>
      </c>
      <c r="S262" s="156">
        <f t="shared" si="102"/>
        <v>0</v>
      </c>
      <c r="T262" s="156">
        <f t="shared" si="103"/>
        <v>0</v>
      </c>
      <c r="U262" s="140">
        <f t="shared" si="104"/>
        <v>0</v>
      </c>
      <c r="V262" s="140">
        <f t="shared" si="105"/>
        <v>-3.0928961748633087E-3</v>
      </c>
      <c r="W262" s="140">
        <f t="shared" si="106"/>
        <v>0.67500000000000004</v>
      </c>
      <c r="X262" s="140">
        <f t="shared" si="107"/>
        <v>-0.97463</v>
      </c>
      <c r="Y262" s="140">
        <f t="shared" si="108"/>
        <v>-0.89071038251366119</v>
      </c>
      <c r="Z262" s="140">
        <f t="shared" si="109"/>
        <v>-0.81637194821140802</v>
      </c>
      <c r="AA262" s="140">
        <f t="shared" si="110"/>
        <v>0</v>
      </c>
      <c r="AB262" s="140">
        <f t="shared" si="111"/>
        <v>-0.98485373134328369</v>
      </c>
      <c r="AC262" s="140">
        <f t="shared" si="112"/>
        <v>0</v>
      </c>
      <c r="AD262" s="140">
        <f t="shared" si="113"/>
        <v>-0.89071038251366119</v>
      </c>
      <c r="AE262" s="140">
        <f t="shared" si="114"/>
        <v>0</v>
      </c>
      <c r="AF262" s="140">
        <f t="shared" si="115"/>
        <v>0</v>
      </c>
      <c r="AG262" s="140">
        <f t="shared" si="116"/>
        <v>0</v>
      </c>
      <c r="AH262" s="140">
        <f t="shared" si="117"/>
        <v>0</v>
      </c>
      <c r="AI262" s="140">
        <f t="shared" si="118"/>
        <v>-0.89071038251366119</v>
      </c>
      <c r="AJ262" s="140">
        <f t="shared" si="119"/>
        <v>-0.89071038251366119</v>
      </c>
      <c r="AK262" s="140">
        <f t="shared" si="120"/>
        <v>-0.89071038251366119</v>
      </c>
      <c r="AL262" s="140">
        <f t="shared" si="121"/>
        <v>-0.89071038251366119</v>
      </c>
      <c r="AM262" t="str">
        <f t="shared" si="122"/>
        <v>4430-000: Repairs &amp; maint Service</v>
      </c>
      <c r="AN262" s="140">
        <f t="shared" si="123"/>
        <v>-0.29690346083788705</v>
      </c>
      <c r="AO262" s="140">
        <f t="shared" si="124"/>
        <v>0.29690346083788705</v>
      </c>
      <c r="AP262" s="1">
        <f>IF(AND(AO262&gt;0, _xlfn.XLOOKUP($AM262, Discretionaries!$A$2:'Discretionaries'!$A$150, Discretionaries!$B$2:'Discretionaries'!$B$150)), (1+AN262)*$N262, "")</f>
        <v>2812.3861566484516</v>
      </c>
      <c r="AQ262" s="1">
        <f>IF(AND(AO262&gt;0, _xlfn.XLOOKUP($AM262, Discretionaries!$A$2:'Discretionaries'!$A$150, Discretionaries!$B$2:'Discretionaries'!$B$150)),AP262-$Q262,"")</f>
        <v>-1187.6138433515484</v>
      </c>
      <c r="AR262" s="140">
        <f>IF(AG262="", 0-CPI!$B$15, AG262-CPI!$B$15)</f>
        <v>-3.8999999999999993E-2</v>
      </c>
      <c r="AS262" s="1" t="str">
        <f>IF(AND(AR262&gt;0, _xlfn.XLOOKUP($AM262, Discretionaries!$A$2:'Discretionaries'!$A$150, Discretionaries!$B$2:'Discretionaries'!$B$150)), (1+CPI!$B$15)*$N262, "")</f>
        <v/>
      </c>
      <c r="AT262" s="1" t="str">
        <f>IF(AND(AR262&gt;0, _xlfn.XLOOKUP($AM262, Discretionaries!$A$2:'Discretionaries'!$A$150, Discretionaries!$B$2:'Discretionaries'!$B$150)),AS262-$Q262,"")</f>
        <v/>
      </c>
    </row>
    <row r="263" spans="1:46" x14ac:dyDescent="0.3">
      <c r="A263" t="s">
        <v>425</v>
      </c>
      <c r="B263" t="str">
        <f t="shared" si="100"/>
        <v>20</v>
      </c>
      <c r="C263" t="s">
        <v>429</v>
      </c>
      <c r="D263" t="str">
        <f t="shared" si="101"/>
        <v>12</v>
      </c>
      <c r="E263" t="s">
        <v>45</v>
      </c>
      <c r="F263" s="139" t="s">
        <v>24</v>
      </c>
      <c r="G263" t="s">
        <v>25</v>
      </c>
      <c r="H263" s="156">
        <v>5000</v>
      </c>
      <c r="I263" s="156">
        <v>268.64999999999998</v>
      </c>
      <c r="J263" s="156">
        <v>500</v>
      </c>
      <c r="K263" s="156">
        <v>5404.35</v>
      </c>
      <c r="L263" s="156">
        <v>500</v>
      </c>
      <c r="M263" s="156">
        <v>1072</v>
      </c>
      <c r="N263" s="156">
        <v>500</v>
      </c>
      <c r="O263" s="156">
        <v>500</v>
      </c>
      <c r="P263" s="156">
        <v>500</v>
      </c>
      <c r="Q263" s="156">
        <v>500</v>
      </c>
      <c r="R263" s="156">
        <v>500</v>
      </c>
      <c r="S263" s="156">
        <f t="shared" si="102"/>
        <v>0</v>
      </c>
      <c r="T263" s="156">
        <f t="shared" si="103"/>
        <v>0</v>
      </c>
      <c r="U263" s="140">
        <f t="shared" si="104"/>
        <v>0</v>
      </c>
      <c r="V263" s="140">
        <f t="shared" si="105"/>
        <v>-0.94627000000000006</v>
      </c>
      <c r="W263" s="140">
        <f t="shared" si="106"/>
        <v>9.8087</v>
      </c>
      <c r="X263" s="140">
        <f t="shared" si="107"/>
        <v>1.1439999999999999</v>
      </c>
      <c r="Y263" s="140">
        <f t="shared" si="108"/>
        <v>-0.9</v>
      </c>
      <c r="Z263" s="140">
        <f t="shared" si="109"/>
        <v>19.116694584031272</v>
      </c>
      <c r="AA263" s="140">
        <f t="shared" si="110"/>
        <v>0</v>
      </c>
      <c r="AB263" s="140">
        <f t="shared" si="111"/>
        <v>-0.801641270458057</v>
      </c>
      <c r="AC263" s="140">
        <f t="shared" si="112"/>
        <v>0</v>
      </c>
      <c r="AD263" s="140">
        <f t="shared" si="113"/>
        <v>-0.9</v>
      </c>
      <c r="AE263" s="140">
        <f t="shared" si="114"/>
        <v>0</v>
      </c>
      <c r="AF263" s="140">
        <f t="shared" si="115"/>
        <v>0</v>
      </c>
      <c r="AG263" s="140">
        <f t="shared" si="116"/>
        <v>0</v>
      </c>
      <c r="AH263" s="140">
        <f t="shared" si="117"/>
        <v>0</v>
      </c>
      <c r="AI263" s="140">
        <f t="shared" si="118"/>
        <v>-0.9</v>
      </c>
      <c r="AJ263" s="140">
        <f t="shared" si="119"/>
        <v>-0.9</v>
      </c>
      <c r="AK263" s="140">
        <f t="shared" si="120"/>
        <v>-0.9</v>
      </c>
      <c r="AL263" s="140">
        <f t="shared" si="121"/>
        <v>-0.9</v>
      </c>
      <c r="AM263" t="str">
        <f t="shared" si="122"/>
        <v>4570-000: Sem &amp; workshops Services</v>
      </c>
      <c r="AN263" s="140">
        <f t="shared" si="123"/>
        <v>-0.3</v>
      </c>
      <c r="AO263" s="140">
        <f t="shared" si="124"/>
        <v>0.3</v>
      </c>
      <c r="AP263" s="1">
        <f>IF(AND(AO263&gt;0, _xlfn.XLOOKUP($AM263, Discretionaries!$A$2:'Discretionaries'!$A$150, Discretionaries!$B$2:'Discretionaries'!$B$150)), (1+AN263)*$N263, "")</f>
        <v>350</v>
      </c>
      <c r="AQ263" s="1">
        <f>IF(AND(AO263&gt;0, _xlfn.XLOOKUP($AM263, Discretionaries!$A$2:'Discretionaries'!$A$150, Discretionaries!$B$2:'Discretionaries'!$B$150)),AP263-$Q263,"")</f>
        <v>-150</v>
      </c>
      <c r="AR263" s="140">
        <f>IF(AG263="", 0-CPI!$B$15, AG263-CPI!$B$15)</f>
        <v>-3.8999999999999993E-2</v>
      </c>
      <c r="AS263" s="1" t="str">
        <f>IF(AND(AR263&gt;0, _xlfn.XLOOKUP($AM263, Discretionaries!$A$2:'Discretionaries'!$A$150, Discretionaries!$B$2:'Discretionaries'!$B$150)), (1+CPI!$B$15)*$N263, "")</f>
        <v/>
      </c>
      <c r="AT263" s="1" t="str">
        <f>IF(AND(AR263&gt;0, _xlfn.XLOOKUP($AM263, Discretionaries!$A$2:'Discretionaries'!$A$150, Discretionaries!$B$2:'Discretionaries'!$B$150)),AS263-$Q263,"")</f>
        <v/>
      </c>
    </row>
    <row r="264" spans="1:46" x14ac:dyDescent="0.3">
      <c r="A264" t="s">
        <v>425</v>
      </c>
      <c r="B264" t="str">
        <f t="shared" si="100"/>
        <v>20</v>
      </c>
      <c r="C264" t="s">
        <v>429</v>
      </c>
      <c r="D264" t="str">
        <f t="shared" si="101"/>
        <v>12</v>
      </c>
      <c r="E264" t="s">
        <v>30</v>
      </c>
      <c r="F264" s="139" t="s">
        <v>252</v>
      </c>
      <c r="G264" t="s">
        <v>253</v>
      </c>
      <c r="H264" s="156">
        <v>2000</v>
      </c>
      <c r="I264" s="156">
        <v>1714.96</v>
      </c>
      <c r="J264" s="156">
        <v>2000</v>
      </c>
      <c r="K264" s="156">
        <v>881.64</v>
      </c>
      <c r="L264" s="156">
        <v>2000</v>
      </c>
      <c r="M264" s="156">
        <v>352.76</v>
      </c>
      <c r="N264" s="156">
        <v>2000</v>
      </c>
      <c r="O264" s="156">
        <v>2000</v>
      </c>
      <c r="P264" s="156">
        <v>2000</v>
      </c>
      <c r="Q264" s="156">
        <v>2000</v>
      </c>
      <c r="R264" s="156">
        <v>2000</v>
      </c>
      <c r="S264" s="156">
        <f t="shared" si="102"/>
        <v>0</v>
      </c>
      <c r="T264" s="156">
        <f t="shared" si="103"/>
        <v>0</v>
      </c>
      <c r="U264" s="140">
        <f t="shared" si="104"/>
        <v>0</v>
      </c>
      <c r="V264" s="140">
        <f t="shared" si="105"/>
        <v>-0.14251999999999998</v>
      </c>
      <c r="W264" s="140">
        <f t="shared" si="106"/>
        <v>-0.55918000000000001</v>
      </c>
      <c r="X264" s="140">
        <f t="shared" si="107"/>
        <v>-0.82362000000000002</v>
      </c>
      <c r="Y264" s="140">
        <f t="shared" si="108"/>
        <v>0</v>
      </c>
      <c r="Z264" s="140">
        <f t="shared" si="109"/>
        <v>-0.48591220786490646</v>
      </c>
      <c r="AA264" s="140">
        <f t="shared" si="110"/>
        <v>0</v>
      </c>
      <c r="AB264" s="140">
        <f t="shared" si="111"/>
        <v>-0.59988203802005358</v>
      </c>
      <c r="AC264" s="140">
        <f t="shared" si="112"/>
        <v>0</v>
      </c>
      <c r="AD264" s="140">
        <f t="shared" si="113"/>
        <v>0</v>
      </c>
      <c r="AE264" s="140">
        <f t="shared" si="114"/>
        <v>0</v>
      </c>
      <c r="AF264" s="140">
        <f t="shared" si="115"/>
        <v>0</v>
      </c>
      <c r="AG264" s="140">
        <f t="shared" si="116"/>
        <v>0</v>
      </c>
      <c r="AH264" s="140">
        <f t="shared" si="117"/>
        <v>0</v>
      </c>
      <c r="AI264" s="140">
        <f t="shared" si="118"/>
        <v>0</v>
      </c>
      <c r="AJ264" s="140">
        <f t="shared" si="119"/>
        <v>0</v>
      </c>
      <c r="AK264" s="140">
        <f t="shared" si="120"/>
        <v>0</v>
      </c>
      <c r="AL264" s="140">
        <f t="shared" si="121"/>
        <v>0</v>
      </c>
      <c r="AM264" t="str">
        <f t="shared" si="122"/>
        <v>4612-000: Crime prevention Supplies</v>
      </c>
      <c r="AN264" s="140">
        <f t="shared" si="123"/>
        <v>0</v>
      </c>
      <c r="AO264" s="140">
        <f t="shared" si="124"/>
        <v>0</v>
      </c>
      <c r="AP264" s="1" t="str">
        <f>IF(AND(AO264&gt;0, _xlfn.XLOOKUP($AM264, Discretionaries!$A$2:'Discretionaries'!$A$150, Discretionaries!$B$2:'Discretionaries'!$B$150)), (1+AN264)*$N264, "")</f>
        <v/>
      </c>
      <c r="AQ264" s="1" t="str">
        <f>IF(AND(AO264&gt;0, _xlfn.XLOOKUP($AM264, Discretionaries!$A$2:'Discretionaries'!$A$150, Discretionaries!$B$2:'Discretionaries'!$B$150)),AP264-$Q264,"")</f>
        <v/>
      </c>
      <c r="AR264" s="140">
        <f>IF(AG264="", 0-CPI!$B$15, AG264-CPI!$B$15)</f>
        <v>-3.8999999999999993E-2</v>
      </c>
      <c r="AS264" s="1" t="str">
        <f>IF(AND(AR264&gt;0, _xlfn.XLOOKUP($AM264, Discretionaries!$A$2:'Discretionaries'!$A$150, Discretionaries!$B$2:'Discretionaries'!$B$150)), (1+CPI!$B$15)*$N264, "")</f>
        <v/>
      </c>
      <c r="AT264" s="1" t="str">
        <f>IF(AND(AR264&gt;0, _xlfn.XLOOKUP($AM264, Discretionaries!$A$2:'Discretionaries'!$A$150, Discretionaries!$B$2:'Discretionaries'!$B$150)),AS264-$Q264,"")</f>
        <v/>
      </c>
    </row>
    <row r="265" spans="1:46" x14ac:dyDescent="0.3">
      <c r="A265" t="s">
        <v>425</v>
      </c>
      <c r="B265" t="str">
        <f t="shared" si="100"/>
        <v>20</v>
      </c>
      <c r="C265" t="s">
        <v>429</v>
      </c>
      <c r="D265" t="str">
        <f t="shared" si="101"/>
        <v>12</v>
      </c>
      <c r="E265" t="s">
        <v>30</v>
      </c>
      <c r="F265" s="139" t="s">
        <v>254</v>
      </c>
      <c r="G265" t="s">
        <v>255</v>
      </c>
      <c r="H265" s="156">
        <v>0</v>
      </c>
      <c r="I265" s="156">
        <v>722.08</v>
      </c>
      <c r="J265" s="156">
        <v>0</v>
      </c>
      <c r="K265" s="156">
        <v>0</v>
      </c>
      <c r="L265" s="156">
        <v>0</v>
      </c>
      <c r="M265" s="156">
        <v>198.72</v>
      </c>
      <c r="N265" s="156">
        <v>0</v>
      </c>
      <c r="O265" s="156">
        <v>0</v>
      </c>
      <c r="P265" s="156">
        <v>0</v>
      </c>
      <c r="Q265" s="156">
        <v>0</v>
      </c>
      <c r="R265" s="156">
        <v>0</v>
      </c>
      <c r="S265" s="156">
        <f t="shared" si="102"/>
        <v>0</v>
      </c>
      <c r="T265" s="156">
        <f t="shared" si="103"/>
        <v>0</v>
      </c>
      <c r="U265" s="140" t="str">
        <f t="shared" si="104"/>
        <v/>
      </c>
      <c r="V265" s="140" t="str">
        <f t="shared" si="105"/>
        <v/>
      </c>
      <c r="W265" s="140" t="str">
        <f t="shared" si="106"/>
        <v/>
      </c>
      <c r="X265" s="140" t="str">
        <f t="shared" si="107"/>
        <v/>
      </c>
      <c r="Y265" s="140" t="str">
        <f t="shared" si="108"/>
        <v/>
      </c>
      <c r="Z265" s="140">
        <f t="shared" si="109"/>
        <v>-1</v>
      </c>
      <c r="AA265" s="140" t="str">
        <f t="shared" si="110"/>
        <v/>
      </c>
      <c r="AB265" s="140" t="str">
        <f t="shared" si="111"/>
        <v/>
      </c>
      <c r="AC265" s="140" t="str">
        <f t="shared" si="112"/>
        <v/>
      </c>
      <c r="AD265" s="140" t="str">
        <f t="shared" si="113"/>
        <v/>
      </c>
      <c r="AE265" s="140" t="str">
        <f t="shared" si="114"/>
        <v/>
      </c>
      <c r="AF265" s="140" t="str">
        <f t="shared" si="115"/>
        <v/>
      </c>
      <c r="AG265" s="140" t="str">
        <f t="shared" si="116"/>
        <v/>
      </c>
      <c r="AH265" s="140" t="str">
        <f t="shared" si="117"/>
        <v/>
      </c>
      <c r="AI265" s="140" t="str">
        <f t="shared" si="118"/>
        <v/>
      </c>
      <c r="AJ265" s="140" t="str">
        <f t="shared" si="119"/>
        <v/>
      </c>
      <c r="AK265" s="140" t="str">
        <f t="shared" si="120"/>
        <v/>
      </c>
      <c r="AL265" s="140" t="str">
        <f t="shared" si="121"/>
        <v/>
      </c>
      <c r="AM265" t="str">
        <f t="shared" si="122"/>
        <v>4613-000: Safety program Supplies</v>
      </c>
      <c r="AN265" s="140">
        <f t="shared" si="123"/>
        <v>0</v>
      </c>
      <c r="AO265" s="140">
        <f t="shared" si="124"/>
        <v>0</v>
      </c>
      <c r="AP265" s="1" t="str">
        <f>IF(AND(AO265&gt;0, _xlfn.XLOOKUP($AM265, Discretionaries!$A$2:'Discretionaries'!$A$150, Discretionaries!$B$2:'Discretionaries'!$B$150)), (1+AN265)*$N265, "")</f>
        <v/>
      </c>
      <c r="AQ265" s="1" t="str">
        <f>IF(AND(AO265&gt;0, _xlfn.XLOOKUP($AM265, Discretionaries!$A$2:'Discretionaries'!$A$150, Discretionaries!$B$2:'Discretionaries'!$B$150)),AP265-$Q265,"")</f>
        <v/>
      </c>
      <c r="AR265" s="140">
        <f>IF(AG265="", 0-CPI!$B$15, AG265-CPI!$B$15)</f>
        <v>-3.8999999999999993E-2</v>
      </c>
      <c r="AS265" s="1" t="str">
        <f>IF(AND(AR265&gt;0, _xlfn.XLOOKUP($AM265, Discretionaries!$A$2:'Discretionaries'!$A$150, Discretionaries!$B$2:'Discretionaries'!$B$150)), (1+CPI!$B$15)*$N265, "")</f>
        <v/>
      </c>
      <c r="AT265" s="1" t="str">
        <f>IF(AND(AR265&gt;0, _xlfn.XLOOKUP($AM265, Discretionaries!$A$2:'Discretionaries'!$A$150, Discretionaries!$B$2:'Discretionaries'!$B$150)),AS265-$Q265,"")</f>
        <v/>
      </c>
    </row>
    <row r="266" spans="1:46" x14ac:dyDescent="0.3">
      <c r="A266" t="s">
        <v>425</v>
      </c>
      <c r="B266" t="str">
        <f t="shared" si="100"/>
        <v>20</v>
      </c>
      <c r="C266" t="s">
        <v>429</v>
      </c>
      <c r="D266" t="str">
        <f t="shared" si="101"/>
        <v>12</v>
      </c>
      <c r="E266" t="s">
        <v>30</v>
      </c>
      <c r="F266" s="139" t="s">
        <v>170</v>
      </c>
      <c r="G266" t="s">
        <v>171</v>
      </c>
      <c r="H266" s="156">
        <v>4000</v>
      </c>
      <c r="I266" s="156">
        <v>51312.04</v>
      </c>
      <c r="J266" s="156">
        <v>60000</v>
      </c>
      <c r="K266" s="156">
        <v>54648.83</v>
      </c>
      <c r="L266" s="156">
        <v>60000</v>
      </c>
      <c r="M266" s="156">
        <v>68432.75</v>
      </c>
      <c r="N266" s="156">
        <v>60000</v>
      </c>
      <c r="O266" s="156">
        <v>60000</v>
      </c>
      <c r="P266" s="156">
        <v>60000</v>
      </c>
      <c r="Q266" s="156">
        <v>60000</v>
      </c>
      <c r="R266" s="156">
        <v>60000</v>
      </c>
      <c r="S266" s="156">
        <f t="shared" si="102"/>
        <v>0</v>
      </c>
      <c r="T266" s="156">
        <f t="shared" si="103"/>
        <v>0</v>
      </c>
      <c r="U266" s="140">
        <f t="shared" si="104"/>
        <v>0</v>
      </c>
      <c r="V266" s="140">
        <f t="shared" si="105"/>
        <v>11.828010000000001</v>
      </c>
      <c r="W266" s="140">
        <f t="shared" si="106"/>
        <v>-8.9186166666666636E-2</v>
      </c>
      <c r="X266" s="140">
        <f t="shared" si="107"/>
        <v>0.14054583333333334</v>
      </c>
      <c r="Y266" s="140">
        <f t="shared" si="108"/>
        <v>14</v>
      </c>
      <c r="Z266" s="140">
        <f t="shared" si="109"/>
        <v>6.502937712084729E-2</v>
      </c>
      <c r="AA266" s="140">
        <f t="shared" si="110"/>
        <v>0</v>
      </c>
      <c r="AB266" s="140">
        <f t="shared" si="111"/>
        <v>0.25222717485442958</v>
      </c>
      <c r="AC266" s="140">
        <f t="shared" si="112"/>
        <v>0</v>
      </c>
      <c r="AD266" s="140">
        <f t="shared" si="113"/>
        <v>14</v>
      </c>
      <c r="AE266" s="140">
        <f t="shared" si="114"/>
        <v>0</v>
      </c>
      <c r="AF266" s="140">
        <f t="shared" si="115"/>
        <v>0</v>
      </c>
      <c r="AG266" s="140">
        <f t="shared" si="116"/>
        <v>0</v>
      </c>
      <c r="AH266" s="140">
        <f t="shared" si="117"/>
        <v>0</v>
      </c>
      <c r="AI266" s="140">
        <f t="shared" si="118"/>
        <v>14</v>
      </c>
      <c r="AJ266" s="140">
        <f t="shared" si="119"/>
        <v>14</v>
      </c>
      <c r="AK266" s="140">
        <f t="shared" si="120"/>
        <v>14</v>
      </c>
      <c r="AL266" s="140">
        <f t="shared" si="121"/>
        <v>14</v>
      </c>
      <c r="AM266" t="str">
        <f t="shared" si="122"/>
        <v>4660-000: Vehicle repairs Supplies</v>
      </c>
      <c r="AN266" s="140">
        <f t="shared" si="123"/>
        <v>4.666666666666667</v>
      </c>
      <c r="AO266" s="140">
        <f t="shared" si="124"/>
        <v>-4.666666666666667</v>
      </c>
      <c r="AP266" s="1" t="str">
        <f>IF(AND(AO266&gt;0, _xlfn.XLOOKUP($AM266, Discretionaries!$A$2:'Discretionaries'!$A$150, Discretionaries!$B$2:'Discretionaries'!$B$150)), (1+AN266)*$N266, "")</f>
        <v/>
      </c>
      <c r="AQ266" s="1" t="str">
        <f>IF(AND(AO266&gt;0, _xlfn.XLOOKUP($AM266, Discretionaries!$A$2:'Discretionaries'!$A$150, Discretionaries!$B$2:'Discretionaries'!$B$150)),AP266-$Q266,"")</f>
        <v/>
      </c>
      <c r="AR266" s="140">
        <f>IF(AG266="", 0-CPI!$B$15, AG266-CPI!$B$15)</f>
        <v>-3.8999999999999993E-2</v>
      </c>
      <c r="AS266" s="1" t="str">
        <f>IF(AND(AR266&gt;0, _xlfn.XLOOKUP($AM266, Discretionaries!$A$2:'Discretionaries'!$A$150, Discretionaries!$B$2:'Discretionaries'!$B$150)), (1+CPI!$B$15)*$N266, "")</f>
        <v/>
      </c>
      <c r="AT266" s="1" t="str">
        <f>IF(AND(AR266&gt;0, _xlfn.XLOOKUP($AM266, Discretionaries!$A$2:'Discretionaries'!$A$150, Discretionaries!$B$2:'Discretionaries'!$B$150)),AS266-$Q266,"")</f>
        <v/>
      </c>
    </row>
    <row r="267" spans="1:46" x14ac:dyDescent="0.3">
      <c r="A267" t="s">
        <v>425</v>
      </c>
      <c r="B267" t="str">
        <f t="shared" si="100"/>
        <v>20</v>
      </c>
      <c r="C267" t="s">
        <v>429</v>
      </c>
      <c r="D267" t="str">
        <f t="shared" si="101"/>
        <v>12</v>
      </c>
      <c r="E267" t="s">
        <v>54</v>
      </c>
      <c r="F267" s="139" t="s">
        <v>256</v>
      </c>
      <c r="G267" t="s">
        <v>257</v>
      </c>
      <c r="H267" s="156">
        <v>150000</v>
      </c>
      <c r="I267" s="156">
        <v>129625.85</v>
      </c>
      <c r="J267" s="156">
        <v>150000</v>
      </c>
      <c r="K267" s="156">
        <v>211267.35</v>
      </c>
      <c r="L267" s="156">
        <v>150000</v>
      </c>
      <c r="M267" s="156">
        <v>150000</v>
      </c>
      <c r="N267" s="156">
        <v>518181</v>
      </c>
      <c r="O267" s="156">
        <v>468181</v>
      </c>
      <c r="P267" s="156">
        <v>468181</v>
      </c>
      <c r="Q267" s="156">
        <v>468181</v>
      </c>
      <c r="R267" s="156">
        <v>468181</v>
      </c>
      <c r="S267" s="156">
        <f t="shared" si="102"/>
        <v>-50000</v>
      </c>
      <c r="T267" s="156">
        <f t="shared" si="103"/>
        <v>0</v>
      </c>
      <c r="U267" s="140">
        <f t="shared" si="104"/>
        <v>-9.6491380424986631E-2</v>
      </c>
      <c r="V267" s="140">
        <f t="shared" si="105"/>
        <v>-0.13582766666666662</v>
      </c>
      <c r="W267" s="140">
        <f t="shared" si="106"/>
        <v>0.40844900000000006</v>
      </c>
      <c r="X267" s="140">
        <f t="shared" si="107"/>
        <v>0</v>
      </c>
      <c r="Y267" s="140">
        <f t="shared" si="108"/>
        <v>0</v>
      </c>
      <c r="Z267" s="140">
        <f t="shared" si="109"/>
        <v>0.62982422101764424</v>
      </c>
      <c r="AA267" s="140">
        <f t="shared" si="110"/>
        <v>0</v>
      </c>
      <c r="AB267" s="140">
        <f t="shared" si="111"/>
        <v>-0.28999914089896051</v>
      </c>
      <c r="AC267" s="140">
        <f t="shared" si="112"/>
        <v>2.4545400000000002</v>
      </c>
      <c r="AD267" s="140">
        <f t="shared" si="113"/>
        <v>2.4545400000000002</v>
      </c>
      <c r="AE267" s="140">
        <f t="shared" si="114"/>
        <v>-9.6491380424986631E-2</v>
      </c>
      <c r="AF267" s="140">
        <f t="shared" si="115"/>
        <v>-9.6491380424986631E-2</v>
      </c>
      <c r="AG267" s="140">
        <f t="shared" si="116"/>
        <v>-9.6491380424986631E-2</v>
      </c>
      <c r="AH267" s="140">
        <f t="shared" si="117"/>
        <v>-9.6491380424986631E-2</v>
      </c>
      <c r="AI267" s="140">
        <f t="shared" si="118"/>
        <v>2.1212066666666667</v>
      </c>
      <c r="AJ267" s="140">
        <f t="shared" si="119"/>
        <v>2.1212066666666667</v>
      </c>
      <c r="AK267" s="140">
        <f t="shared" si="120"/>
        <v>2.1212066666666667</v>
      </c>
      <c r="AL267" s="140">
        <f t="shared" si="121"/>
        <v>2.1212066666666667</v>
      </c>
      <c r="AM267" t="str">
        <f t="shared" si="122"/>
        <v>4744-000: Capital leases Property</v>
      </c>
      <c r="AN267" s="140">
        <f t="shared" si="123"/>
        <v>0.81818000000000002</v>
      </c>
      <c r="AO267" s="140">
        <f t="shared" si="124"/>
        <v>-0.91467138042498664</v>
      </c>
      <c r="AP267" s="1" t="str">
        <f>IF(AND(AO267&gt;0, _xlfn.XLOOKUP($AM267, Discretionaries!$A$2:'Discretionaries'!$A$150, Discretionaries!$B$2:'Discretionaries'!$B$150)), (1+AN267)*$N267, "")</f>
        <v/>
      </c>
      <c r="AQ267" s="1" t="str">
        <f>IF(AND(AO267&gt;0, _xlfn.XLOOKUP($AM267, Discretionaries!$A$2:'Discretionaries'!$A$150, Discretionaries!$B$2:'Discretionaries'!$B$150)),AP267-$Q267,"")</f>
        <v/>
      </c>
      <c r="AR267" s="140">
        <f>IF(AG267="", 0-CPI!$B$15, AG267-CPI!$B$15)</f>
        <v>-0.13549138042498662</v>
      </c>
      <c r="AS267" s="1" t="str">
        <f>IF(AND(AR267&gt;0, _xlfn.XLOOKUP($AM267, Discretionaries!$A$2:'Discretionaries'!$A$150, Discretionaries!$B$2:'Discretionaries'!$B$150)), (1+CPI!$B$15)*$N267, "")</f>
        <v/>
      </c>
      <c r="AT267" s="1" t="str">
        <f>IF(AND(AR267&gt;0, _xlfn.XLOOKUP($AM267, Discretionaries!$A$2:'Discretionaries'!$A$150, Discretionaries!$B$2:'Discretionaries'!$B$150)),AS267-$Q267,"")</f>
        <v/>
      </c>
    </row>
    <row r="268" spans="1:46" x14ac:dyDescent="0.3">
      <c r="A268" t="s">
        <v>425</v>
      </c>
      <c r="B268" t="str">
        <f t="shared" si="100"/>
        <v>20</v>
      </c>
      <c r="C268" t="s">
        <v>430</v>
      </c>
      <c r="D268" t="str">
        <f t="shared" si="101"/>
        <v>13</v>
      </c>
      <c r="E268" t="s">
        <v>11</v>
      </c>
      <c r="F268" s="139" t="s">
        <v>35</v>
      </c>
      <c r="G268" t="s">
        <v>36</v>
      </c>
      <c r="I268" s="156">
        <v>0</v>
      </c>
      <c r="S268" s="156">
        <f t="shared" si="102"/>
        <v>0</v>
      </c>
      <c r="T268" s="156">
        <f t="shared" si="103"/>
        <v>0</v>
      </c>
      <c r="U268" s="140" t="str">
        <f t="shared" si="104"/>
        <v/>
      </c>
      <c r="V268" s="140" t="str">
        <f t="shared" si="105"/>
        <v/>
      </c>
      <c r="W268" s="140" t="str">
        <f t="shared" si="106"/>
        <v/>
      </c>
      <c r="X268" s="140" t="str">
        <f t="shared" si="107"/>
        <v/>
      </c>
      <c r="Y268" s="140" t="str">
        <f t="shared" si="108"/>
        <v/>
      </c>
      <c r="Z268" s="140" t="str">
        <f t="shared" si="109"/>
        <v/>
      </c>
      <c r="AA268" s="140" t="str">
        <f t="shared" si="110"/>
        <v/>
      </c>
      <c r="AB268" s="140" t="str">
        <f t="shared" si="111"/>
        <v/>
      </c>
      <c r="AC268" s="140" t="str">
        <f t="shared" si="112"/>
        <v/>
      </c>
      <c r="AD268" s="140" t="str">
        <f t="shared" si="113"/>
        <v/>
      </c>
      <c r="AE268" s="140" t="str">
        <f t="shared" si="114"/>
        <v/>
      </c>
      <c r="AF268" s="140" t="str">
        <f t="shared" si="115"/>
        <v/>
      </c>
      <c r="AG268" s="140" t="str">
        <f t="shared" si="116"/>
        <v/>
      </c>
      <c r="AH268" s="140" t="str">
        <f t="shared" si="117"/>
        <v/>
      </c>
      <c r="AI268" s="140" t="str">
        <f t="shared" si="118"/>
        <v/>
      </c>
      <c r="AJ268" s="140" t="str">
        <f t="shared" si="119"/>
        <v/>
      </c>
      <c r="AK268" s="140" t="str">
        <f t="shared" si="120"/>
        <v/>
      </c>
      <c r="AL268" s="140" t="str">
        <f t="shared" si="121"/>
        <v/>
      </c>
      <c r="AM268" t="str">
        <f t="shared" si="122"/>
        <v>4110-000: Regular Salaries</v>
      </c>
      <c r="AN268" s="140">
        <f t="shared" si="123"/>
        <v>0</v>
      </c>
      <c r="AO268" s="140">
        <f t="shared" si="124"/>
        <v>0</v>
      </c>
      <c r="AP268" s="1" t="str">
        <f>IF(AND(AO268&gt;0, _xlfn.XLOOKUP($AM268, Discretionaries!$A$2:'Discretionaries'!$A$150, Discretionaries!$B$2:'Discretionaries'!$B$150)), (1+AN268)*$N268, "")</f>
        <v/>
      </c>
      <c r="AQ268" s="1" t="str">
        <f>IF(AND(AO268&gt;0, _xlfn.XLOOKUP($AM268, Discretionaries!$A$2:'Discretionaries'!$A$150, Discretionaries!$B$2:'Discretionaries'!$B$150)),AP268-$Q268,"")</f>
        <v/>
      </c>
      <c r="AR268" s="140">
        <f>IF(AG268="", 0-CPI!$B$15, AG268-CPI!$B$15)</f>
        <v>-3.8999999999999993E-2</v>
      </c>
      <c r="AS268" s="1" t="str">
        <f>IF(AND(AR268&gt;0, _xlfn.XLOOKUP($AM268, Discretionaries!$A$2:'Discretionaries'!$A$150, Discretionaries!$B$2:'Discretionaries'!$B$150)), (1+CPI!$B$15)*$N268, "")</f>
        <v/>
      </c>
      <c r="AT268" s="1" t="str">
        <f>IF(AND(AR268&gt;0, _xlfn.XLOOKUP($AM268, Discretionaries!$A$2:'Discretionaries'!$A$150, Discretionaries!$B$2:'Discretionaries'!$B$150)),AS268-$Q268,"")</f>
        <v/>
      </c>
    </row>
    <row r="269" spans="1:46" x14ac:dyDescent="0.3">
      <c r="A269" t="s">
        <v>425</v>
      </c>
      <c r="B269" t="str">
        <f t="shared" si="100"/>
        <v>20</v>
      </c>
      <c r="C269" t="s">
        <v>430</v>
      </c>
      <c r="D269" t="str">
        <f t="shared" si="101"/>
        <v>13</v>
      </c>
      <c r="E269" t="s">
        <v>11</v>
      </c>
      <c r="F269" s="139" t="s">
        <v>37</v>
      </c>
      <c r="G269" t="s">
        <v>38</v>
      </c>
      <c r="H269" s="156">
        <v>35190</v>
      </c>
      <c r="I269" s="156">
        <v>41331.08</v>
      </c>
      <c r="J269" s="156">
        <v>35715</v>
      </c>
      <c r="K269" s="156">
        <v>37950.17</v>
      </c>
      <c r="L269" s="156">
        <v>38816</v>
      </c>
      <c r="M269" s="156">
        <v>43294.68</v>
      </c>
      <c r="N269" s="156">
        <v>38445</v>
      </c>
      <c r="O269" s="156">
        <v>39402</v>
      </c>
      <c r="P269" s="156">
        <v>39402</v>
      </c>
      <c r="Q269" s="156">
        <v>39402</v>
      </c>
      <c r="R269" s="156">
        <v>39402</v>
      </c>
      <c r="S269" s="156">
        <f t="shared" si="102"/>
        <v>957</v>
      </c>
      <c r="T269" s="156">
        <f t="shared" si="103"/>
        <v>0</v>
      </c>
      <c r="U269" s="140">
        <f t="shared" si="104"/>
        <v>2.4892703862660945E-2</v>
      </c>
      <c r="V269" s="140">
        <f t="shared" si="105"/>
        <v>0.17451207729468604</v>
      </c>
      <c r="W269" s="140">
        <f t="shared" si="106"/>
        <v>6.2583508329833351E-2</v>
      </c>
      <c r="X269" s="140">
        <f t="shared" si="107"/>
        <v>0.11538231657048641</v>
      </c>
      <c r="Y269" s="140">
        <f t="shared" si="108"/>
        <v>1.4919011082693947E-2</v>
      </c>
      <c r="Z269" s="140">
        <f t="shared" si="109"/>
        <v>-8.1800669133252832E-2</v>
      </c>
      <c r="AA269" s="140">
        <f t="shared" si="110"/>
        <v>8.6826263474730506E-2</v>
      </c>
      <c r="AB269" s="140">
        <f t="shared" si="111"/>
        <v>0.14082967217274658</v>
      </c>
      <c r="AC269" s="140">
        <f t="shared" si="112"/>
        <v>-9.5579142621599333E-3</v>
      </c>
      <c r="AD269" s="140">
        <f t="shared" si="113"/>
        <v>9.2497868712702477E-2</v>
      </c>
      <c r="AE269" s="140">
        <f t="shared" si="114"/>
        <v>2.4892703862660945E-2</v>
      </c>
      <c r="AF269" s="140">
        <f t="shared" si="115"/>
        <v>2.4892703862660945E-2</v>
      </c>
      <c r="AG269" s="140">
        <f t="shared" si="116"/>
        <v>2.4892703862660945E-2</v>
      </c>
      <c r="AH269" s="140">
        <f t="shared" si="117"/>
        <v>2.4892703862660945E-2</v>
      </c>
      <c r="AI269" s="140">
        <f t="shared" si="118"/>
        <v>0.119693094629156</v>
      </c>
      <c r="AJ269" s="140">
        <f t="shared" si="119"/>
        <v>0.119693094629156</v>
      </c>
      <c r="AK269" s="140">
        <f t="shared" si="120"/>
        <v>0.119693094629156</v>
      </c>
      <c r="AL269" s="140">
        <f t="shared" si="121"/>
        <v>0.119693094629156</v>
      </c>
      <c r="AM269" t="str">
        <f t="shared" si="122"/>
        <v>4120-000: Part-time Salaries</v>
      </c>
      <c r="AN269" s="140">
        <f t="shared" si="123"/>
        <v>3.0729120098421506E-2</v>
      </c>
      <c r="AO269" s="140">
        <f t="shared" si="124"/>
        <v>-5.8364162357605609E-3</v>
      </c>
      <c r="AP269" s="1" t="str">
        <f>IF(AND(AO269&gt;0, _xlfn.XLOOKUP($AM269, Discretionaries!$A$2:'Discretionaries'!$A$150, Discretionaries!$B$2:'Discretionaries'!$B$150)), (1+AN269)*$N269, "")</f>
        <v/>
      </c>
      <c r="AQ269" s="1" t="str">
        <f>IF(AND(AO269&gt;0, _xlfn.XLOOKUP($AM269, Discretionaries!$A$2:'Discretionaries'!$A$150, Discretionaries!$B$2:'Discretionaries'!$B$150)),AP269-$Q269,"")</f>
        <v/>
      </c>
      <c r="AR269" s="140">
        <f>IF(AG269="", 0-CPI!$B$15, AG269-CPI!$B$15)</f>
        <v>-1.4107296137339048E-2</v>
      </c>
      <c r="AS269" s="1" t="str">
        <f>IF(AND(AR269&gt;0, _xlfn.XLOOKUP($AM269, Discretionaries!$A$2:'Discretionaries'!$A$150, Discretionaries!$B$2:'Discretionaries'!$B$150)), (1+CPI!$B$15)*$N269, "")</f>
        <v/>
      </c>
      <c r="AT269" s="1" t="str">
        <f>IF(AND(AR269&gt;0, _xlfn.XLOOKUP($AM269, Discretionaries!$A$2:'Discretionaries'!$A$150, Discretionaries!$B$2:'Discretionaries'!$B$150)),AS269-$Q269,"")</f>
        <v/>
      </c>
    </row>
    <row r="270" spans="1:46" x14ac:dyDescent="0.3">
      <c r="A270" t="s">
        <v>425</v>
      </c>
      <c r="B270" t="str">
        <f t="shared" si="100"/>
        <v>20</v>
      </c>
      <c r="C270" t="s">
        <v>430</v>
      </c>
      <c r="D270" t="str">
        <f t="shared" si="101"/>
        <v>13</v>
      </c>
      <c r="E270" t="s">
        <v>14</v>
      </c>
      <c r="F270" s="139" t="s">
        <v>15</v>
      </c>
      <c r="G270" t="s">
        <v>16</v>
      </c>
      <c r="H270" s="156">
        <v>2063</v>
      </c>
      <c r="I270" s="156">
        <v>2205.92</v>
      </c>
      <c r="J270" s="156">
        <v>2338</v>
      </c>
      <c r="K270" s="156">
        <v>2008.45</v>
      </c>
      <c r="L270" s="156">
        <v>2407</v>
      </c>
      <c r="M270" s="156">
        <v>2310.54</v>
      </c>
      <c r="N270" s="156">
        <v>2384</v>
      </c>
      <c r="O270" s="156">
        <v>2443</v>
      </c>
      <c r="P270" s="156">
        <v>2443</v>
      </c>
      <c r="Q270" s="156">
        <v>2443</v>
      </c>
      <c r="R270" s="156">
        <v>2443</v>
      </c>
      <c r="S270" s="156">
        <f t="shared" si="102"/>
        <v>59</v>
      </c>
      <c r="T270" s="156">
        <f t="shared" si="103"/>
        <v>0</v>
      </c>
      <c r="U270" s="140">
        <f t="shared" si="104"/>
        <v>2.4748322147651006E-2</v>
      </c>
      <c r="V270" s="140">
        <f t="shared" si="105"/>
        <v>6.9277750848279238E-2</v>
      </c>
      <c r="W270" s="140">
        <f t="shared" si="106"/>
        <v>-0.14095380667236954</v>
      </c>
      <c r="X270" s="140">
        <f t="shared" si="107"/>
        <v>-4.0074781886165367E-2</v>
      </c>
      <c r="Y270" s="140">
        <f t="shared" si="108"/>
        <v>0.13330101793504606</v>
      </c>
      <c r="Z270" s="140">
        <f t="shared" si="109"/>
        <v>-8.9518205555958519E-2</v>
      </c>
      <c r="AA270" s="140">
        <f t="shared" si="110"/>
        <v>2.9512403763900769E-2</v>
      </c>
      <c r="AB270" s="140">
        <f t="shared" si="111"/>
        <v>0.15040951977893396</v>
      </c>
      <c r="AC270" s="140">
        <f t="shared" si="112"/>
        <v>-9.5554632322393026E-3</v>
      </c>
      <c r="AD270" s="140">
        <f t="shared" si="113"/>
        <v>0.15559864275327193</v>
      </c>
      <c r="AE270" s="140">
        <f t="shared" si="114"/>
        <v>2.4748322147651006E-2</v>
      </c>
      <c r="AF270" s="140">
        <f t="shared" si="115"/>
        <v>2.4748322147651006E-2</v>
      </c>
      <c r="AG270" s="140">
        <f t="shared" si="116"/>
        <v>2.4748322147651006E-2</v>
      </c>
      <c r="AH270" s="140">
        <f t="shared" si="117"/>
        <v>2.4748322147651006E-2</v>
      </c>
      <c r="AI270" s="140">
        <f t="shared" si="118"/>
        <v>0.18419777023751818</v>
      </c>
      <c r="AJ270" s="140">
        <f t="shared" si="119"/>
        <v>0.18419777023751818</v>
      </c>
      <c r="AK270" s="140">
        <f t="shared" si="120"/>
        <v>0.18419777023751818</v>
      </c>
      <c r="AL270" s="140">
        <f t="shared" si="121"/>
        <v>0.18419777023751818</v>
      </c>
      <c r="AM270" t="str">
        <f t="shared" si="122"/>
        <v>4220-000: FICA Benefits</v>
      </c>
      <c r="AN270" s="140">
        <f t="shared" si="123"/>
        <v>5.1085986155569175E-2</v>
      </c>
      <c r="AO270" s="140">
        <f t="shared" si="124"/>
        <v>-2.633766400791817E-2</v>
      </c>
      <c r="AP270" s="1" t="str">
        <f>IF(AND(AO270&gt;0, _xlfn.XLOOKUP($AM270, Discretionaries!$A$2:'Discretionaries'!$A$150, Discretionaries!$B$2:'Discretionaries'!$B$150)), (1+AN270)*$N270, "")</f>
        <v/>
      </c>
      <c r="AQ270" s="1" t="str">
        <f>IF(AND(AO270&gt;0, _xlfn.XLOOKUP($AM270, Discretionaries!$A$2:'Discretionaries'!$A$150, Discretionaries!$B$2:'Discretionaries'!$B$150)),AP270-$Q270,"")</f>
        <v/>
      </c>
      <c r="AR270" s="140">
        <f>IF(AG270="", 0-CPI!$B$15, AG270-CPI!$B$15)</f>
        <v>-1.4251677852348987E-2</v>
      </c>
      <c r="AS270" s="1" t="str">
        <f>IF(AND(AR270&gt;0, _xlfn.XLOOKUP($AM270, Discretionaries!$A$2:'Discretionaries'!$A$150, Discretionaries!$B$2:'Discretionaries'!$B$150)), (1+CPI!$B$15)*$N270, "")</f>
        <v/>
      </c>
      <c r="AT270" s="1" t="str">
        <f>IF(AND(AR270&gt;0, _xlfn.XLOOKUP($AM270, Discretionaries!$A$2:'Discretionaries'!$A$150, Discretionaries!$B$2:'Discretionaries'!$B$150)),AS270-$Q270,"")</f>
        <v/>
      </c>
    </row>
    <row r="271" spans="1:46" x14ac:dyDescent="0.3">
      <c r="A271" t="s">
        <v>425</v>
      </c>
      <c r="B271" t="str">
        <f t="shared" si="100"/>
        <v>20</v>
      </c>
      <c r="C271" t="s">
        <v>430</v>
      </c>
      <c r="D271" t="str">
        <f t="shared" si="101"/>
        <v>13</v>
      </c>
      <c r="E271" t="s">
        <v>14</v>
      </c>
      <c r="F271" s="139" t="s">
        <v>17</v>
      </c>
      <c r="G271" t="s">
        <v>18</v>
      </c>
      <c r="H271" s="156">
        <v>483</v>
      </c>
      <c r="I271" s="156">
        <v>515.9</v>
      </c>
      <c r="J271" s="156">
        <v>548</v>
      </c>
      <c r="K271" s="156">
        <v>469.71</v>
      </c>
      <c r="L271" s="156">
        <v>563</v>
      </c>
      <c r="M271" s="156">
        <v>540.38</v>
      </c>
      <c r="N271" s="156">
        <v>558</v>
      </c>
      <c r="O271" s="156">
        <v>572</v>
      </c>
      <c r="P271" s="156">
        <v>572</v>
      </c>
      <c r="Q271" s="156">
        <v>572</v>
      </c>
      <c r="R271" s="156">
        <v>572</v>
      </c>
      <c r="S271" s="156">
        <f t="shared" si="102"/>
        <v>14</v>
      </c>
      <c r="T271" s="156">
        <f t="shared" si="103"/>
        <v>0</v>
      </c>
      <c r="U271" s="140">
        <f t="shared" si="104"/>
        <v>2.5089605734767026E-2</v>
      </c>
      <c r="V271" s="140">
        <f t="shared" si="105"/>
        <v>6.8115942028985466E-2</v>
      </c>
      <c r="W271" s="140">
        <f t="shared" si="106"/>
        <v>-0.14286496350364966</v>
      </c>
      <c r="X271" s="140">
        <f t="shared" si="107"/>
        <v>-4.0177619893428072E-2</v>
      </c>
      <c r="Y271" s="140">
        <f t="shared" si="108"/>
        <v>0.13457556935817805</v>
      </c>
      <c r="Z271" s="140">
        <f t="shared" si="109"/>
        <v>-8.9532855204496997E-2</v>
      </c>
      <c r="AA271" s="140">
        <f t="shared" si="110"/>
        <v>2.7372262773722629E-2</v>
      </c>
      <c r="AB271" s="140">
        <f t="shared" si="111"/>
        <v>0.15045453577739459</v>
      </c>
      <c r="AC271" s="140">
        <f t="shared" si="112"/>
        <v>-8.8809946714031966E-3</v>
      </c>
      <c r="AD271" s="140">
        <f t="shared" si="113"/>
        <v>0.15527950310559005</v>
      </c>
      <c r="AE271" s="140">
        <f t="shared" si="114"/>
        <v>2.5089605734767026E-2</v>
      </c>
      <c r="AF271" s="140">
        <f t="shared" si="115"/>
        <v>2.5089605734767026E-2</v>
      </c>
      <c r="AG271" s="140">
        <f t="shared" si="116"/>
        <v>2.5089605734767026E-2</v>
      </c>
      <c r="AH271" s="140">
        <f t="shared" si="117"/>
        <v>2.5089605734767026E-2</v>
      </c>
      <c r="AI271" s="140">
        <f t="shared" si="118"/>
        <v>0.18426501035196688</v>
      </c>
      <c r="AJ271" s="140">
        <f t="shared" si="119"/>
        <v>0.18426501035196688</v>
      </c>
      <c r="AK271" s="140">
        <f t="shared" si="120"/>
        <v>0.18426501035196688</v>
      </c>
      <c r="AL271" s="140">
        <f t="shared" si="121"/>
        <v>0.18426501035196688</v>
      </c>
      <c r="AM271" t="str">
        <f t="shared" si="122"/>
        <v>4225-000: Medicare Benefits</v>
      </c>
      <c r="AN271" s="140">
        <f t="shared" si="123"/>
        <v>5.1022279153499162E-2</v>
      </c>
      <c r="AO271" s="140">
        <f t="shared" si="124"/>
        <v>-2.5932673418732136E-2</v>
      </c>
      <c r="AP271" s="1" t="str">
        <f>IF(AND(AO271&gt;0, _xlfn.XLOOKUP($AM271, Discretionaries!$A$2:'Discretionaries'!$A$150, Discretionaries!$B$2:'Discretionaries'!$B$150)), (1+AN271)*$N271, "")</f>
        <v/>
      </c>
      <c r="AQ271" s="1" t="str">
        <f>IF(AND(AO271&gt;0, _xlfn.XLOOKUP($AM271, Discretionaries!$A$2:'Discretionaries'!$A$150, Discretionaries!$B$2:'Discretionaries'!$B$150)),AP271-$Q271,"")</f>
        <v/>
      </c>
      <c r="AR271" s="140">
        <f>IF(AG271="", 0-CPI!$B$15, AG271-CPI!$B$15)</f>
        <v>-1.3910394265232967E-2</v>
      </c>
      <c r="AS271" s="1" t="str">
        <f>IF(AND(AR271&gt;0, _xlfn.XLOOKUP($AM271, Discretionaries!$A$2:'Discretionaries'!$A$150, Discretionaries!$B$2:'Discretionaries'!$B$150)), (1+CPI!$B$15)*$N271, "")</f>
        <v/>
      </c>
      <c r="AT271" s="1" t="str">
        <f>IF(AND(AR271&gt;0, _xlfn.XLOOKUP($AM271, Discretionaries!$A$2:'Discretionaries'!$A$150, Discretionaries!$B$2:'Discretionaries'!$B$150)),AS271-$Q271,"")</f>
        <v/>
      </c>
    </row>
    <row r="272" spans="1:46" x14ac:dyDescent="0.3">
      <c r="A272" t="s">
        <v>425</v>
      </c>
      <c r="B272" t="str">
        <f t="shared" si="100"/>
        <v>20</v>
      </c>
      <c r="C272" t="s">
        <v>430</v>
      </c>
      <c r="D272" t="str">
        <f t="shared" si="101"/>
        <v>13</v>
      </c>
      <c r="E272" t="s">
        <v>14</v>
      </c>
      <c r="F272" s="139" t="s">
        <v>19</v>
      </c>
      <c r="G272" t="s">
        <v>20</v>
      </c>
      <c r="H272" s="156">
        <v>449</v>
      </c>
      <c r="I272" s="156">
        <v>428.52</v>
      </c>
      <c r="J272" s="156">
        <v>476</v>
      </c>
      <c r="K272" s="156">
        <v>507.29</v>
      </c>
      <c r="L272" s="156">
        <v>568</v>
      </c>
      <c r="M272" s="156">
        <v>568.48</v>
      </c>
      <c r="N272" s="156">
        <v>672</v>
      </c>
      <c r="O272" s="156">
        <v>662</v>
      </c>
      <c r="P272" s="156">
        <v>662</v>
      </c>
      <c r="Q272" s="156">
        <v>662</v>
      </c>
      <c r="R272" s="156">
        <v>662</v>
      </c>
      <c r="S272" s="156">
        <f t="shared" si="102"/>
        <v>-10</v>
      </c>
      <c r="T272" s="156">
        <f t="shared" si="103"/>
        <v>0</v>
      </c>
      <c r="U272" s="140">
        <f t="shared" si="104"/>
        <v>-1.488095238095238E-2</v>
      </c>
      <c r="V272" s="140">
        <f t="shared" si="105"/>
        <v>-4.5612472160356389E-2</v>
      </c>
      <c r="W272" s="140">
        <f t="shared" si="106"/>
        <v>6.57352941176471E-2</v>
      </c>
      <c r="X272" s="140">
        <f t="shared" si="107"/>
        <v>8.450704225352433E-4</v>
      </c>
      <c r="Y272" s="140">
        <f t="shared" si="108"/>
        <v>6.0133630289532294E-2</v>
      </c>
      <c r="Z272" s="140">
        <f t="shared" si="109"/>
        <v>0.18381872491365642</v>
      </c>
      <c r="AA272" s="140">
        <f t="shared" si="110"/>
        <v>0.19327731092436976</v>
      </c>
      <c r="AB272" s="140">
        <f t="shared" si="111"/>
        <v>0.12062134085040115</v>
      </c>
      <c r="AC272" s="140">
        <f t="shared" si="112"/>
        <v>0.18309859154929578</v>
      </c>
      <c r="AD272" s="140">
        <f t="shared" si="113"/>
        <v>0.49665924276169265</v>
      </c>
      <c r="AE272" s="140">
        <f t="shared" si="114"/>
        <v>-1.488095238095238E-2</v>
      </c>
      <c r="AF272" s="140">
        <f t="shared" si="115"/>
        <v>-1.488095238095238E-2</v>
      </c>
      <c r="AG272" s="140">
        <f t="shared" si="116"/>
        <v>-1.488095238095238E-2</v>
      </c>
      <c r="AH272" s="140">
        <f t="shared" si="117"/>
        <v>-1.488095238095238E-2</v>
      </c>
      <c r="AI272" s="140">
        <f t="shared" si="118"/>
        <v>0.47438752783964366</v>
      </c>
      <c r="AJ272" s="140">
        <f t="shared" si="119"/>
        <v>0.47438752783964366</v>
      </c>
      <c r="AK272" s="140">
        <f t="shared" si="120"/>
        <v>0.47438752783964366</v>
      </c>
      <c r="AL272" s="140">
        <f t="shared" si="121"/>
        <v>0.47438752783964366</v>
      </c>
      <c r="AM272" t="str">
        <f t="shared" si="122"/>
        <v>4260-000: Workers' comp Benefits</v>
      </c>
      <c r="AN272" s="140">
        <f t="shared" si="123"/>
        <v>0.1455031775877326</v>
      </c>
      <c r="AO272" s="140">
        <f t="shared" si="124"/>
        <v>-0.16038412996868498</v>
      </c>
      <c r="AP272" s="1" t="str">
        <f>IF(AND(AO272&gt;0, _xlfn.XLOOKUP($AM272, Discretionaries!$A$2:'Discretionaries'!$A$150, Discretionaries!$B$2:'Discretionaries'!$B$150)), (1+AN272)*$N272, "")</f>
        <v/>
      </c>
      <c r="AQ272" s="1" t="str">
        <f>IF(AND(AO272&gt;0, _xlfn.XLOOKUP($AM272, Discretionaries!$A$2:'Discretionaries'!$A$150, Discretionaries!$B$2:'Discretionaries'!$B$150)),AP272-$Q272,"")</f>
        <v/>
      </c>
      <c r="AR272" s="140">
        <f>IF(AG272="", 0-CPI!$B$15, AG272-CPI!$B$15)</f>
        <v>-5.3880952380952377E-2</v>
      </c>
      <c r="AS272" s="1" t="str">
        <f>IF(AND(AR272&gt;0, _xlfn.XLOOKUP($AM272, Discretionaries!$A$2:'Discretionaries'!$A$150, Discretionaries!$B$2:'Discretionaries'!$B$150)), (1+CPI!$B$15)*$N272, "")</f>
        <v/>
      </c>
      <c r="AT272" s="1" t="str">
        <f>IF(AND(AR272&gt;0, _xlfn.XLOOKUP($AM272, Discretionaries!$A$2:'Discretionaries'!$A$150, Discretionaries!$B$2:'Discretionaries'!$B$150)),AS272-$Q272,"")</f>
        <v/>
      </c>
    </row>
    <row r="273" spans="1:46" x14ac:dyDescent="0.3">
      <c r="A273" t="s">
        <v>425</v>
      </c>
      <c r="B273" t="str">
        <f t="shared" si="100"/>
        <v>20</v>
      </c>
      <c r="C273" t="s">
        <v>430</v>
      </c>
      <c r="D273" t="str">
        <f t="shared" si="101"/>
        <v>13</v>
      </c>
      <c r="E273" t="s">
        <v>21</v>
      </c>
      <c r="F273" s="139" t="s">
        <v>24</v>
      </c>
      <c r="G273" t="s">
        <v>25</v>
      </c>
      <c r="H273" s="156">
        <v>0</v>
      </c>
      <c r="I273" s="156">
        <v>40</v>
      </c>
      <c r="J273" s="156">
        <v>0</v>
      </c>
      <c r="K273" s="156">
        <v>40</v>
      </c>
      <c r="L273" s="156">
        <v>0</v>
      </c>
      <c r="M273" s="156">
        <v>0</v>
      </c>
      <c r="N273" s="156">
        <v>0</v>
      </c>
      <c r="O273" s="156">
        <v>0</v>
      </c>
      <c r="P273" s="156">
        <v>0</v>
      </c>
      <c r="Q273" s="156">
        <v>0</v>
      </c>
      <c r="R273" s="156">
        <v>0</v>
      </c>
      <c r="S273" s="156">
        <f t="shared" si="102"/>
        <v>0</v>
      </c>
      <c r="T273" s="156">
        <f t="shared" si="103"/>
        <v>0</v>
      </c>
      <c r="U273" s="140" t="str">
        <f t="shared" si="104"/>
        <v/>
      </c>
      <c r="V273" s="140" t="str">
        <f t="shared" si="105"/>
        <v/>
      </c>
      <c r="W273" s="140" t="str">
        <f t="shared" si="106"/>
        <v/>
      </c>
      <c r="X273" s="140" t="str">
        <f t="shared" si="107"/>
        <v/>
      </c>
      <c r="Y273" s="140" t="str">
        <f t="shared" si="108"/>
        <v/>
      </c>
      <c r="Z273" s="140">
        <f t="shared" si="109"/>
        <v>0</v>
      </c>
      <c r="AA273" s="140" t="str">
        <f t="shared" si="110"/>
        <v/>
      </c>
      <c r="AB273" s="140">
        <f t="shared" si="111"/>
        <v>-1</v>
      </c>
      <c r="AC273" s="140" t="str">
        <f t="shared" si="112"/>
        <v/>
      </c>
      <c r="AD273" s="140" t="str">
        <f t="shared" si="113"/>
        <v/>
      </c>
      <c r="AE273" s="140" t="str">
        <f t="shared" si="114"/>
        <v/>
      </c>
      <c r="AF273" s="140" t="str">
        <f t="shared" si="115"/>
        <v/>
      </c>
      <c r="AG273" s="140" t="str">
        <f t="shared" si="116"/>
        <v/>
      </c>
      <c r="AH273" s="140" t="str">
        <f t="shared" si="117"/>
        <v/>
      </c>
      <c r="AI273" s="140" t="str">
        <f t="shared" si="118"/>
        <v/>
      </c>
      <c r="AJ273" s="140" t="str">
        <f t="shared" si="119"/>
        <v/>
      </c>
      <c r="AK273" s="140" t="str">
        <f t="shared" si="120"/>
        <v/>
      </c>
      <c r="AL273" s="140" t="str">
        <f t="shared" si="121"/>
        <v/>
      </c>
      <c r="AM273" t="str">
        <f t="shared" si="122"/>
        <v>4570-000: Sem &amp; workshops Services</v>
      </c>
      <c r="AN273" s="140">
        <f t="shared" si="123"/>
        <v>0</v>
      </c>
      <c r="AO273" s="140">
        <f t="shared" si="124"/>
        <v>0</v>
      </c>
      <c r="AP273" s="1" t="str">
        <f>IF(AND(AO273&gt;0, _xlfn.XLOOKUP($AM273, Discretionaries!$A$2:'Discretionaries'!$A$150, Discretionaries!$B$2:'Discretionaries'!$B$150)), (1+AN273)*$N273, "")</f>
        <v/>
      </c>
      <c r="AQ273" s="1" t="str">
        <f>IF(AND(AO273&gt;0, _xlfn.XLOOKUP($AM273, Discretionaries!$A$2:'Discretionaries'!$A$150, Discretionaries!$B$2:'Discretionaries'!$B$150)),AP273-$Q273,"")</f>
        <v/>
      </c>
      <c r="AR273" s="140">
        <f>IF(AG273="", 0-CPI!$B$15, AG273-CPI!$B$15)</f>
        <v>-3.8999999999999993E-2</v>
      </c>
      <c r="AS273" s="1" t="str">
        <f>IF(AND(AR273&gt;0, _xlfn.XLOOKUP($AM273, Discretionaries!$A$2:'Discretionaries'!$A$150, Discretionaries!$B$2:'Discretionaries'!$B$150)), (1+CPI!$B$15)*$N273, "")</f>
        <v/>
      </c>
      <c r="AT273" s="1" t="str">
        <f>IF(AND(AR273&gt;0, _xlfn.XLOOKUP($AM273, Discretionaries!$A$2:'Discretionaries'!$A$150, Discretionaries!$B$2:'Discretionaries'!$B$150)),AS273-$Q273,"")</f>
        <v/>
      </c>
    </row>
    <row r="274" spans="1:46" x14ac:dyDescent="0.3">
      <c r="A274" t="s">
        <v>425</v>
      </c>
      <c r="B274" t="str">
        <f t="shared" si="100"/>
        <v>20</v>
      </c>
      <c r="C274" t="s">
        <v>430</v>
      </c>
      <c r="D274" t="str">
        <f t="shared" si="101"/>
        <v>13</v>
      </c>
      <c r="E274" t="s">
        <v>30</v>
      </c>
      <c r="F274" s="139" t="s">
        <v>31</v>
      </c>
      <c r="G274" t="s">
        <v>32</v>
      </c>
      <c r="H274" s="156">
        <v>200</v>
      </c>
      <c r="I274" s="156">
        <v>576.36</v>
      </c>
      <c r="J274" s="156">
        <v>200</v>
      </c>
      <c r="K274" s="156">
        <v>303.14999999999998</v>
      </c>
      <c r="L274" s="156">
        <v>200</v>
      </c>
      <c r="M274" s="156">
        <v>18.78</v>
      </c>
      <c r="N274" s="156">
        <v>200</v>
      </c>
      <c r="O274" s="156">
        <v>200</v>
      </c>
      <c r="P274" s="156">
        <v>200</v>
      </c>
      <c r="Q274" s="156">
        <v>200</v>
      </c>
      <c r="R274" s="156">
        <v>200</v>
      </c>
      <c r="S274" s="156">
        <f t="shared" si="102"/>
        <v>0</v>
      </c>
      <c r="T274" s="156">
        <f t="shared" si="103"/>
        <v>0</v>
      </c>
      <c r="U274" s="140">
        <f t="shared" si="104"/>
        <v>0</v>
      </c>
      <c r="V274" s="140">
        <f t="shared" si="105"/>
        <v>1.8818000000000001</v>
      </c>
      <c r="W274" s="140">
        <f t="shared" si="106"/>
        <v>0.51574999999999993</v>
      </c>
      <c r="X274" s="140">
        <f t="shared" si="107"/>
        <v>-0.90610000000000002</v>
      </c>
      <c r="Y274" s="140">
        <f t="shared" si="108"/>
        <v>0</v>
      </c>
      <c r="Z274" s="140">
        <f t="shared" si="109"/>
        <v>-0.47402665001041022</v>
      </c>
      <c r="AA274" s="140">
        <f t="shared" si="110"/>
        <v>0</v>
      </c>
      <c r="AB274" s="140">
        <f t="shared" si="111"/>
        <v>-0.93805047006432463</v>
      </c>
      <c r="AC274" s="140">
        <f t="shared" si="112"/>
        <v>0</v>
      </c>
      <c r="AD274" s="140">
        <f t="shared" si="113"/>
        <v>0</v>
      </c>
      <c r="AE274" s="140">
        <f t="shared" si="114"/>
        <v>0</v>
      </c>
      <c r="AF274" s="140">
        <f t="shared" si="115"/>
        <v>0</v>
      </c>
      <c r="AG274" s="140">
        <f t="shared" si="116"/>
        <v>0</v>
      </c>
      <c r="AH274" s="140">
        <f t="shared" si="117"/>
        <v>0</v>
      </c>
      <c r="AI274" s="140">
        <f t="shared" si="118"/>
        <v>0</v>
      </c>
      <c r="AJ274" s="140">
        <f t="shared" si="119"/>
        <v>0</v>
      </c>
      <c r="AK274" s="140">
        <f t="shared" si="120"/>
        <v>0</v>
      </c>
      <c r="AL274" s="140">
        <f t="shared" si="121"/>
        <v>0</v>
      </c>
      <c r="AM274" t="str">
        <f t="shared" si="122"/>
        <v>4610-000: General expenses Supplies</v>
      </c>
      <c r="AN274" s="140">
        <f t="shared" si="123"/>
        <v>0</v>
      </c>
      <c r="AO274" s="140">
        <f t="shared" si="124"/>
        <v>0</v>
      </c>
      <c r="AP274" s="1" t="str">
        <f>IF(AND(AO274&gt;0, _xlfn.XLOOKUP($AM274, Discretionaries!$A$2:'Discretionaries'!$A$150, Discretionaries!$B$2:'Discretionaries'!$B$150)), (1+AN274)*$N274, "")</f>
        <v/>
      </c>
      <c r="AQ274" s="1" t="str">
        <f>IF(AND(AO274&gt;0, _xlfn.XLOOKUP($AM274, Discretionaries!$A$2:'Discretionaries'!$A$150, Discretionaries!$B$2:'Discretionaries'!$B$150)),AP274-$Q274,"")</f>
        <v/>
      </c>
      <c r="AR274" s="140">
        <f>IF(AG274="", 0-CPI!$B$15, AG274-CPI!$B$15)</f>
        <v>-3.8999999999999993E-2</v>
      </c>
      <c r="AS274" s="1" t="str">
        <f>IF(AND(AR274&gt;0, _xlfn.XLOOKUP($AM274, Discretionaries!$A$2:'Discretionaries'!$A$150, Discretionaries!$B$2:'Discretionaries'!$B$150)), (1+CPI!$B$15)*$N274, "")</f>
        <v/>
      </c>
      <c r="AT274" s="1" t="str">
        <f>IF(AND(AR274&gt;0, _xlfn.XLOOKUP($AM274, Discretionaries!$A$2:'Discretionaries'!$A$150, Discretionaries!$B$2:'Discretionaries'!$B$150)),AS274-$Q274,"")</f>
        <v/>
      </c>
    </row>
    <row r="275" spans="1:46" x14ac:dyDescent="0.3">
      <c r="A275" t="s">
        <v>431</v>
      </c>
      <c r="B275" t="str">
        <f t="shared" si="100"/>
        <v>23</v>
      </c>
      <c r="C275" t="s">
        <v>426</v>
      </c>
      <c r="D275" t="str">
        <f t="shared" si="101"/>
        <v>01</v>
      </c>
      <c r="E275" t="s">
        <v>11</v>
      </c>
      <c r="F275" s="139" t="s">
        <v>35</v>
      </c>
      <c r="G275" t="s">
        <v>36</v>
      </c>
      <c r="H275" s="156">
        <v>729926</v>
      </c>
      <c r="I275" s="156">
        <v>656095.5</v>
      </c>
      <c r="J275" s="156">
        <v>728886</v>
      </c>
      <c r="K275" s="156">
        <v>700814.56</v>
      </c>
      <c r="L275" s="156">
        <v>761392</v>
      </c>
      <c r="M275" s="156">
        <v>672650.92</v>
      </c>
      <c r="N275" s="156">
        <v>793562</v>
      </c>
      <c r="O275" s="156">
        <v>874055</v>
      </c>
      <c r="P275" s="156">
        <v>874055</v>
      </c>
      <c r="Q275" s="156">
        <v>874055</v>
      </c>
      <c r="R275" s="156">
        <v>874055</v>
      </c>
      <c r="S275" s="156">
        <f t="shared" si="102"/>
        <v>80493</v>
      </c>
      <c r="T275" s="156">
        <f t="shared" si="103"/>
        <v>0</v>
      </c>
      <c r="U275" s="140">
        <f t="shared" si="104"/>
        <v>0.10143252827126299</v>
      </c>
      <c r="V275" s="140">
        <f t="shared" si="105"/>
        <v>-0.10114792458413592</v>
      </c>
      <c r="W275" s="140">
        <f t="shared" si="106"/>
        <v>-3.851279898365443E-2</v>
      </c>
      <c r="X275" s="140">
        <f t="shared" si="107"/>
        <v>-0.11655110639460352</v>
      </c>
      <c r="Y275" s="140">
        <f t="shared" si="108"/>
        <v>-1.4248019662267133E-3</v>
      </c>
      <c r="Z275" s="140">
        <f t="shared" si="109"/>
        <v>6.8159376188375101E-2</v>
      </c>
      <c r="AA275" s="140">
        <f t="shared" si="110"/>
        <v>4.4596823097164714E-2</v>
      </c>
      <c r="AB275" s="140">
        <f t="shared" si="111"/>
        <v>-4.0187007530208867E-2</v>
      </c>
      <c r="AC275" s="140">
        <f t="shared" si="112"/>
        <v>4.2251560300081953E-2</v>
      </c>
      <c r="AD275" s="140">
        <f t="shared" si="113"/>
        <v>8.7181440310387631E-2</v>
      </c>
      <c r="AE275" s="140">
        <f t="shared" si="114"/>
        <v>0.10143252827126299</v>
      </c>
      <c r="AF275" s="140">
        <f t="shared" si="115"/>
        <v>0.10143252827126299</v>
      </c>
      <c r="AG275" s="140">
        <f t="shared" si="116"/>
        <v>0.10143252827126299</v>
      </c>
      <c r="AH275" s="140">
        <f t="shared" si="117"/>
        <v>0.10143252827126299</v>
      </c>
      <c r="AI275" s="140">
        <f t="shared" si="118"/>
        <v>0.19745700249066345</v>
      </c>
      <c r="AJ275" s="140">
        <f t="shared" si="119"/>
        <v>0.19745700249066345</v>
      </c>
      <c r="AK275" s="140">
        <f t="shared" si="120"/>
        <v>0.19745700249066345</v>
      </c>
      <c r="AL275" s="140">
        <f t="shared" si="121"/>
        <v>0.19745700249066345</v>
      </c>
      <c r="AM275" t="str">
        <f t="shared" si="122"/>
        <v>4110-000: Regular Salaries</v>
      </c>
      <c r="AN275" s="140">
        <f t="shared" si="123"/>
        <v>2.8474527143673319E-2</v>
      </c>
      <c r="AO275" s="140">
        <f t="shared" si="124"/>
        <v>7.2958001127589669E-2</v>
      </c>
      <c r="AP275" s="1" t="str">
        <f>IF(AND(AO275&gt;0, _xlfn.XLOOKUP($AM275, Discretionaries!$A$2:'Discretionaries'!$A$150, Discretionaries!$B$2:'Discretionaries'!$B$150)), (1+AN275)*$N275, "")</f>
        <v/>
      </c>
      <c r="AQ275" s="1" t="str">
        <f>IF(AND(AO275&gt;0, _xlfn.XLOOKUP($AM275, Discretionaries!$A$2:'Discretionaries'!$A$150, Discretionaries!$B$2:'Discretionaries'!$B$150)),AP275-$Q275,"")</f>
        <v/>
      </c>
      <c r="AR275" s="140">
        <f>IF(AG275="", 0-CPI!$B$15, AG275-CPI!$B$15)</f>
        <v>6.2432528271262999E-2</v>
      </c>
      <c r="AS275" s="1" t="str">
        <f>IF(AND(AR275&gt;0, _xlfn.XLOOKUP($AM275, Discretionaries!$A$2:'Discretionaries'!$A$150, Discretionaries!$B$2:'Discretionaries'!$B$150)), (1+CPI!$B$15)*$N275, "")</f>
        <v/>
      </c>
      <c r="AT275" s="1" t="str">
        <f>IF(AND(AR275&gt;0, _xlfn.XLOOKUP($AM275, Discretionaries!$A$2:'Discretionaries'!$A$150, Discretionaries!$B$2:'Discretionaries'!$B$150)),AS275-$Q275,"")</f>
        <v/>
      </c>
    </row>
    <row r="276" spans="1:46" x14ac:dyDescent="0.3">
      <c r="A276" t="s">
        <v>431</v>
      </c>
      <c r="B276" t="str">
        <f t="shared" si="100"/>
        <v>23</v>
      </c>
      <c r="C276" t="s">
        <v>426</v>
      </c>
      <c r="D276" t="str">
        <f t="shared" si="101"/>
        <v>01</v>
      </c>
      <c r="E276" t="s">
        <v>11</v>
      </c>
      <c r="F276" s="139" t="s">
        <v>39</v>
      </c>
      <c r="G276" t="s">
        <v>40</v>
      </c>
      <c r="H276" s="156">
        <v>122735</v>
      </c>
      <c r="I276" s="156">
        <v>121180.27</v>
      </c>
      <c r="J276" s="156">
        <v>117128</v>
      </c>
      <c r="K276" s="156">
        <v>125845.11</v>
      </c>
      <c r="L276" s="156">
        <v>112787</v>
      </c>
      <c r="M276" s="156">
        <v>137287.09</v>
      </c>
      <c r="N276" s="156">
        <v>140993</v>
      </c>
      <c r="O276" s="156">
        <v>149678</v>
      </c>
      <c r="P276" s="156">
        <v>149678</v>
      </c>
      <c r="Q276" s="156">
        <v>149678</v>
      </c>
      <c r="R276" s="156">
        <v>140993</v>
      </c>
      <c r="S276" s="156">
        <f t="shared" si="102"/>
        <v>8685</v>
      </c>
      <c r="T276" s="156">
        <f t="shared" si="103"/>
        <v>8685</v>
      </c>
      <c r="U276" s="140">
        <f t="shared" si="104"/>
        <v>6.1598802777442854E-2</v>
      </c>
      <c r="V276" s="140">
        <f t="shared" si="105"/>
        <v>-1.2667372795046204E-2</v>
      </c>
      <c r="W276" s="140">
        <f t="shared" si="106"/>
        <v>7.4423792773717648E-2</v>
      </c>
      <c r="X276" s="140">
        <f t="shared" si="107"/>
        <v>0.2172244141612065</v>
      </c>
      <c r="Y276" s="140">
        <f t="shared" si="108"/>
        <v>-4.5683790279871267E-2</v>
      </c>
      <c r="Z276" s="140">
        <f t="shared" si="109"/>
        <v>3.8495045439327677E-2</v>
      </c>
      <c r="AA276" s="140">
        <f t="shared" si="110"/>
        <v>-3.7062017621747149E-2</v>
      </c>
      <c r="AB276" s="140">
        <f t="shared" si="111"/>
        <v>9.0921133129447745E-2</v>
      </c>
      <c r="AC276" s="140">
        <f t="shared" si="112"/>
        <v>0.25008201299795191</v>
      </c>
      <c r="AD276" s="140">
        <f t="shared" si="113"/>
        <v>0.14875952254858027</v>
      </c>
      <c r="AE276" s="140">
        <f t="shared" si="114"/>
        <v>6.1598802777442854E-2</v>
      </c>
      <c r="AF276" s="140">
        <f t="shared" si="115"/>
        <v>6.1598802777442854E-2</v>
      </c>
      <c r="AG276" s="140">
        <f t="shared" si="116"/>
        <v>6.1598802777442854E-2</v>
      </c>
      <c r="AH276" s="140">
        <f t="shared" si="117"/>
        <v>0</v>
      </c>
      <c r="AI276" s="140">
        <f t="shared" si="118"/>
        <v>0.21952173381675968</v>
      </c>
      <c r="AJ276" s="140">
        <f t="shared" si="119"/>
        <v>0.21952173381675968</v>
      </c>
      <c r="AK276" s="140">
        <f t="shared" si="120"/>
        <v>0.21952173381675968</v>
      </c>
      <c r="AL276" s="140">
        <f t="shared" si="121"/>
        <v>0.14875952254858027</v>
      </c>
      <c r="AM276" t="str">
        <f t="shared" si="122"/>
        <v>4140-000: Overtime Salaries</v>
      </c>
      <c r="AN276" s="140">
        <f t="shared" si="123"/>
        <v>5.5778735032111164E-2</v>
      </c>
      <c r="AO276" s="140">
        <f t="shared" si="124"/>
        <v>5.8200677453316904E-3</v>
      </c>
      <c r="AP276" s="1" t="str">
        <f>IF(AND(AO276&gt;0, _xlfn.XLOOKUP($AM276, Discretionaries!$A$2:'Discretionaries'!$A$150, Discretionaries!$B$2:'Discretionaries'!$B$150)), (1+AN276)*$N276, "")</f>
        <v/>
      </c>
      <c r="AQ276" s="1" t="str">
        <f>IF(AND(AO276&gt;0, _xlfn.XLOOKUP($AM276, Discretionaries!$A$2:'Discretionaries'!$A$150, Discretionaries!$B$2:'Discretionaries'!$B$150)),AP276-$Q276,"")</f>
        <v/>
      </c>
      <c r="AR276" s="140">
        <f>IF(AG276="", 0-CPI!$B$15, AG276-CPI!$B$15)</f>
        <v>2.2598802777442861E-2</v>
      </c>
      <c r="AS276" s="1" t="str">
        <f>IF(AND(AR276&gt;0, _xlfn.XLOOKUP($AM276, Discretionaries!$A$2:'Discretionaries'!$A$150, Discretionaries!$B$2:'Discretionaries'!$B$150)), (1+CPI!$B$15)*$N276, "")</f>
        <v/>
      </c>
      <c r="AT276" s="1" t="str">
        <f>IF(AND(AR276&gt;0, _xlfn.XLOOKUP($AM276, Discretionaries!$A$2:'Discretionaries'!$A$150, Discretionaries!$B$2:'Discretionaries'!$B$150)),AS276-$Q276,"")</f>
        <v/>
      </c>
    </row>
    <row r="277" spans="1:46" x14ac:dyDescent="0.3">
      <c r="A277" t="s">
        <v>431</v>
      </c>
      <c r="B277" t="str">
        <f t="shared" si="100"/>
        <v>23</v>
      </c>
      <c r="C277" t="s">
        <v>426</v>
      </c>
      <c r="D277" t="str">
        <f t="shared" si="101"/>
        <v>01</v>
      </c>
      <c r="E277" t="s">
        <v>11</v>
      </c>
      <c r="F277" s="139" t="s">
        <v>222</v>
      </c>
      <c r="G277" t="s">
        <v>266</v>
      </c>
      <c r="H277" s="156">
        <v>0</v>
      </c>
      <c r="I277" s="156">
        <v>0</v>
      </c>
      <c r="J277" s="156">
        <v>0</v>
      </c>
      <c r="K277" s="156">
        <v>0</v>
      </c>
      <c r="L277" s="156">
        <v>0</v>
      </c>
      <c r="M277" s="156">
        <v>0</v>
      </c>
      <c r="N277" s="156">
        <v>7368</v>
      </c>
      <c r="O277" s="156">
        <v>7826</v>
      </c>
      <c r="P277" s="156">
        <v>7826</v>
      </c>
      <c r="Q277" s="156">
        <v>7826</v>
      </c>
      <c r="R277" s="156">
        <v>7826</v>
      </c>
      <c r="S277" s="156">
        <f t="shared" si="102"/>
        <v>458</v>
      </c>
      <c r="T277" s="156">
        <f t="shared" si="103"/>
        <v>0</v>
      </c>
      <c r="U277" s="140">
        <f t="shared" si="104"/>
        <v>6.2160694896851248E-2</v>
      </c>
      <c r="V277" s="140" t="str">
        <f t="shared" si="105"/>
        <v/>
      </c>
      <c r="W277" s="140" t="str">
        <f t="shared" si="106"/>
        <v/>
      </c>
      <c r="X277" s="140" t="str">
        <f t="shared" si="107"/>
        <v/>
      </c>
      <c r="Y277" s="140" t="str">
        <f t="shared" si="108"/>
        <v/>
      </c>
      <c r="Z277" s="140" t="str">
        <f t="shared" si="109"/>
        <v/>
      </c>
      <c r="AA277" s="140" t="str">
        <f t="shared" si="110"/>
        <v/>
      </c>
      <c r="AB277" s="140" t="str">
        <f t="shared" si="111"/>
        <v/>
      </c>
      <c r="AC277" s="140" t="str">
        <f t="shared" si="112"/>
        <v/>
      </c>
      <c r="AD277" s="140" t="str">
        <f t="shared" si="113"/>
        <v/>
      </c>
      <c r="AE277" s="140">
        <f t="shared" si="114"/>
        <v>6.2160694896851248E-2</v>
      </c>
      <c r="AF277" s="140">
        <f t="shared" si="115"/>
        <v>6.2160694896851248E-2</v>
      </c>
      <c r="AG277" s="140">
        <f t="shared" si="116"/>
        <v>6.2160694896851248E-2</v>
      </c>
      <c r="AH277" s="140">
        <f t="shared" si="117"/>
        <v>6.2160694896851248E-2</v>
      </c>
      <c r="AI277" s="140" t="str">
        <f t="shared" si="118"/>
        <v/>
      </c>
      <c r="AJ277" s="140" t="str">
        <f t="shared" si="119"/>
        <v/>
      </c>
      <c r="AK277" s="140" t="str">
        <f t="shared" si="120"/>
        <v/>
      </c>
      <c r="AL277" s="140" t="str">
        <f t="shared" si="121"/>
        <v/>
      </c>
      <c r="AM277" t="str">
        <f t="shared" si="122"/>
        <v>4151-000: Contractually Mandated Training Overtime</v>
      </c>
      <c r="AN277" s="140">
        <f t="shared" si="123"/>
        <v>0</v>
      </c>
      <c r="AO277" s="140">
        <f t="shared" si="124"/>
        <v>6.2160694896851248E-2</v>
      </c>
      <c r="AP277" s="1" t="str">
        <f>IF(AND(AO277&gt;0, _xlfn.XLOOKUP($AM277, Discretionaries!$A$2:'Discretionaries'!$A$150, Discretionaries!$B$2:'Discretionaries'!$B$150)), (1+AN277)*$N277, "")</f>
        <v/>
      </c>
      <c r="AQ277" s="1" t="str">
        <f>IF(AND(AO277&gt;0, _xlfn.XLOOKUP($AM277, Discretionaries!$A$2:'Discretionaries'!$A$150, Discretionaries!$B$2:'Discretionaries'!$B$150)),AP277-$Q277,"")</f>
        <v/>
      </c>
      <c r="AR277" s="140">
        <f>IF(AG277="", 0-CPI!$B$15, AG277-CPI!$B$15)</f>
        <v>2.3160694896851255E-2</v>
      </c>
      <c r="AS277" s="1" t="str">
        <f>IF(AND(AR277&gt;0, _xlfn.XLOOKUP($AM277, Discretionaries!$A$2:'Discretionaries'!$A$150, Discretionaries!$B$2:'Discretionaries'!$B$150)), (1+CPI!$B$15)*$N277, "")</f>
        <v/>
      </c>
      <c r="AT277" s="1" t="str">
        <f>IF(AND(AR277&gt;0, _xlfn.XLOOKUP($AM277, Discretionaries!$A$2:'Discretionaries'!$A$150, Discretionaries!$B$2:'Discretionaries'!$B$150)),AS277-$Q277,"")</f>
        <v/>
      </c>
    </row>
    <row r="278" spans="1:46" x14ac:dyDescent="0.3">
      <c r="A278" t="s">
        <v>431</v>
      </c>
      <c r="B278" t="str">
        <f t="shared" si="100"/>
        <v>23</v>
      </c>
      <c r="C278" t="s">
        <v>426</v>
      </c>
      <c r="D278" t="str">
        <f t="shared" si="101"/>
        <v>01</v>
      </c>
      <c r="E278" t="s">
        <v>11</v>
      </c>
      <c r="F278" s="139" t="s">
        <v>240</v>
      </c>
      <c r="G278" t="s">
        <v>241</v>
      </c>
      <c r="H278" s="156">
        <v>19399</v>
      </c>
      <c r="I278" s="156">
        <v>20245.09</v>
      </c>
      <c r="J278" s="156">
        <v>23282</v>
      </c>
      <c r="K278" s="156">
        <v>14595.12</v>
      </c>
      <c r="L278" s="156">
        <v>25796</v>
      </c>
      <c r="M278" s="156">
        <v>17875.88</v>
      </c>
      <c r="N278" s="156">
        <v>25798</v>
      </c>
      <c r="O278" s="156">
        <v>28739</v>
      </c>
      <c r="P278" s="156">
        <v>28739</v>
      </c>
      <c r="Q278" s="156">
        <v>28739</v>
      </c>
      <c r="R278" s="156">
        <v>28739</v>
      </c>
      <c r="S278" s="156">
        <f t="shared" si="102"/>
        <v>2941</v>
      </c>
      <c r="T278" s="156">
        <f t="shared" si="103"/>
        <v>0</v>
      </c>
      <c r="U278" s="140">
        <f t="shared" si="104"/>
        <v>0.1140010853554539</v>
      </c>
      <c r="V278" s="140">
        <f t="shared" si="105"/>
        <v>4.3615134800762935E-2</v>
      </c>
      <c r="W278" s="140">
        <f t="shared" si="106"/>
        <v>-0.37311571170861607</v>
      </c>
      <c r="X278" s="140">
        <f t="shared" si="107"/>
        <v>-0.30702899674368117</v>
      </c>
      <c r="Y278" s="140">
        <f t="shared" si="108"/>
        <v>0.20016495695654415</v>
      </c>
      <c r="Z278" s="140">
        <f t="shared" si="109"/>
        <v>-0.27907853212803696</v>
      </c>
      <c r="AA278" s="140">
        <f t="shared" si="110"/>
        <v>0.10798041405377545</v>
      </c>
      <c r="AB278" s="140">
        <f t="shared" si="111"/>
        <v>0.22478472256480247</v>
      </c>
      <c r="AC278" s="140">
        <f t="shared" si="112"/>
        <v>7.7531400217087918E-5</v>
      </c>
      <c r="AD278" s="140">
        <f t="shared" si="113"/>
        <v>0.32986236403938346</v>
      </c>
      <c r="AE278" s="140">
        <f t="shared" si="114"/>
        <v>0.1140010853554539</v>
      </c>
      <c r="AF278" s="140">
        <f t="shared" si="115"/>
        <v>0.1140010853554539</v>
      </c>
      <c r="AG278" s="140">
        <f t="shared" si="116"/>
        <v>0.1140010853554539</v>
      </c>
      <c r="AH278" s="140">
        <f t="shared" si="117"/>
        <v>0.1140010853554539</v>
      </c>
      <c r="AI278" s="140">
        <f t="shared" si="118"/>
        <v>0.48146811691324293</v>
      </c>
      <c r="AJ278" s="140">
        <f t="shared" si="119"/>
        <v>0.48146811691324293</v>
      </c>
      <c r="AK278" s="140">
        <f t="shared" si="120"/>
        <v>0.48146811691324293</v>
      </c>
      <c r="AL278" s="140">
        <f t="shared" si="121"/>
        <v>0.48146811691324293</v>
      </c>
      <c r="AM278" t="str">
        <f t="shared" si="122"/>
        <v>4193-000: Holiday Salaries</v>
      </c>
      <c r="AN278" s="140">
        <f t="shared" si="123"/>
        <v>0.1027409674701789</v>
      </c>
      <c r="AO278" s="140">
        <f t="shared" si="124"/>
        <v>1.1260117885275006E-2</v>
      </c>
      <c r="AP278" s="1" t="str">
        <f>IF(AND(AO278&gt;0, _xlfn.XLOOKUP($AM278, Discretionaries!$A$2:'Discretionaries'!$A$150, Discretionaries!$B$2:'Discretionaries'!$B$150)), (1+AN278)*$N278, "")</f>
        <v/>
      </c>
      <c r="AQ278" s="1" t="str">
        <f>IF(AND(AO278&gt;0, _xlfn.XLOOKUP($AM278, Discretionaries!$A$2:'Discretionaries'!$A$150, Discretionaries!$B$2:'Discretionaries'!$B$150)),AP278-$Q278,"")</f>
        <v/>
      </c>
      <c r="AR278" s="140">
        <f>IF(AG278="", 0-CPI!$B$15, AG278-CPI!$B$15)</f>
        <v>7.5001085355453911E-2</v>
      </c>
      <c r="AS278" s="1" t="str">
        <f>IF(AND(AR278&gt;0, _xlfn.XLOOKUP($AM278, Discretionaries!$A$2:'Discretionaries'!$A$150, Discretionaries!$B$2:'Discretionaries'!$B$150)), (1+CPI!$B$15)*$N278, "")</f>
        <v/>
      </c>
      <c r="AT278" s="1" t="str">
        <f>IF(AND(AR278&gt;0, _xlfn.XLOOKUP($AM278, Discretionaries!$A$2:'Discretionaries'!$A$150, Discretionaries!$B$2:'Discretionaries'!$B$150)),AS278-$Q278,"")</f>
        <v/>
      </c>
    </row>
    <row r="279" spans="1:46" x14ac:dyDescent="0.3">
      <c r="A279" t="s">
        <v>431</v>
      </c>
      <c r="B279" t="str">
        <f t="shared" si="100"/>
        <v>23</v>
      </c>
      <c r="C279" t="s">
        <v>426</v>
      </c>
      <c r="D279" t="str">
        <f t="shared" si="101"/>
        <v>01</v>
      </c>
      <c r="E279" t="s">
        <v>14</v>
      </c>
      <c r="F279" s="139" t="s">
        <v>41</v>
      </c>
      <c r="G279" t="s">
        <v>42</v>
      </c>
      <c r="H279" s="156">
        <v>47503</v>
      </c>
      <c r="I279" s="156">
        <v>38968.33</v>
      </c>
      <c r="J279" s="156">
        <v>54292</v>
      </c>
      <c r="K279" s="156">
        <v>47633.13</v>
      </c>
      <c r="L279" s="156">
        <v>52595</v>
      </c>
      <c r="M279" s="156">
        <v>38983.15</v>
      </c>
      <c r="N279" s="156">
        <v>32000</v>
      </c>
      <c r="O279" s="156">
        <v>38246</v>
      </c>
      <c r="P279" s="156">
        <v>38246</v>
      </c>
      <c r="Q279" s="156">
        <v>38246</v>
      </c>
      <c r="R279" s="156">
        <v>38246</v>
      </c>
      <c r="S279" s="156">
        <f t="shared" si="102"/>
        <v>6246</v>
      </c>
      <c r="T279" s="156">
        <f t="shared" si="103"/>
        <v>0</v>
      </c>
      <c r="U279" s="140">
        <f t="shared" si="104"/>
        <v>0.19518750000000001</v>
      </c>
      <c r="V279" s="140">
        <f t="shared" si="105"/>
        <v>-0.17966591583689448</v>
      </c>
      <c r="W279" s="140">
        <f t="shared" si="106"/>
        <v>-0.1226491932513078</v>
      </c>
      <c r="X279" s="140">
        <f t="shared" si="107"/>
        <v>-0.25880501948854451</v>
      </c>
      <c r="Y279" s="140">
        <f t="shared" si="108"/>
        <v>0.1429172894343515</v>
      </c>
      <c r="Z279" s="140">
        <f t="shared" si="109"/>
        <v>0.22235492257430572</v>
      </c>
      <c r="AA279" s="140">
        <f t="shared" si="110"/>
        <v>-3.1256907094967951E-2</v>
      </c>
      <c r="AB279" s="140">
        <f t="shared" si="111"/>
        <v>-0.18159587665139781</v>
      </c>
      <c r="AC279" s="140">
        <f t="shared" si="112"/>
        <v>-0.39157714611655098</v>
      </c>
      <c r="AD279" s="140">
        <f t="shared" si="113"/>
        <v>-0.32635833526303604</v>
      </c>
      <c r="AE279" s="140">
        <f t="shared" si="114"/>
        <v>0.19518750000000001</v>
      </c>
      <c r="AF279" s="140">
        <f t="shared" si="115"/>
        <v>0.19518750000000001</v>
      </c>
      <c r="AG279" s="140">
        <f t="shared" si="116"/>
        <v>0.19518750000000001</v>
      </c>
      <c r="AH279" s="140">
        <f t="shared" si="117"/>
        <v>0.19518750000000001</v>
      </c>
      <c r="AI279" s="140">
        <f t="shared" si="118"/>
        <v>-0.19487190282718986</v>
      </c>
      <c r="AJ279" s="140">
        <f t="shared" si="119"/>
        <v>-0.19487190282718986</v>
      </c>
      <c r="AK279" s="140">
        <f t="shared" si="120"/>
        <v>-0.19487190282718986</v>
      </c>
      <c r="AL279" s="140">
        <f t="shared" si="121"/>
        <v>-0.19487190282718986</v>
      </c>
      <c r="AM279" t="str">
        <f t="shared" si="122"/>
        <v>4215-000: STD, LTD, &amp; Life Benefits</v>
      </c>
      <c r="AN279" s="140">
        <f t="shared" si="123"/>
        <v>-9.330558792572248E-2</v>
      </c>
      <c r="AO279" s="140">
        <f t="shared" si="124"/>
        <v>0.28849308792572248</v>
      </c>
      <c r="AP279" s="1" t="str">
        <f>IF(AND(AO279&gt;0, _xlfn.XLOOKUP($AM279, Discretionaries!$A$2:'Discretionaries'!$A$150, Discretionaries!$B$2:'Discretionaries'!$B$150)), (1+AN279)*$N279, "")</f>
        <v/>
      </c>
      <c r="AQ279" s="1" t="str">
        <f>IF(AND(AO279&gt;0, _xlfn.XLOOKUP($AM279, Discretionaries!$A$2:'Discretionaries'!$A$150, Discretionaries!$B$2:'Discretionaries'!$B$150)),AP279-$Q279,"")</f>
        <v/>
      </c>
      <c r="AR279" s="140">
        <f>IF(AG279="", 0-CPI!$B$15, AG279-CPI!$B$15)</f>
        <v>0.15618750000000003</v>
      </c>
      <c r="AS279" s="1" t="str">
        <f>IF(AND(AR279&gt;0, _xlfn.XLOOKUP($AM279, Discretionaries!$A$2:'Discretionaries'!$A$150, Discretionaries!$B$2:'Discretionaries'!$B$150)), (1+CPI!$B$15)*$N279, "")</f>
        <v/>
      </c>
      <c r="AT279" s="1" t="str">
        <f>IF(AND(AR279&gt;0, _xlfn.XLOOKUP($AM279, Discretionaries!$A$2:'Discretionaries'!$A$150, Discretionaries!$B$2:'Discretionaries'!$B$150)),AS279-$Q279,"")</f>
        <v/>
      </c>
    </row>
    <row r="280" spans="1:46" x14ac:dyDescent="0.3">
      <c r="A280" t="s">
        <v>431</v>
      </c>
      <c r="B280" t="str">
        <f t="shared" si="100"/>
        <v>23</v>
      </c>
      <c r="C280" t="s">
        <v>426</v>
      </c>
      <c r="D280" t="str">
        <f t="shared" si="101"/>
        <v>01</v>
      </c>
      <c r="E280" t="s">
        <v>14</v>
      </c>
      <c r="F280" s="139" t="s">
        <v>15</v>
      </c>
      <c r="G280" t="s">
        <v>16</v>
      </c>
      <c r="H280" s="156">
        <v>4186</v>
      </c>
      <c r="I280" s="156">
        <v>1105.1300000000001</v>
      </c>
      <c r="J280" s="156">
        <v>0</v>
      </c>
      <c r="K280" s="156">
        <v>0</v>
      </c>
      <c r="L280" s="156">
        <v>0</v>
      </c>
      <c r="M280" s="156">
        <v>0</v>
      </c>
      <c r="N280" s="156">
        <v>0</v>
      </c>
      <c r="O280" s="156">
        <v>0</v>
      </c>
      <c r="P280" s="156">
        <v>0</v>
      </c>
      <c r="Q280" s="156">
        <v>0</v>
      </c>
      <c r="R280" s="156">
        <v>0</v>
      </c>
      <c r="S280" s="156">
        <f t="shared" si="102"/>
        <v>0</v>
      </c>
      <c r="T280" s="156">
        <f t="shared" si="103"/>
        <v>0</v>
      </c>
      <c r="U280" s="140" t="str">
        <f t="shared" si="104"/>
        <v/>
      </c>
      <c r="V280" s="140">
        <f t="shared" si="105"/>
        <v>-0.73599378881987576</v>
      </c>
      <c r="W280" s="140" t="str">
        <f t="shared" si="106"/>
        <v/>
      </c>
      <c r="X280" s="140" t="str">
        <f t="shared" si="107"/>
        <v/>
      </c>
      <c r="Y280" s="140">
        <f t="shared" si="108"/>
        <v>-1</v>
      </c>
      <c r="Z280" s="140">
        <f t="shared" si="109"/>
        <v>-1</v>
      </c>
      <c r="AA280" s="140" t="str">
        <f t="shared" si="110"/>
        <v/>
      </c>
      <c r="AB280" s="140" t="str">
        <f t="shared" si="111"/>
        <v/>
      </c>
      <c r="AC280" s="140" t="str">
        <f t="shared" si="112"/>
        <v/>
      </c>
      <c r="AD280" s="140">
        <f t="shared" si="113"/>
        <v>-1</v>
      </c>
      <c r="AE280" s="140" t="str">
        <f t="shared" si="114"/>
        <v/>
      </c>
      <c r="AF280" s="140" t="str">
        <f t="shared" si="115"/>
        <v/>
      </c>
      <c r="AG280" s="140" t="str">
        <f t="shared" si="116"/>
        <v/>
      </c>
      <c r="AH280" s="140" t="str">
        <f t="shared" si="117"/>
        <v/>
      </c>
      <c r="AI280" s="140">
        <f t="shared" si="118"/>
        <v>-1</v>
      </c>
      <c r="AJ280" s="140">
        <f t="shared" si="119"/>
        <v>-1</v>
      </c>
      <c r="AK280" s="140">
        <f t="shared" si="120"/>
        <v>-1</v>
      </c>
      <c r="AL280" s="140">
        <f t="shared" si="121"/>
        <v>-1</v>
      </c>
      <c r="AM280" t="str">
        <f t="shared" si="122"/>
        <v>4220-000: FICA Benefits</v>
      </c>
      <c r="AN280" s="140">
        <f t="shared" si="123"/>
        <v>-1</v>
      </c>
      <c r="AO280" s="140">
        <f t="shared" si="124"/>
        <v>1</v>
      </c>
      <c r="AP280" s="1" t="str">
        <f>IF(AND(AO280&gt;0, _xlfn.XLOOKUP($AM280, Discretionaries!$A$2:'Discretionaries'!$A$150, Discretionaries!$B$2:'Discretionaries'!$B$150)), (1+AN280)*$N280, "")</f>
        <v/>
      </c>
      <c r="AQ280" s="1" t="str">
        <f>IF(AND(AO280&gt;0, _xlfn.XLOOKUP($AM280, Discretionaries!$A$2:'Discretionaries'!$A$150, Discretionaries!$B$2:'Discretionaries'!$B$150)),AP280-$Q280,"")</f>
        <v/>
      </c>
      <c r="AR280" s="140">
        <f>IF(AG280="", 0-CPI!$B$15, AG280-CPI!$B$15)</f>
        <v>-3.8999999999999993E-2</v>
      </c>
      <c r="AS280" s="1" t="str">
        <f>IF(AND(AR280&gt;0, _xlfn.XLOOKUP($AM280, Discretionaries!$A$2:'Discretionaries'!$A$150, Discretionaries!$B$2:'Discretionaries'!$B$150)), (1+CPI!$B$15)*$N280, "")</f>
        <v/>
      </c>
      <c r="AT280" s="1" t="str">
        <f>IF(AND(AR280&gt;0, _xlfn.XLOOKUP($AM280, Discretionaries!$A$2:'Discretionaries'!$A$150, Discretionaries!$B$2:'Discretionaries'!$B$150)),AS280-$Q280,"")</f>
        <v/>
      </c>
    </row>
    <row r="281" spans="1:46" x14ac:dyDescent="0.3">
      <c r="A281" t="s">
        <v>431</v>
      </c>
      <c r="B281" t="str">
        <f t="shared" si="100"/>
        <v>23</v>
      </c>
      <c r="C281" t="s">
        <v>426</v>
      </c>
      <c r="D281" t="str">
        <f t="shared" si="101"/>
        <v>01</v>
      </c>
      <c r="E281" t="s">
        <v>14</v>
      </c>
      <c r="F281" s="139" t="s">
        <v>17</v>
      </c>
      <c r="G281" t="s">
        <v>18</v>
      </c>
      <c r="H281" s="156">
        <v>12645</v>
      </c>
      <c r="I281" s="156">
        <v>12470.81</v>
      </c>
      <c r="J281" s="156">
        <v>12605</v>
      </c>
      <c r="K281" s="156">
        <v>11601.51</v>
      </c>
      <c r="L281" s="156">
        <v>13050</v>
      </c>
      <c r="M281" s="156">
        <v>11583.67</v>
      </c>
      <c r="N281" s="156">
        <v>14034</v>
      </c>
      <c r="O281" s="156">
        <v>15375</v>
      </c>
      <c r="P281" s="156">
        <v>15375</v>
      </c>
      <c r="Q281" s="156">
        <v>15375</v>
      </c>
      <c r="R281" s="156">
        <v>15249</v>
      </c>
      <c r="S281" s="156">
        <f t="shared" si="102"/>
        <v>1341</v>
      </c>
      <c r="T281" s="156">
        <f t="shared" si="103"/>
        <v>126</v>
      </c>
      <c r="U281" s="140">
        <f t="shared" si="104"/>
        <v>9.555365540829415E-2</v>
      </c>
      <c r="V281" s="140">
        <f t="shared" si="105"/>
        <v>-1.3775405298537012E-2</v>
      </c>
      <c r="W281" s="140">
        <f t="shared" si="106"/>
        <v>-7.961047203490676E-2</v>
      </c>
      <c r="X281" s="140">
        <f t="shared" si="107"/>
        <v>-0.11236245210727969</v>
      </c>
      <c r="Y281" s="140">
        <f t="shared" si="108"/>
        <v>-3.1633056544088573E-3</v>
      </c>
      <c r="Z281" s="140">
        <f t="shared" si="109"/>
        <v>-6.9706779270953478E-2</v>
      </c>
      <c r="AA281" s="140">
        <f t="shared" si="110"/>
        <v>3.5303451011503374E-2</v>
      </c>
      <c r="AB281" s="140">
        <f t="shared" si="111"/>
        <v>-1.5377308643443953E-3</v>
      </c>
      <c r="AC281" s="140">
        <f t="shared" si="112"/>
        <v>7.5402298850574714E-2</v>
      </c>
      <c r="AD281" s="140">
        <f t="shared" si="113"/>
        <v>0.10984578884934756</v>
      </c>
      <c r="AE281" s="140">
        <f t="shared" si="114"/>
        <v>9.555365540829415E-2</v>
      </c>
      <c r="AF281" s="140">
        <f t="shared" si="115"/>
        <v>9.555365540829415E-2</v>
      </c>
      <c r="AG281" s="140">
        <f t="shared" si="116"/>
        <v>9.555365540829415E-2</v>
      </c>
      <c r="AH281" s="140">
        <f t="shared" si="117"/>
        <v>8.6575459598118853E-2</v>
      </c>
      <c r="AI281" s="140">
        <f t="shared" si="118"/>
        <v>0.21589561091340451</v>
      </c>
      <c r="AJ281" s="140">
        <f t="shared" si="119"/>
        <v>0.21589561091340451</v>
      </c>
      <c r="AK281" s="140">
        <f t="shared" si="120"/>
        <v>0.21589561091340451</v>
      </c>
      <c r="AL281" s="140">
        <f t="shared" si="121"/>
        <v>0.2059311981020166</v>
      </c>
      <c r="AM281" t="str">
        <f t="shared" si="122"/>
        <v>4225-000: Medicare Benefits</v>
      </c>
      <c r="AN281" s="140">
        <f t="shared" si="123"/>
        <v>3.5847481402556412E-2</v>
      </c>
      <c r="AO281" s="140">
        <f t="shared" si="124"/>
        <v>5.9706174005737737E-2</v>
      </c>
      <c r="AP281" s="1" t="str">
        <f>IF(AND(AO281&gt;0, _xlfn.XLOOKUP($AM281, Discretionaries!$A$2:'Discretionaries'!$A$150, Discretionaries!$B$2:'Discretionaries'!$B$150)), (1+AN281)*$N281, "")</f>
        <v/>
      </c>
      <c r="AQ281" s="1" t="str">
        <f>IF(AND(AO281&gt;0, _xlfn.XLOOKUP($AM281, Discretionaries!$A$2:'Discretionaries'!$A$150, Discretionaries!$B$2:'Discretionaries'!$B$150)),AP281-$Q281,"")</f>
        <v/>
      </c>
      <c r="AR281" s="140">
        <f>IF(AG281="", 0-CPI!$B$15, AG281-CPI!$B$15)</f>
        <v>5.6553655408294157E-2</v>
      </c>
      <c r="AS281" s="1" t="str">
        <f>IF(AND(AR281&gt;0, _xlfn.XLOOKUP($AM281, Discretionaries!$A$2:'Discretionaries'!$A$150, Discretionaries!$B$2:'Discretionaries'!$B$150)), (1+CPI!$B$15)*$N281, "")</f>
        <v/>
      </c>
      <c r="AT281" s="1" t="str">
        <f>IF(AND(AR281&gt;0, _xlfn.XLOOKUP($AM281, Discretionaries!$A$2:'Discretionaries'!$A$150, Discretionaries!$B$2:'Discretionaries'!$B$150)),AS281-$Q281,"")</f>
        <v/>
      </c>
    </row>
    <row r="282" spans="1:46" x14ac:dyDescent="0.3">
      <c r="A282" t="s">
        <v>431</v>
      </c>
      <c r="B282" t="str">
        <f t="shared" si="100"/>
        <v>23</v>
      </c>
      <c r="C282" t="s">
        <v>426</v>
      </c>
      <c r="D282" t="str">
        <f t="shared" si="101"/>
        <v>01</v>
      </c>
      <c r="E282" t="s">
        <v>14</v>
      </c>
      <c r="F282" s="139" t="s">
        <v>43</v>
      </c>
      <c r="G282" t="s">
        <v>44</v>
      </c>
      <c r="H282" s="156">
        <v>274911</v>
      </c>
      <c r="I282" s="156">
        <v>259293.95</v>
      </c>
      <c r="J282" s="156">
        <v>263832</v>
      </c>
      <c r="K282" s="156">
        <v>247160.76</v>
      </c>
      <c r="L282" s="156">
        <v>273142</v>
      </c>
      <c r="M282" s="156">
        <v>251125.28</v>
      </c>
      <c r="N282" s="156">
        <v>282092</v>
      </c>
      <c r="O282" s="156">
        <v>309077</v>
      </c>
      <c r="P282" s="156">
        <v>309077</v>
      </c>
      <c r="Q282" s="156">
        <v>309077</v>
      </c>
      <c r="R282" s="156">
        <v>306546</v>
      </c>
      <c r="S282" s="156">
        <f t="shared" si="102"/>
        <v>26985</v>
      </c>
      <c r="T282" s="156">
        <f t="shared" si="103"/>
        <v>2531</v>
      </c>
      <c r="U282" s="140">
        <f t="shared" si="104"/>
        <v>9.5660281043063969E-2</v>
      </c>
      <c r="V282" s="140">
        <f t="shared" si="105"/>
        <v>-5.6807657751053932E-2</v>
      </c>
      <c r="W282" s="140">
        <f t="shared" si="106"/>
        <v>-6.3188847448376204E-2</v>
      </c>
      <c r="X282" s="140">
        <f t="shared" si="107"/>
        <v>-8.0605399389328633E-2</v>
      </c>
      <c r="Y282" s="140">
        <f t="shared" si="108"/>
        <v>-4.0300315374794025E-2</v>
      </c>
      <c r="Z282" s="140">
        <f t="shared" si="109"/>
        <v>-4.6793185880349315E-2</v>
      </c>
      <c r="AA282" s="140">
        <f t="shared" si="110"/>
        <v>3.5287607265229386E-2</v>
      </c>
      <c r="AB282" s="140">
        <f t="shared" si="111"/>
        <v>1.6040248460151965E-2</v>
      </c>
      <c r="AC282" s="140">
        <f t="shared" si="112"/>
        <v>3.2766839226482929E-2</v>
      </c>
      <c r="AD282" s="140">
        <f t="shared" si="113"/>
        <v>2.6121181036771902E-2</v>
      </c>
      <c r="AE282" s="140">
        <f t="shared" si="114"/>
        <v>9.5660281043063969E-2</v>
      </c>
      <c r="AF282" s="140">
        <f t="shared" si="115"/>
        <v>9.5660281043063969E-2</v>
      </c>
      <c r="AG282" s="140">
        <f t="shared" si="116"/>
        <v>9.5660281043063969E-2</v>
      </c>
      <c r="AH282" s="140">
        <f t="shared" si="117"/>
        <v>8.6688030855181994E-2</v>
      </c>
      <c r="AI282" s="140">
        <f t="shared" si="118"/>
        <v>0.12428022159899021</v>
      </c>
      <c r="AJ282" s="140">
        <f t="shared" si="119"/>
        <v>0.12428022159899021</v>
      </c>
      <c r="AK282" s="140">
        <f t="shared" si="120"/>
        <v>0.12428022159899021</v>
      </c>
      <c r="AL282" s="140">
        <f t="shared" si="121"/>
        <v>0.11507360563964338</v>
      </c>
      <c r="AM282" t="str">
        <f t="shared" si="122"/>
        <v>4230-000: Retirement Benefits</v>
      </c>
      <c r="AN282" s="140">
        <f t="shared" si="123"/>
        <v>9.2513770389727624E-3</v>
      </c>
      <c r="AO282" s="140">
        <f t="shared" si="124"/>
        <v>8.6408904004091208E-2</v>
      </c>
      <c r="AP282" s="1" t="str">
        <f>IF(AND(AO282&gt;0, _xlfn.XLOOKUP($AM282, Discretionaries!$A$2:'Discretionaries'!$A$150, Discretionaries!$B$2:'Discretionaries'!$B$150)), (1+AN282)*$N282, "")</f>
        <v/>
      </c>
      <c r="AQ282" s="1" t="str">
        <f>IF(AND(AO282&gt;0, _xlfn.XLOOKUP($AM282, Discretionaries!$A$2:'Discretionaries'!$A$150, Discretionaries!$B$2:'Discretionaries'!$B$150)),AP282-$Q282,"")</f>
        <v/>
      </c>
      <c r="AR282" s="140">
        <f>IF(AG282="", 0-CPI!$B$15, AG282-CPI!$B$15)</f>
        <v>5.6660281043063976E-2</v>
      </c>
      <c r="AS282" s="1" t="str">
        <f>IF(AND(AR282&gt;0, _xlfn.XLOOKUP($AM282, Discretionaries!$A$2:'Discretionaries'!$A$150, Discretionaries!$B$2:'Discretionaries'!$B$150)), (1+CPI!$B$15)*$N282, "")</f>
        <v/>
      </c>
      <c r="AT282" s="1" t="str">
        <f>IF(AND(AR282&gt;0, _xlfn.XLOOKUP($AM282, Discretionaries!$A$2:'Discretionaries'!$A$150, Discretionaries!$B$2:'Discretionaries'!$B$150)),AS282-$Q282,"")</f>
        <v/>
      </c>
    </row>
    <row r="283" spans="1:46" x14ac:dyDescent="0.3">
      <c r="A283" t="s">
        <v>431</v>
      </c>
      <c r="B283" t="str">
        <f t="shared" si="100"/>
        <v>23</v>
      </c>
      <c r="C283" t="s">
        <v>426</v>
      </c>
      <c r="D283" t="str">
        <f t="shared" si="101"/>
        <v>01</v>
      </c>
      <c r="E283" t="s">
        <v>14</v>
      </c>
      <c r="F283" s="139" t="s">
        <v>19</v>
      </c>
      <c r="G283" t="s">
        <v>20</v>
      </c>
      <c r="H283" s="156">
        <v>26694</v>
      </c>
      <c r="I283" s="156">
        <v>25445.24</v>
      </c>
      <c r="J283" s="156">
        <v>28270</v>
      </c>
      <c r="K283" s="156">
        <v>30122.47</v>
      </c>
      <c r="L283" s="156">
        <v>33756</v>
      </c>
      <c r="M283" s="156">
        <v>33756.17</v>
      </c>
      <c r="N283" s="156">
        <v>39884</v>
      </c>
      <c r="O283" s="156">
        <v>39290</v>
      </c>
      <c r="P283" s="156">
        <v>39290</v>
      </c>
      <c r="Q283" s="156">
        <v>39290</v>
      </c>
      <c r="R283" s="156">
        <v>39290</v>
      </c>
      <c r="S283" s="156">
        <f t="shared" si="102"/>
        <v>-594</v>
      </c>
      <c r="T283" s="156">
        <f t="shared" si="103"/>
        <v>0</v>
      </c>
      <c r="U283" s="140">
        <f t="shared" si="104"/>
        <v>-1.4893190251730018E-2</v>
      </c>
      <c r="V283" s="140">
        <f t="shared" si="105"/>
        <v>-4.6780549936315217E-2</v>
      </c>
      <c r="W283" s="140">
        <f t="shared" si="106"/>
        <v>6.552776795189251E-2</v>
      </c>
      <c r="X283" s="140">
        <f t="shared" si="107"/>
        <v>5.0361417229012256E-6</v>
      </c>
      <c r="Y283" s="140">
        <f t="shared" si="108"/>
        <v>5.903948452835843E-2</v>
      </c>
      <c r="Z283" s="140">
        <f t="shared" si="109"/>
        <v>0.18381551913049354</v>
      </c>
      <c r="AA283" s="140">
        <f t="shared" si="110"/>
        <v>0.19405730456314113</v>
      </c>
      <c r="AB283" s="140">
        <f t="shared" si="111"/>
        <v>0.12063087787953634</v>
      </c>
      <c r="AC283" s="140">
        <f t="shared" si="112"/>
        <v>0.18153809693091599</v>
      </c>
      <c r="AD283" s="140">
        <f t="shared" si="113"/>
        <v>0.49411852850827903</v>
      </c>
      <c r="AE283" s="140">
        <f t="shared" si="114"/>
        <v>-1.4893190251730018E-2</v>
      </c>
      <c r="AF283" s="140">
        <f t="shared" si="115"/>
        <v>-1.4893190251730018E-2</v>
      </c>
      <c r="AG283" s="140">
        <f t="shared" si="116"/>
        <v>-1.4893190251730018E-2</v>
      </c>
      <c r="AH283" s="140">
        <f t="shared" si="117"/>
        <v>-1.4893190251730018E-2</v>
      </c>
      <c r="AI283" s="140">
        <f t="shared" si="118"/>
        <v>0.47186633700457031</v>
      </c>
      <c r="AJ283" s="140">
        <f t="shared" si="119"/>
        <v>0.47186633700457031</v>
      </c>
      <c r="AK283" s="140">
        <f t="shared" si="120"/>
        <v>0.47186633700457031</v>
      </c>
      <c r="AL283" s="140">
        <f t="shared" si="121"/>
        <v>0.47186633700457031</v>
      </c>
      <c r="AM283" t="str">
        <f t="shared" si="122"/>
        <v>4260-000: Workers' comp Benefits</v>
      </c>
      <c r="AN283" s="140">
        <f t="shared" si="123"/>
        <v>0.14487829534080518</v>
      </c>
      <c r="AO283" s="140">
        <f t="shared" si="124"/>
        <v>-0.15977148559253521</v>
      </c>
      <c r="AP283" s="1" t="str">
        <f>IF(AND(AO283&gt;0, _xlfn.XLOOKUP($AM283, Discretionaries!$A$2:'Discretionaries'!$A$150, Discretionaries!$B$2:'Discretionaries'!$B$150)), (1+AN283)*$N283, "")</f>
        <v/>
      </c>
      <c r="AQ283" s="1" t="str">
        <f>IF(AND(AO283&gt;0, _xlfn.XLOOKUP($AM283, Discretionaries!$A$2:'Discretionaries'!$A$150, Discretionaries!$B$2:'Discretionaries'!$B$150)),AP283-$Q283,"")</f>
        <v/>
      </c>
      <c r="AR283" s="140">
        <f>IF(AG283="", 0-CPI!$B$15, AG283-CPI!$B$15)</f>
        <v>-5.3893190251730012E-2</v>
      </c>
      <c r="AS283" s="1" t="str">
        <f>IF(AND(AR283&gt;0, _xlfn.XLOOKUP($AM283, Discretionaries!$A$2:'Discretionaries'!$A$150, Discretionaries!$B$2:'Discretionaries'!$B$150)), (1+CPI!$B$15)*$N283, "")</f>
        <v/>
      </c>
      <c r="AT283" s="1" t="str">
        <f>IF(AND(AR283&gt;0, _xlfn.XLOOKUP($AM283, Discretionaries!$A$2:'Discretionaries'!$A$150, Discretionaries!$B$2:'Discretionaries'!$B$150)),AS283-$Q283,"")</f>
        <v/>
      </c>
    </row>
    <row r="284" spans="1:46" x14ac:dyDescent="0.3">
      <c r="A284" t="s">
        <v>431</v>
      </c>
      <c r="B284" t="str">
        <f t="shared" si="100"/>
        <v>23</v>
      </c>
      <c r="C284" t="s">
        <v>426</v>
      </c>
      <c r="D284" t="str">
        <f t="shared" si="101"/>
        <v>01</v>
      </c>
      <c r="E284" t="s">
        <v>21</v>
      </c>
      <c r="F284" s="139" t="s">
        <v>131</v>
      </c>
      <c r="G284" t="s">
        <v>132</v>
      </c>
      <c r="H284" s="156">
        <v>8000</v>
      </c>
      <c r="I284" s="156">
        <v>1179</v>
      </c>
      <c r="J284" s="156">
        <v>8000</v>
      </c>
      <c r="K284" s="156">
        <v>2303.08</v>
      </c>
      <c r="L284" s="156">
        <v>8000</v>
      </c>
      <c r="M284" s="156">
        <v>375</v>
      </c>
      <c r="N284" s="156">
        <v>8000</v>
      </c>
      <c r="O284" s="156">
        <v>15250</v>
      </c>
      <c r="P284" s="156">
        <v>15250</v>
      </c>
      <c r="Q284" s="156">
        <v>15250</v>
      </c>
      <c r="R284" s="156">
        <v>8000</v>
      </c>
      <c r="S284" s="156">
        <f t="shared" si="102"/>
        <v>7250</v>
      </c>
      <c r="T284" s="156">
        <f t="shared" si="103"/>
        <v>7250</v>
      </c>
      <c r="U284" s="140">
        <f t="shared" si="104"/>
        <v>0.90625</v>
      </c>
      <c r="V284" s="140">
        <f t="shared" si="105"/>
        <v>-0.85262499999999997</v>
      </c>
      <c r="W284" s="140">
        <f t="shared" si="106"/>
        <v>-0.71211500000000005</v>
      </c>
      <c r="X284" s="140">
        <f t="shared" si="107"/>
        <v>-0.953125</v>
      </c>
      <c r="Y284" s="140">
        <f t="shared" si="108"/>
        <v>0</v>
      </c>
      <c r="Z284" s="140">
        <f t="shared" si="109"/>
        <v>0.95341815097540283</v>
      </c>
      <c r="AA284" s="140">
        <f t="shared" si="110"/>
        <v>0</v>
      </c>
      <c r="AB284" s="140">
        <f t="shared" si="111"/>
        <v>-0.83717456623304443</v>
      </c>
      <c r="AC284" s="140">
        <f t="shared" si="112"/>
        <v>0</v>
      </c>
      <c r="AD284" s="140">
        <f t="shared" si="113"/>
        <v>0</v>
      </c>
      <c r="AE284" s="140">
        <f t="shared" si="114"/>
        <v>0.90625</v>
      </c>
      <c r="AF284" s="140">
        <f t="shared" si="115"/>
        <v>0.90625</v>
      </c>
      <c r="AG284" s="140">
        <f t="shared" si="116"/>
        <v>0.90625</v>
      </c>
      <c r="AH284" s="140">
        <f t="shared" si="117"/>
        <v>0</v>
      </c>
      <c r="AI284" s="140">
        <f t="shared" si="118"/>
        <v>0.90625</v>
      </c>
      <c r="AJ284" s="140">
        <f t="shared" si="119"/>
        <v>0.90625</v>
      </c>
      <c r="AK284" s="140">
        <f t="shared" si="120"/>
        <v>0.90625</v>
      </c>
      <c r="AL284" s="140">
        <f t="shared" si="121"/>
        <v>0</v>
      </c>
      <c r="AM284" t="str">
        <f t="shared" si="122"/>
        <v>4241-000: Training Benefits</v>
      </c>
      <c r="AN284" s="140">
        <f t="shared" si="123"/>
        <v>0</v>
      </c>
      <c r="AO284" s="140">
        <f t="shared" si="124"/>
        <v>0.90625</v>
      </c>
      <c r="AP284" s="1" t="str">
        <f>IF(AND(AO284&gt;0, _xlfn.XLOOKUP($AM284, Discretionaries!$A$2:'Discretionaries'!$A$150, Discretionaries!$B$2:'Discretionaries'!$B$150)), (1+AN284)*$N284, "")</f>
        <v/>
      </c>
      <c r="AQ284" s="1" t="str">
        <f>IF(AND(AO284&gt;0, _xlfn.XLOOKUP($AM284, Discretionaries!$A$2:'Discretionaries'!$A$150, Discretionaries!$B$2:'Discretionaries'!$B$150)),AP284-$Q284,"")</f>
        <v/>
      </c>
      <c r="AR284" s="140">
        <f>IF(AG284="", 0-CPI!$B$15, AG284-CPI!$B$15)</f>
        <v>0.86724999999999997</v>
      </c>
      <c r="AS284" s="1" t="str">
        <f>IF(AND(AR284&gt;0, _xlfn.XLOOKUP($AM284, Discretionaries!$A$2:'Discretionaries'!$A$150, Discretionaries!$B$2:'Discretionaries'!$B$150)), (1+CPI!$B$15)*$N284, "")</f>
        <v/>
      </c>
      <c r="AT284" s="1" t="str">
        <f>IF(AND(AR284&gt;0, _xlfn.XLOOKUP($AM284, Discretionaries!$A$2:'Discretionaries'!$A$150, Discretionaries!$B$2:'Discretionaries'!$B$150)),AS284-$Q284,"")</f>
        <v/>
      </c>
    </row>
    <row r="285" spans="1:46" x14ac:dyDescent="0.3">
      <c r="A285" t="s">
        <v>431</v>
      </c>
      <c r="B285" t="str">
        <f t="shared" si="100"/>
        <v>23</v>
      </c>
      <c r="C285" t="s">
        <v>426</v>
      </c>
      <c r="D285" t="str">
        <f t="shared" si="101"/>
        <v>01</v>
      </c>
      <c r="E285" t="s">
        <v>21</v>
      </c>
      <c r="F285" s="139" t="s">
        <v>144</v>
      </c>
      <c r="G285" t="s">
        <v>145</v>
      </c>
      <c r="H285" s="156">
        <v>13000</v>
      </c>
      <c r="I285" s="156">
        <v>24025.67</v>
      </c>
      <c r="J285" s="156">
        <v>13000</v>
      </c>
      <c r="K285" s="156">
        <v>19040.05</v>
      </c>
      <c r="L285" s="156">
        <v>13000</v>
      </c>
      <c r="M285" s="156">
        <v>36422.79</v>
      </c>
      <c r="N285" s="156">
        <v>19100</v>
      </c>
      <c r="O285" s="156">
        <v>20000</v>
      </c>
      <c r="P285" s="156">
        <v>20000</v>
      </c>
      <c r="Q285" s="156">
        <v>20000</v>
      </c>
      <c r="R285" s="156">
        <v>19978</v>
      </c>
      <c r="S285" s="156">
        <f t="shared" si="102"/>
        <v>900</v>
      </c>
      <c r="T285" s="156">
        <f t="shared" si="103"/>
        <v>22</v>
      </c>
      <c r="U285" s="140">
        <f t="shared" si="104"/>
        <v>4.712041884816754E-2</v>
      </c>
      <c r="V285" s="140">
        <f t="shared" si="105"/>
        <v>0.84812846153846144</v>
      </c>
      <c r="W285" s="140">
        <f t="shared" si="106"/>
        <v>0.46461923076923073</v>
      </c>
      <c r="X285" s="140">
        <f t="shared" si="107"/>
        <v>1.801753076923077</v>
      </c>
      <c r="Y285" s="140">
        <f t="shared" si="108"/>
        <v>0</v>
      </c>
      <c r="Z285" s="140">
        <f t="shared" si="109"/>
        <v>-0.20751221505997541</v>
      </c>
      <c r="AA285" s="140">
        <f t="shared" si="110"/>
        <v>0</v>
      </c>
      <c r="AB285" s="140">
        <f t="shared" si="111"/>
        <v>0.91295663614328759</v>
      </c>
      <c r="AC285" s="140">
        <f t="shared" si="112"/>
        <v>0.46923076923076923</v>
      </c>
      <c r="AD285" s="140">
        <f t="shared" si="113"/>
        <v>0.46923076923076923</v>
      </c>
      <c r="AE285" s="140">
        <f t="shared" si="114"/>
        <v>4.712041884816754E-2</v>
      </c>
      <c r="AF285" s="140">
        <f t="shared" si="115"/>
        <v>4.712041884816754E-2</v>
      </c>
      <c r="AG285" s="140">
        <f t="shared" si="116"/>
        <v>4.712041884816754E-2</v>
      </c>
      <c r="AH285" s="140">
        <f t="shared" si="117"/>
        <v>4.5968586387434555E-2</v>
      </c>
      <c r="AI285" s="140">
        <f t="shared" si="118"/>
        <v>0.53846153846153844</v>
      </c>
      <c r="AJ285" s="140">
        <f t="shared" si="119"/>
        <v>0.53846153846153844</v>
      </c>
      <c r="AK285" s="140">
        <f t="shared" si="120"/>
        <v>0.53846153846153844</v>
      </c>
      <c r="AL285" s="140">
        <f t="shared" si="121"/>
        <v>0.53676923076923078</v>
      </c>
      <c r="AM285" t="str">
        <f t="shared" si="122"/>
        <v>4341-000: Telephone Services</v>
      </c>
      <c r="AN285" s="140">
        <f t="shared" si="123"/>
        <v>0.15641025641025641</v>
      </c>
      <c r="AO285" s="140">
        <f t="shared" si="124"/>
        <v>-0.10928983756208888</v>
      </c>
      <c r="AP285" s="1" t="str">
        <f>IF(AND(AO285&gt;0, _xlfn.XLOOKUP($AM285, Discretionaries!$A$2:'Discretionaries'!$A$150, Discretionaries!$B$2:'Discretionaries'!$B$150)), (1+AN285)*$N285, "")</f>
        <v/>
      </c>
      <c r="AQ285" s="1" t="str">
        <f>IF(AND(AO285&gt;0, _xlfn.XLOOKUP($AM285, Discretionaries!$A$2:'Discretionaries'!$A$150, Discretionaries!$B$2:'Discretionaries'!$B$150)),AP285-$Q285,"")</f>
        <v/>
      </c>
      <c r="AR285" s="140">
        <f>IF(AG285="", 0-CPI!$B$15, AG285-CPI!$B$15)</f>
        <v>8.1204188481675474E-3</v>
      </c>
      <c r="AS285" s="1">
        <f>IF(AND(AR285&gt;0, _xlfn.XLOOKUP($AM285, Discretionaries!$A$2:'Discretionaries'!$A$150, Discretionaries!$B$2:'Discretionaries'!$B$150)), (1+CPI!$B$15)*$N285, "")</f>
        <v>19844.899999999998</v>
      </c>
      <c r="AT285" s="1">
        <f>IF(AND(AR285&gt;0, _xlfn.XLOOKUP($AM285, Discretionaries!$A$2:'Discretionaries'!$A$150, Discretionaries!$B$2:'Discretionaries'!$B$150)),AS285-$Q285,"")</f>
        <v>-155.10000000000218</v>
      </c>
    </row>
    <row r="286" spans="1:46" x14ac:dyDescent="0.3">
      <c r="A286" t="s">
        <v>431</v>
      </c>
      <c r="B286" t="str">
        <f t="shared" si="100"/>
        <v>23</v>
      </c>
      <c r="C286" t="s">
        <v>426</v>
      </c>
      <c r="D286" t="str">
        <f t="shared" si="101"/>
        <v>01</v>
      </c>
      <c r="E286" t="s">
        <v>21</v>
      </c>
      <c r="F286" s="139" t="s">
        <v>111</v>
      </c>
      <c r="G286" t="s">
        <v>112</v>
      </c>
      <c r="H286" s="156">
        <v>3500</v>
      </c>
      <c r="I286" s="156">
        <v>4582.37</v>
      </c>
      <c r="J286" s="156">
        <v>8000</v>
      </c>
      <c r="K286" s="156">
        <v>5158.42</v>
      </c>
      <c r="L286" s="156">
        <v>8000</v>
      </c>
      <c r="M286" s="156">
        <v>3806.56</v>
      </c>
      <c r="N286" s="156">
        <v>8000</v>
      </c>
      <c r="O286" s="156">
        <v>3500</v>
      </c>
      <c r="P286" s="156">
        <v>3500</v>
      </c>
      <c r="Q286" s="156">
        <v>3500</v>
      </c>
      <c r="R286" s="156">
        <v>8000</v>
      </c>
      <c r="S286" s="156">
        <f t="shared" si="102"/>
        <v>-4500</v>
      </c>
      <c r="T286" s="156">
        <f t="shared" si="103"/>
        <v>-4500</v>
      </c>
      <c r="U286" s="140">
        <f t="shared" si="104"/>
        <v>-0.5625</v>
      </c>
      <c r="V286" s="140">
        <f t="shared" si="105"/>
        <v>0.30924857142857137</v>
      </c>
      <c r="W286" s="140">
        <f t="shared" si="106"/>
        <v>-0.3551975</v>
      </c>
      <c r="X286" s="140">
        <f t="shared" si="107"/>
        <v>-0.52418000000000009</v>
      </c>
      <c r="Y286" s="140">
        <f t="shared" si="108"/>
        <v>1.2857142857142858</v>
      </c>
      <c r="Z286" s="140">
        <f t="shared" si="109"/>
        <v>0.12571005833226043</v>
      </c>
      <c r="AA286" s="140">
        <f t="shared" si="110"/>
        <v>0</v>
      </c>
      <c r="AB286" s="140">
        <f t="shared" si="111"/>
        <v>-0.2620686179101353</v>
      </c>
      <c r="AC286" s="140">
        <f t="shared" si="112"/>
        <v>0</v>
      </c>
      <c r="AD286" s="140">
        <f t="shared" si="113"/>
        <v>1.2857142857142858</v>
      </c>
      <c r="AE286" s="140">
        <f t="shared" si="114"/>
        <v>-0.5625</v>
      </c>
      <c r="AF286" s="140">
        <f t="shared" si="115"/>
        <v>-0.5625</v>
      </c>
      <c r="AG286" s="140">
        <f t="shared" si="116"/>
        <v>-0.5625</v>
      </c>
      <c r="AH286" s="140">
        <f t="shared" si="117"/>
        <v>0</v>
      </c>
      <c r="AI286" s="140">
        <f t="shared" si="118"/>
        <v>0</v>
      </c>
      <c r="AJ286" s="140">
        <f t="shared" si="119"/>
        <v>0</v>
      </c>
      <c r="AK286" s="140">
        <f t="shared" si="120"/>
        <v>0</v>
      </c>
      <c r="AL286" s="140">
        <f t="shared" si="121"/>
        <v>1.2857142857142858</v>
      </c>
      <c r="AM286" t="str">
        <f t="shared" si="122"/>
        <v>4440-000: Rental and leases Services</v>
      </c>
      <c r="AN286" s="140">
        <f t="shared" si="123"/>
        <v>0.4285714285714286</v>
      </c>
      <c r="AO286" s="140">
        <f t="shared" si="124"/>
        <v>-0.9910714285714286</v>
      </c>
      <c r="AP286" s="1" t="str">
        <f>IF(AND(AO286&gt;0, _xlfn.XLOOKUP($AM286, Discretionaries!$A$2:'Discretionaries'!$A$150, Discretionaries!$B$2:'Discretionaries'!$B$150)), (1+AN286)*$N286, "")</f>
        <v/>
      </c>
      <c r="AQ286" s="1" t="str">
        <f>IF(AND(AO286&gt;0, _xlfn.XLOOKUP($AM286, Discretionaries!$A$2:'Discretionaries'!$A$150, Discretionaries!$B$2:'Discretionaries'!$B$150)),AP286-$Q286,"")</f>
        <v/>
      </c>
      <c r="AR286" s="140">
        <f>IF(AG286="", 0-CPI!$B$15, AG286-CPI!$B$15)</f>
        <v>-0.60150000000000003</v>
      </c>
      <c r="AS286" s="1" t="str">
        <f>IF(AND(AR286&gt;0, _xlfn.XLOOKUP($AM286, Discretionaries!$A$2:'Discretionaries'!$A$150, Discretionaries!$B$2:'Discretionaries'!$B$150)), (1+CPI!$B$15)*$N286, "")</f>
        <v/>
      </c>
      <c r="AT286" s="1" t="str">
        <f>IF(AND(AR286&gt;0, _xlfn.XLOOKUP($AM286, Discretionaries!$A$2:'Discretionaries'!$A$150, Discretionaries!$B$2:'Discretionaries'!$B$150)),AS286-$Q286,"")</f>
        <v/>
      </c>
    </row>
    <row r="287" spans="1:46" x14ac:dyDescent="0.3">
      <c r="A287" t="s">
        <v>431</v>
      </c>
      <c r="B287" t="str">
        <f t="shared" si="100"/>
        <v>23</v>
      </c>
      <c r="C287" t="s">
        <v>426</v>
      </c>
      <c r="D287" t="str">
        <f t="shared" si="101"/>
        <v>01</v>
      </c>
      <c r="E287" t="s">
        <v>133</v>
      </c>
      <c r="F287" s="139" t="s">
        <v>134</v>
      </c>
      <c r="G287" t="s">
        <v>135</v>
      </c>
      <c r="H287" s="156">
        <v>6100</v>
      </c>
      <c r="I287" s="156">
        <v>5696.99</v>
      </c>
      <c r="J287" s="156">
        <v>6100</v>
      </c>
      <c r="K287" s="156">
        <v>6037</v>
      </c>
      <c r="L287" s="156">
        <v>6100</v>
      </c>
      <c r="M287" s="156">
        <v>18972.25</v>
      </c>
      <c r="N287" s="156">
        <v>14364</v>
      </c>
      <c r="O287" s="156">
        <v>10551</v>
      </c>
      <c r="P287" s="156">
        <v>10551</v>
      </c>
      <c r="Q287" s="156">
        <v>10551</v>
      </c>
      <c r="R287" s="156">
        <v>14364</v>
      </c>
      <c r="S287" s="156">
        <f t="shared" si="102"/>
        <v>-3813</v>
      </c>
      <c r="T287" s="156">
        <f t="shared" si="103"/>
        <v>-3813</v>
      </c>
      <c r="U287" s="140">
        <f t="shared" si="104"/>
        <v>-0.26545530492898917</v>
      </c>
      <c r="V287" s="140">
        <f t="shared" si="105"/>
        <v>-6.6067213114754136E-2</v>
      </c>
      <c r="W287" s="140">
        <f t="shared" si="106"/>
        <v>-1.0327868852459017E-2</v>
      </c>
      <c r="X287" s="140">
        <f t="shared" si="107"/>
        <v>2.1102049180327871</v>
      </c>
      <c r="Y287" s="140">
        <f t="shared" si="108"/>
        <v>0</v>
      </c>
      <c r="Z287" s="140">
        <f t="shared" si="109"/>
        <v>5.9682393685086377E-2</v>
      </c>
      <c r="AA287" s="140">
        <f t="shared" si="110"/>
        <v>0</v>
      </c>
      <c r="AB287" s="140">
        <f t="shared" si="111"/>
        <v>2.1426619181712772</v>
      </c>
      <c r="AC287" s="140">
        <f t="shared" si="112"/>
        <v>1.3547540983606556</v>
      </c>
      <c r="AD287" s="140">
        <f t="shared" si="113"/>
        <v>1.3547540983606556</v>
      </c>
      <c r="AE287" s="140">
        <f t="shared" si="114"/>
        <v>-0.26545530492898917</v>
      </c>
      <c r="AF287" s="140">
        <f t="shared" si="115"/>
        <v>-0.26545530492898917</v>
      </c>
      <c r="AG287" s="140">
        <f t="shared" si="116"/>
        <v>-0.26545530492898917</v>
      </c>
      <c r="AH287" s="140">
        <f t="shared" si="117"/>
        <v>0</v>
      </c>
      <c r="AI287" s="140">
        <f t="shared" si="118"/>
        <v>0.72967213114754104</v>
      </c>
      <c r="AJ287" s="140">
        <f t="shared" si="119"/>
        <v>0.72967213114754104</v>
      </c>
      <c r="AK287" s="140">
        <f t="shared" si="120"/>
        <v>0.72967213114754104</v>
      </c>
      <c r="AL287" s="140">
        <f t="shared" si="121"/>
        <v>1.3547540983606556</v>
      </c>
      <c r="AM287" t="str">
        <f t="shared" si="122"/>
        <v>4490-000: Clothing allowance Services</v>
      </c>
      <c r="AN287" s="140">
        <f t="shared" si="123"/>
        <v>0.4515846994535519</v>
      </c>
      <c r="AO287" s="140">
        <f t="shared" si="124"/>
        <v>-0.71704000438254112</v>
      </c>
      <c r="AP287" s="1" t="str">
        <f>IF(AND(AO287&gt;0, _xlfn.XLOOKUP($AM287, Discretionaries!$A$2:'Discretionaries'!$A$150, Discretionaries!$B$2:'Discretionaries'!$B$150)), (1+AN287)*$N287, "")</f>
        <v/>
      </c>
      <c r="AQ287" s="1" t="str">
        <f>IF(AND(AO287&gt;0, _xlfn.XLOOKUP($AM287, Discretionaries!$A$2:'Discretionaries'!$A$150, Discretionaries!$B$2:'Discretionaries'!$B$150)),AP287-$Q287,"")</f>
        <v/>
      </c>
      <c r="AR287" s="140">
        <f>IF(AG287="", 0-CPI!$B$15, AG287-CPI!$B$15)</f>
        <v>-0.30445530492898915</v>
      </c>
      <c r="AS287" s="1" t="str">
        <f>IF(AND(AR287&gt;0, _xlfn.XLOOKUP($AM287, Discretionaries!$A$2:'Discretionaries'!$A$150, Discretionaries!$B$2:'Discretionaries'!$B$150)), (1+CPI!$B$15)*$N287, "")</f>
        <v/>
      </c>
      <c r="AT287" s="1" t="str">
        <f>IF(AND(AR287&gt;0, _xlfn.XLOOKUP($AM287, Discretionaries!$A$2:'Discretionaries'!$A$150, Discretionaries!$B$2:'Discretionaries'!$B$150)),AS287-$Q287,"")</f>
        <v/>
      </c>
    </row>
    <row r="288" spans="1:46" x14ac:dyDescent="0.3">
      <c r="A288" t="s">
        <v>431</v>
      </c>
      <c r="B288" t="str">
        <f t="shared" si="100"/>
        <v>23</v>
      </c>
      <c r="C288" t="s">
        <v>426</v>
      </c>
      <c r="D288" t="str">
        <f t="shared" si="101"/>
        <v>01</v>
      </c>
      <c r="E288" t="s">
        <v>133</v>
      </c>
      <c r="F288" s="139" t="s">
        <v>267</v>
      </c>
      <c r="G288" t="s">
        <v>268</v>
      </c>
      <c r="H288" s="156">
        <v>38000</v>
      </c>
      <c r="I288" s="156">
        <v>54194.400000000001</v>
      </c>
      <c r="J288" s="156">
        <v>50000</v>
      </c>
      <c r="K288" s="156">
        <v>85707.14</v>
      </c>
      <c r="L288" s="156">
        <v>50000</v>
      </c>
      <c r="M288" s="156">
        <v>293414.61</v>
      </c>
      <c r="N288" s="156">
        <v>53180</v>
      </c>
      <c r="O288" s="156">
        <v>63000</v>
      </c>
      <c r="P288" s="156">
        <v>53000</v>
      </c>
      <c r="Q288" s="156">
        <v>53000</v>
      </c>
      <c r="R288" s="156">
        <v>53180</v>
      </c>
      <c r="S288" s="156">
        <f t="shared" si="102"/>
        <v>-180</v>
      </c>
      <c r="T288" s="156">
        <f t="shared" si="103"/>
        <v>-180</v>
      </c>
      <c r="U288" s="140">
        <f t="shared" si="104"/>
        <v>-3.3847311019180142E-3</v>
      </c>
      <c r="V288" s="140">
        <f t="shared" si="105"/>
        <v>0.42616842105263164</v>
      </c>
      <c r="W288" s="140">
        <f t="shared" si="106"/>
        <v>0.71414279999999997</v>
      </c>
      <c r="X288" s="140">
        <f t="shared" si="107"/>
        <v>4.8682922</v>
      </c>
      <c r="Y288" s="140">
        <f t="shared" si="108"/>
        <v>0.31578947368421051</v>
      </c>
      <c r="Z288" s="140">
        <f t="shared" si="109"/>
        <v>0.58147594585418416</v>
      </c>
      <c r="AA288" s="140">
        <f t="shared" si="110"/>
        <v>0</v>
      </c>
      <c r="AB288" s="140">
        <f t="shared" si="111"/>
        <v>2.4234558521028702</v>
      </c>
      <c r="AC288" s="140">
        <f t="shared" si="112"/>
        <v>6.3600000000000004E-2</v>
      </c>
      <c r="AD288" s="140">
        <f t="shared" si="113"/>
        <v>0.39947368421052631</v>
      </c>
      <c r="AE288" s="140">
        <f t="shared" si="114"/>
        <v>0.184655885671305</v>
      </c>
      <c r="AF288" s="140">
        <f t="shared" si="115"/>
        <v>-3.3847311019180142E-3</v>
      </c>
      <c r="AG288" s="140">
        <f t="shared" si="116"/>
        <v>-3.3847311019180142E-3</v>
      </c>
      <c r="AH288" s="140">
        <f t="shared" si="117"/>
        <v>0</v>
      </c>
      <c r="AI288" s="140">
        <f t="shared" si="118"/>
        <v>0.65789473684210531</v>
      </c>
      <c r="AJ288" s="140">
        <f t="shared" si="119"/>
        <v>0.39473684210526316</v>
      </c>
      <c r="AK288" s="140">
        <f t="shared" si="120"/>
        <v>0.39473684210526316</v>
      </c>
      <c r="AL288" s="140">
        <f t="shared" si="121"/>
        <v>0.39947368421052631</v>
      </c>
      <c r="AM288" t="str">
        <f t="shared" si="122"/>
        <v>4531-000: Safety program Services</v>
      </c>
      <c r="AN288" s="140">
        <f t="shared" si="123"/>
        <v>0.12646315789473683</v>
      </c>
      <c r="AO288" s="140">
        <f t="shared" si="124"/>
        <v>-0.12984788899665484</v>
      </c>
      <c r="AP288" s="1" t="str">
        <f>IF(AND(AO288&gt;0, _xlfn.XLOOKUP($AM288, Discretionaries!$A$2:'Discretionaries'!$A$150, Discretionaries!$B$2:'Discretionaries'!$B$150)), (1+AN288)*$N288, "")</f>
        <v/>
      </c>
      <c r="AQ288" s="1" t="str">
        <f>IF(AND(AO288&gt;0, _xlfn.XLOOKUP($AM288, Discretionaries!$A$2:'Discretionaries'!$A$150, Discretionaries!$B$2:'Discretionaries'!$B$150)),AP288-$Q288,"")</f>
        <v/>
      </c>
      <c r="AR288" s="140">
        <f>IF(AG288="", 0-CPI!$B$15, AG288-CPI!$B$15)</f>
        <v>-4.2384731101918011E-2</v>
      </c>
      <c r="AS288" s="1" t="str">
        <f>IF(AND(AR288&gt;0, _xlfn.XLOOKUP($AM288, Discretionaries!$A$2:'Discretionaries'!$A$150, Discretionaries!$B$2:'Discretionaries'!$B$150)), (1+CPI!$B$15)*$N288, "")</f>
        <v/>
      </c>
      <c r="AT288" s="1" t="str">
        <f>IF(AND(AR288&gt;0, _xlfn.XLOOKUP($AM288, Discretionaries!$A$2:'Discretionaries'!$A$150, Discretionaries!$B$2:'Discretionaries'!$B$150)),AS288-$Q288,"")</f>
        <v/>
      </c>
    </row>
    <row r="289" spans="1:46" x14ac:dyDescent="0.3">
      <c r="A289" t="s">
        <v>431</v>
      </c>
      <c r="B289" t="str">
        <f t="shared" si="100"/>
        <v>23</v>
      </c>
      <c r="C289" t="s">
        <v>426</v>
      </c>
      <c r="D289" t="str">
        <f t="shared" si="101"/>
        <v>01</v>
      </c>
      <c r="E289" t="s">
        <v>45</v>
      </c>
      <c r="F289" s="139" t="s">
        <v>269</v>
      </c>
      <c r="G289" t="s">
        <v>270</v>
      </c>
      <c r="H289" s="156">
        <v>2500</v>
      </c>
      <c r="I289" s="156">
        <v>1495.94</v>
      </c>
      <c r="J289" s="156">
        <v>2500</v>
      </c>
      <c r="K289" s="156">
        <v>880</v>
      </c>
      <c r="L289" s="156">
        <v>2500</v>
      </c>
      <c r="M289" s="156">
        <v>3253.7</v>
      </c>
      <c r="N289" s="156">
        <v>2500</v>
      </c>
      <c r="O289" s="156">
        <v>3440</v>
      </c>
      <c r="P289" s="156">
        <v>3440</v>
      </c>
      <c r="Q289" s="156">
        <v>3440</v>
      </c>
      <c r="R289" s="156">
        <v>2500</v>
      </c>
      <c r="S289" s="156">
        <f t="shared" si="102"/>
        <v>940</v>
      </c>
      <c r="T289" s="156">
        <f t="shared" si="103"/>
        <v>940</v>
      </c>
      <c r="U289" s="140">
        <f t="shared" si="104"/>
        <v>0.376</v>
      </c>
      <c r="V289" s="140">
        <f t="shared" si="105"/>
        <v>-0.40162399999999998</v>
      </c>
      <c r="W289" s="140">
        <f t="shared" si="106"/>
        <v>-0.64800000000000002</v>
      </c>
      <c r="X289" s="140">
        <f t="shared" si="107"/>
        <v>0.30147999999999991</v>
      </c>
      <c r="Y289" s="140">
        <f t="shared" si="108"/>
        <v>0</v>
      </c>
      <c r="Z289" s="140">
        <f t="shared" si="109"/>
        <v>-0.4117411126114684</v>
      </c>
      <c r="AA289" s="140">
        <f t="shared" si="110"/>
        <v>0</v>
      </c>
      <c r="AB289" s="140">
        <f t="shared" si="111"/>
        <v>2.6973863636363635</v>
      </c>
      <c r="AC289" s="140">
        <f t="shared" si="112"/>
        <v>0</v>
      </c>
      <c r="AD289" s="140">
        <f t="shared" si="113"/>
        <v>0</v>
      </c>
      <c r="AE289" s="140">
        <f t="shared" si="114"/>
        <v>0.376</v>
      </c>
      <c r="AF289" s="140">
        <f t="shared" si="115"/>
        <v>0.376</v>
      </c>
      <c r="AG289" s="140">
        <f t="shared" si="116"/>
        <v>0.376</v>
      </c>
      <c r="AH289" s="140">
        <f t="shared" si="117"/>
        <v>0</v>
      </c>
      <c r="AI289" s="140">
        <f t="shared" si="118"/>
        <v>0.376</v>
      </c>
      <c r="AJ289" s="140">
        <f t="shared" si="119"/>
        <v>0.376</v>
      </c>
      <c r="AK289" s="140">
        <f t="shared" si="120"/>
        <v>0.376</v>
      </c>
      <c r="AL289" s="140">
        <f t="shared" si="121"/>
        <v>0</v>
      </c>
      <c r="AM289" t="str">
        <f t="shared" si="122"/>
        <v>4530-000: Public education Services</v>
      </c>
      <c r="AN289" s="140">
        <f t="shared" si="123"/>
        <v>0</v>
      </c>
      <c r="AO289" s="140">
        <f t="shared" si="124"/>
        <v>0.376</v>
      </c>
      <c r="AP289" s="1">
        <f>IF(AND(AO289&gt;0, _xlfn.XLOOKUP($AM289, Discretionaries!$A$2:'Discretionaries'!$A$150, Discretionaries!$B$2:'Discretionaries'!$B$150)), (1+AN289)*$N289, "")</f>
        <v>2500</v>
      </c>
      <c r="AQ289" s="1">
        <f>IF(AND(AO289&gt;0, _xlfn.XLOOKUP($AM289, Discretionaries!$A$2:'Discretionaries'!$A$150, Discretionaries!$B$2:'Discretionaries'!$B$150)),AP289-$Q289,"")</f>
        <v>-940</v>
      </c>
      <c r="AR289" s="140">
        <f>IF(AG289="", 0-CPI!$B$15, AG289-CPI!$B$15)</f>
        <v>0.33700000000000002</v>
      </c>
      <c r="AS289" s="1">
        <f>IF(AND(AR289&gt;0, _xlfn.XLOOKUP($AM289, Discretionaries!$A$2:'Discretionaries'!$A$150, Discretionaries!$B$2:'Discretionaries'!$B$150)), (1+CPI!$B$15)*$N289, "")</f>
        <v>2597.5</v>
      </c>
      <c r="AT289" s="1">
        <f>IF(AND(AR289&gt;0, _xlfn.XLOOKUP($AM289, Discretionaries!$A$2:'Discretionaries'!$A$150, Discretionaries!$B$2:'Discretionaries'!$B$150)),AS289-$Q289,"")</f>
        <v>-842.5</v>
      </c>
    </row>
    <row r="290" spans="1:46" x14ac:dyDescent="0.3">
      <c r="A290" t="s">
        <v>431</v>
      </c>
      <c r="B290" t="str">
        <f t="shared" si="100"/>
        <v>23</v>
      </c>
      <c r="C290" t="s">
        <v>426</v>
      </c>
      <c r="D290" t="str">
        <f t="shared" si="101"/>
        <v>01</v>
      </c>
      <c r="E290" t="s">
        <v>45</v>
      </c>
      <c r="F290" s="139" t="s">
        <v>22</v>
      </c>
      <c r="G290" t="s">
        <v>23</v>
      </c>
      <c r="H290" s="156">
        <v>450</v>
      </c>
      <c r="I290" s="156">
        <v>355.98</v>
      </c>
      <c r="J290" s="156">
        <v>450</v>
      </c>
      <c r="K290" s="156">
        <v>535.20000000000005</v>
      </c>
      <c r="L290" s="156">
        <v>450</v>
      </c>
      <c r="M290" s="156">
        <v>7214.75</v>
      </c>
      <c r="N290" s="156">
        <v>450</v>
      </c>
      <c r="O290" s="156">
        <v>3251</v>
      </c>
      <c r="P290" s="156">
        <v>3251</v>
      </c>
      <c r="Q290" s="156">
        <v>3251</v>
      </c>
      <c r="R290" s="156">
        <v>450</v>
      </c>
      <c r="S290" s="156">
        <f t="shared" si="102"/>
        <v>2801</v>
      </c>
      <c r="T290" s="156">
        <f t="shared" si="103"/>
        <v>2801</v>
      </c>
      <c r="U290" s="140">
        <f t="shared" si="104"/>
        <v>6.224444444444444</v>
      </c>
      <c r="V290" s="140">
        <f t="shared" si="105"/>
        <v>-0.2089333333333333</v>
      </c>
      <c r="W290" s="140">
        <f t="shared" si="106"/>
        <v>0.18933333333333344</v>
      </c>
      <c r="X290" s="140">
        <f t="shared" si="107"/>
        <v>15.032777777777778</v>
      </c>
      <c r="Y290" s="140">
        <f t="shared" si="108"/>
        <v>0</v>
      </c>
      <c r="Z290" s="140">
        <f t="shared" si="109"/>
        <v>0.50345525029496041</v>
      </c>
      <c r="AA290" s="140">
        <f t="shared" si="110"/>
        <v>0</v>
      </c>
      <c r="AB290" s="140">
        <f t="shared" si="111"/>
        <v>12.480474588938714</v>
      </c>
      <c r="AC290" s="140">
        <f t="shared" si="112"/>
        <v>0</v>
      </c>
      <c r="AD290" s="140">
        <f t="shared" si="113"/>
        <v>0</v>
      </c>
      <c r="AE290" s="140">
        <f t="shared" si="114"/>
        <v>6.224444444444444</v>
      </c>
      <c r="AF290" s="140">
        <f t="shared" si="115"/>
        <v>6.224444444444444</v>
      </c>
      <c r="AG290" s="140">
        <f t="shared" si="116"/>
        <v>6.224444444444444</v>
      </c>
      <c r="AH290" s="140">
        <f t="shared" si="117"/>
        <v>0</v>
      </c>
      <c r="AI290" s="140">
        <f t="shared" si="118"/>
        <v>6.224444444444444</v>
      </c>
      <c r="AJ290" s="140">
        <f t="shared" si="119"/>
        <v>6.224444444444444</v>
      </c>
      <c r="AK290" s="140">
        <f t="shared" si="120"/>
        <v>6.224444444444444</v>
      </c>
      <c r="AL290" s="140">
        <f t="shared" si="121"/>
        <v>0</v>
      </c>
      <c r="AM290" t="str">
        <f t="shared" si="122"/>
        <v>4550-000: Printing Services</v>
      </c>
      <c r="AN290" s="140">
        <f t="shared" si="123"/>
        <v>0</v>
      </c>
      <c r="AO290" s="140">
        <f t="shared" si="124"/>
        <v>6.224444444444444</v>
      </c>
      <c r="AP290" s="1">
        <f>IF(AND(AO290&gt;0, _xlfn.XLOOKUP($AM290, Discretionaries!$A$2:'Discretionaries'!$A$150, Discretionaries!$B$2:'Discretionaries'!$B$150)), (1+AN290)*$N290, "")</f>
        <v>450</v>
      </c>
      <c r="AQ290" s="1">
        <f>IF(AND(AO290&gt;0, _xlfn.XLOOKUP($AM290, Discretionaries!$A$2:'Discretionaries'!$A$150, Discretionaries!$B$2:'Discretionaries'!$B$150)),AP290-$Q290,"")</f>
        <v>-2801</v>
      </c>
      <c r="AR290" s="140">
        <f>IF(AG290="", 0-CPI!$B$15, AG290-CPI!$B$15)</f>
        <v>6.1854444444444443</v>
      </c>
      <c r="AS290" s="1">
        <f>IF(AND(AR290&gt;0, _xlfn.XLOOKUP($AM290, Discretionaries!$A$2:'Discretionaries'!$A$150, Discretionaries!$B$2:'Discretionaries'!$B$150)), (1+CPI!$B$15)*$N290, "")</f>
        <v>467.54999999999995</v>
      </c>
      <c r="AT290" s="1">
        <f>IF(AND(AR290&gt;0, _xlfn.XLOOKUP($AM290, Discretionaries!$A$2:'Discretionaries'!$A$150, Discretionaries!$B$2:'Discretionaries'!$B$150)),AS290-$Q290,"")</f>
        <v>-2783.45</v>
      </c>
    </row>
    <row r="291" spans="1:46" x14ac:dyDescent="0.3">
      <c r="A291" t="s">
        <v>431</v>
      </c>
      <c r="B291" t="str">
        <f t="shared" si="100"/>
        <v>23</v>
      </c>
      <c r="C291" t="s">
        <v>426</v>
      </c>
      <c r="D291" t="str">
        <f t="shared" si="101"/>
        <v>01</v>
      </c>
      <c r="E291" t="s">
        <v>45</v>
      </c>
      <c r="F291" s="139" t="s">
        <v>46</v>
      </c>
      <c r="G291" t="s">
        <v>47</v>
      </c>
      <c r="H291" s="156">
        <v>300</v>
      </c>
      <c r="I291" s="156">
        <v>100</v>
      </c>
      <c r="J291" s="156">
        <v>300</v>
      </c>
      <c r="K291" s="156">
        <v>479.95</v>
      </c>
      <c r="L291" s="156">
        <v>300</v>
      </c>
      <c r="M291" s="156">
        <v>1175</v>
      </c>
      <c r="N291" s="156">
        <v>300</v>
      </c>
      <c r="O291" s="156">
        <v>4443</v>
      </c>
      <c r="P291" s="156">
        <v>4443</v>
      </c>
      <c r="Q291" s="156">
        <v>4443</v>
      </c>
      <c r="R291" s="156">
        <v>1800</v>
      </c>
      <c r="S291" s="156">
        <f t="shared" si="102"/>
        <v>4143</v>
      </c>
      <c r="T291" s="156">
        <f t="shared" si="103"/>
        <v>2643</v>
      </c>
      <c r="U291" s="140">
        <f t="shared" si="104"/>
        <v>13.81</v>
      </c>
      <c r="V291" s="140">
        <f t="shared" si="105"/>
        <v>-0.66666666666666663</v>
      </c>
      <c r="W291" s="140">
        <f t="shared" si="106"/>
        <v>0.59983333333333333</v>
      </c>
      <c r="X291" s="140">
        <f t="shared" si="107"/>
        <v>2.9166666666666665</v>
      </c>
      <c r="Y291" s="140">
        <f t="shared" si="108"/>
        <v>0</v>
      </c>
      <c r="Z291" s="140">
        <f t="shared" si="109"/>
        <v>3.7995000000000001</v>
      </c>
      <c r="AA291" s="140">
        <f t="shared" si="110"/>
        <v>0</v>
      </c>
      <c r="AB291" s="140">
        <f t="shared" si="111"/>
        <v>1.448171684550474</v>
      </c>
      <c r="AC291" s="140">
        <f t="shared" si="112"/>
        <v>0</v>
      </c>
      <c r="AD291" s="140">
        <f t="shared" si="113"/>
        <v>0</v>
      </c>
      <c r="AE291" s="140">
        <f t="shared" si="114"/>
        <v>13.81</v>
      </c>
      <c r="AF291" s="140">
        <f t="shared" si="115"/>
        <v>13.81</v>
      </c>
      <c r="AG291" s="140">
        <f t="shared" si="116"/>
        <v>13.81</v>
      </c>
      <c r="AH291" s="140">
        <f t="shared" si="117"/>
        <v>5</v>
      </c>
      <c r="AI291" s="140">
        <f t="shared" si="118"/>
        <v>13.81</v>
      </c>
      <c r="AJ291" s="140">
        <f t="shared" si="119"/>
        <v>13.81</v>
      </c>
      <c r="AK291" s="140">
        <f t="shared" si="120"/>
        <v>13.81</v>
      </c>
      <c r="AL291" s="140">
        <f t="shared" si="121"/>
        <v>5</v>
      </c>
      <c r="AM291" t="str">
        <f t="shared" si="122"/>
        <v>4560-000: Dues &amp; subs Services</v>
      </c>
      <c r="AN291" s="140">
        <f t="shared" si="123"/>
        <v>0</v>
      </c>
      <c r="AO291" s="140">
        <f t="shared" si="124"/>
        <v>13.81</v>
      </c>
      <c r="AP291" s="1">
        <f>IF(AND(AO291&gt;0, _xlfn.XLOOKUP($AM291, Discretionaries!$A$2:'Discretionaries'!$A$150, Discretionaries!$B$2:'Discretionaries'!$B$150)), (1+AN291)*$N291, "")</f>
        <v>300</v>
      </c>
      <c r="AQ291" s="1">
        <f>IF(AND(AO291&gt;0, _xlfn.XLOOKUP($AM291, Discretionaries!$A$2:'Discretionaries'!$A$150, Discretionaries!$B$2:'Discretionaries'!$B$150)),AP291-$Q291,"")</f>
        <v>-4143</v>
      </c>
      <c r="AR291" s="140">
        <f>IF(AG291="", 0-CPI!$B$15, AG291-CPI!$B$15)</f>
        <v>13.771000000000001</v>
      </c>
      <c r="AS291" s="1">
        <f>IF(AND(AR291&gt;0, _xlfn.XLOOKUP($AM291, Discretionaries!$A$2:'Discretionaries'!$A$150, Discretionaries!$B$2:'Discretionaries'!$B$150)), (1+CPI!$B$15)*$N291, "")</f>
        <v>311.7</v>
      </c>
      <c r="AT291" s="1">
        <f>IF(AND(AR291&gt;0, _xlfn.XLOOKUP($AM291, Discretionaries!$A$2:'Discretionaries'!$A$150, Discretionaries!$B$2:'Discretionaries'!$B$150)),AS291-$Q291,"")</f>
        <v>-4131.3</v>
      </c>
    </row>
    <row r="292" spans="1:46" x14ac:dyDescent="0.3">
      <c r="A292" t="s">
        <v>431</v>
      </c>
      <c r="B292" t="str">
        <f t="shared" si="100"/>
        <v>23</v>
      </c>
      <c r="C292" t="s">
        <v>426</v>
      </c>
      <c r="D292" t="str">
        <f t="shared" si="101"/>
        <v>01</v>
      </c>
      <c r="E292" t="s">
        <v>30</v>
      </c>
      <c r="F292" s="139" t="s">
        <v>31</v>
      </c>
      <c r="G292" t="s">
        <v>32</v>
      </c>
      <c r="H292" s="156">
        <v>2000</v>
      </c>
      <c r="I292" s="156">
        <v>1906.23</v>
      </c>
      <c r="J292" s="156">
        <v>2000</v>
      </c>
      <c r="K292" s="156">
        <v>1672.59</v>
      </c>
      <c r="L292" s="156">
        <v>2000</v>
      </c>
      <c r="M292" s="156">
        <v>679.06</v>
      </c>
      <c r="N292" s="156">
        <v>2000</v>
      </c>
      <c r="O292" s="156">
        <v>1000</v>
      </c>
      <c r="P292" s="156">
        <v>1000</v>
      </c>
      <c r="Q292" s="156">
        <v>1000</v>
      </c>
      <c r="R292" s="156">
        <v>2000</v>
      </c>
      <c r="S292" s="156">
        <f t="shared" si="102"/>
        <v>-1000</v>
      </c>
      <c r="T292" s="156">
        <f t="shared" si="103"/>
        <v>-1000</v>
      </c>
      <c r="U292" s="140">
        <f t="shared" si="104"/>
        <v>-0.5</v>
      </c>
      <c r="V292" s="140">
        <f t="shared" si="105"/>
        <v>-4.6884999999999989E-2</v>
      </c>
      <c r="W292" s="140">
        <f t="shared" si="106"/>
        <v>-0.16370500000000004</v>
      </c>
      <c r="X292" s="140">
        <f t="shared" si="107"/>
        <v>-0.66047</v>
      </c>
      <c r="Y292" s="140">
        <f t="shared" si="108"/>
        <v>0</v>
      </c>
      <c r="Z292" s="140">
        <f t="shared" si="109"/>
        <v>-0.12256653184558007</v>
      </c>
      <c r="AA292" s="140">
        <f t="shared" si="110"/>
        <v>0</v>
      </c>
      <c r="AB292" s="140">
        <f t="shared" si="111"/>
        <v>-0.59400689947925078</v>
      </c>
      <c r="AC292" s="140">
        <f t="shared" si="112"/>
        <v>0</v>
      </c>
      <c r="AD292" s="140">
        <f t="shared" si="113"/>
        <v>0</v>
      </c>
      <c r="AE292" s="140">
        <f t="shared" si="114"/>
        <v>-0.5</v>
      </c>
      <c r="AF292" s="140">
        <f t="shared" si="115"/>
        <v>-0.5</v>
      </c>
      <c r="AG292" s="140">
        <f t="shared" si="116"/>
        <v>-0.5</v>
      </c>
      <c r="AH292" s="140">
        <f t="shared" si="117"/>
        <v>0</v>
      </c>
      <c r="AI292" s="140">
        <f t="shared" si="118"/>
        <v>-0.5</v>
      </c>
      <c r="AJ292" s="140">
        <f t="shared" si="119"/>
        <v>-0.5</v>
      </c>
      <c r="AK292" s="140">
        <f t="shared" si="120"/>
        <v>-0.5</v>
      </c>
      <c r="AL292" s="140">
        <f t="shared" si="121"/>
        <v>0</v>
      </c>
      <c r="AM292" t="str">
        <f t="shared" si="122"/>
        <v>4610-000: General expenses Supplies</v>
      </c>
      <c r="AN292" s="140">
        <f t="shared" si="123"/>
        <v>0</v>
      </c>
      <c r="AO292" s="140">
        <f t="shared" si="124"/>
        <v>-0.5</v>
      </c>
      <c r="AP292" s="1" t="str">
        <f>IF(AND(AO292&gt;0, _xlfn.XLOOKUP($AM292, Discretionaries!$A$2:'Discretionaries'!$A$150, Discretionaries!$B$2:'Discretionaries'!$B$150)), (1+AN292)*$N292, "")</f>
        <v/>
      </c>
      <c r="AQ292" s="1" t="str">
        <f>IF(AND(AO292&gt;0, _xlfn.XLOOKUP($AM292, Discretionaries!$A$2:'Discretionaries'!$A$150, Discretionaries!$B$2:'Discretionaries'!$B$150)),AP292-$Q292,"")</f>
        <v/>
      </c>
      <c r="AR292" s="140">
        <f>IF(AG292="", 0-CPI!$B$15, AG292-CPI!$B$15)</f>
        <v>-0.53900000000000003</v>
      </c>
      <c r="AS292" s="1" t="str">
        <f>IF(AND(AR292&gt;0, _xlfn.XLOOKUP($AM292, Discretionaries!$A$2:'Discretionaries'!$A$150, Discretionaries!$B$2:'Discretionaries'!$B$150)), (1+CPI!$B$15)*$N292, "")</f>
        <v/>
      </c>
      <c r="AT292" s="1" t="str">
        <f>IF(AND(AR292&gt;0, _xlfn.XLOOKUP($AM292, Discretionaries!$A$2:'Discretionaries'!$A$150, Discretionaries!$B$2:'Discretionaries'!$B$150)),AS292-$Q292,"")</f>
        <v/>
      </c>
    </row>
    <row r="293" spans="1:46" x14ac:dyDescent="0.3">
      <c r="A293" t="s">
        <v>431</v>
      </c>
      <c r="B293" t="str">
        <f t="shared" si="100"/>
        <v>23</v>
      </c>
      <c r="C293" t="s">
        <v>426</v>
      </c>
      <c r="D293" t="str">
        <f t="shared" si="101"/>
        <v>01</v>
      </c>
      <c r="E293" t="s">
        <v>30</v>
      </c>
      <c r="F293" s="139" t="s">
        <v>51</v>
      </c>
      <c r="G293" t="s">
        <v>48</v>
      </c>
      <c r="H293" s="156">
        <v>3500</v>
      </c>
      <c r="I293" s="156">
        <v>4183.76</v>
      </c>
      <c r="J293" s="156">
        <v>3500</v>
      </c>
      <c r="K293" s="156">
        <v>3232.4</v>
      </c>
      <c r="L293" s="156">
        <v>3500</v>
      </c>
      <c r="M293" s="156">
        <v>5114.97</v>
      </c>
      <c r="N293" s="156">
        <v>7500</v>
      </c>
      <c r="O293" s="156">
        <v>7500</v>
      </c>
      <c r="P293" s="156">
        <v>7500</v>
      </c>
      <c r="Q293" s="156">
        <v>7500</v>
      </c>
      <c r="R293" s="156">
        <v>7500</v>
      </c>
      <c r="S293" s="156">
        <f t="shared" si="102"/>
        <v>0</v>
      </c>
      <c r="T293" s="156">
        <f t="shared" si="103"/>
        <v>0</v>
      </c>
      <c r="U293" s="140">
        <f t="shared" si="104"/>
        <v>0</v>
      </c>
      <c r="V293" s="140">
        <f t="shared" si="105"/>
        <v>0.19536000000000006</v>
      </c>
      <c r="W293" s="140">
        <f t="shared" si="106"/>
        <v>-7.6457142857142835E-2</v>
      </c>
      <c r="X293" s="140">
        <f t="shared" si="107"/>
        <v>0.46142000000000005</v>
      </c>
      <c r="Y293" s="140">
        <f t="shared" si="108"/>
        <v>0</v>
      </c>
      <c r="Z293" s="140">
        <f t="shared" si="109"/>
        <v>-0.22739354073847451</v>
      </c>
      <c r="AA293" s="140">
        <f t="shared" si="110"/>
        <v>0</v>
      </c>
      <c r="AB293" s="140">
        <f t="shared" si="111"/>
        <v>0.58240626160128706</v>
      </c>
      <c r="AC293" s="140">
        <f t="shared" si="112"/>
        <v>1.1428571428571428</v>
      </c>
      <c r="AD293" s="140">
        <f t="shared" si="113"/>
        <v>1.1428571428571428</v>
      </c>
      <c r="AE293" s="140">
        <f t="shared" si="114"/>
        <v>0</v>
      </c>
      <c r="AF293" s="140">
        <f t="shared" si="115"/>
        <v>0</v>
      </c>
      <c r="AG293" s="140">
        <f t="shared" si="116"/>
        <v>0</v>
      </c>
      <c r="AH293" s="140">
        <f t="shared" si="117"/>
        <v>0</v>
      </c>
      <c r="AI293" s="140">
        <f t="shared" si="118"/>
        <v>1.1428571428571428</v>
      </c>
      <c r="AJ293" s="140">
        <f t="shared" si="119"/>
        <v>1.1428571428571428</v>
      </c>
      <c r="AK293" s="140">
        <f t="shared" si="120"/>
        <v>1.1428571428571428</v>
      </c>
      <c r="AL293" s="140">
        <f t="shared" si="121"/>
        <v>1.1428571428571428</v>
      </c>
      <c r="AM293" t="str">
        <f t="shared" si="122"/>
        <v>4620-000: Office supplies Supplies</v>
      </c>
      <c r="AN293" s="140">
        <f t="shared" si="123"/>
        <v>0.38095238095238093</v>
      </c>
      <c r="AO293" s="140">
        <f t="shared" si="124"/>
        <v>-0.38095238095238093</v>
      </c>
      <c r="AP293" s="1" t="str">
        <f>IF(AND(AO293&gt;0, _xlfn.XLOOKUP($AM293, Discretionaries!$A$2:'Discretionaries'!$A$150, Discretionaries!$B$2:'Discretionaries'!$B$150)), (1+AN293)*$N293, "")</f>
        <v/>
      </c>
      <c r="AQ293" s="1" t="str">
        <f>IF(AND(AO293&gt;0, _xlfn.XLOOKUP($AM293, Discretionaries!$A$2:'Discretionaries'!$A$150, Discretionaries!$B$2:'Discretionaries'!$B$150)),AP293-$Q293,"")</f>
        <v/>
      </c>
      <c r="AR293" s="140">
        <f>IF(AG293="", 0-CPI!$B$15, AG293-CPI!$B$15)</f>
        <v>-3.8999999999999993E-2</v>
      </c>
      <c r="AS293" s="1" t="str">
        <f>IF(AND(AR293&gt;0, _xlfn.XLOOKUP($AM293, Discretionaries!$A$2:'Discretionaries'!$A$150, Discretionaries!$B$2:'Discretionaries'!$B$150)), (1+CPI!$B$15)*$N293, "")</f>
        <v/>
      </c>
      <c r="AT293" s="1" t="str">
        <f>IF(AND(AR293&gt;0, _xlfn.XLOOKUP($AM293, Discretionaries!$A$2:'Discretionaries'!$A$150, Discretionaries!$B$2:'Discretionaries'!$B$150)),AS293-$Q293,"")</f>
        <v/>
      </c>
    </row>
    <row r="294" spans="1:46" x14ac:dyDescent="0.3">
      <c r="A294" t="s">
        <v>431</v>
      </c>
      <c r="B294" t="str">
        <f t="shared" si="100"/>
        <v>23</v>
      </c>
      <c r="C294" t="s">
        <v>426</v>
      </c>
      <c r="D294" t="str">
        <f t="shared" si="101"/>
        <v>01</v>
      </c>
      <c r="E294" t="s">
        <v>30</v>
      </c>
      <c r="F294" s="139" t="s">
        <v>52</v>
      </c>
      <c r="G294" t="s">
        <v>49</v>
      </c>
      <c r="H294" s="156">
        <v>600</v>
      </c>
      <c r="I294" s="156">
        <v>62.55</v>
      </c>
      <c r="J294" s="156">
        <v>600</v>
      </c>
      <c r="K294" s="156">
        <v>359.84</v>
      </c>
      <c r="L294" s="156">
        <v>600</v>
      </c>
      <c r="M294" s="156">
        <v>43.38</v>
      </c>
      <c r="N294" s="156">
        <v>600</v>
      </c>
      <c r="O294" s="156">
        <v>200</v>
      </c>
      <c r="P294" s="156">
        <v>200</v>
      </c>
      <c r="Q294" s="156">
        <v>200</v>
      </c>
      <c r="R294" s="156">
        <v>600</v>
      </c>
      <c r="S294" s="156">
        <f t="shared" si="102"/>
        <v>-400</v>
      </c>
      <c r="T294" s="156">
        <f t="shared" si="103"/>
        <v>-400</v>
      </c>
      <c r="U294" s="140">
        <f t="shared" si="104"/>
        <v>-0.66666666666666663</v>
      </c>
      <c r="V294" s="140">
        <f t="shared" si="105"/>
        <v>-0.89575000000000005</v>
      </c>
      <c r="W294" s="140">
        <f t="shared" si="106"/>
        <v>-0.40026666666666672</v>
      </c>
      <c r="X294" s="140">
        <f t="shared" si="107"/>
        <v>-0.92769999999999997</v>
      </c>
      <c r="Y294" s="140">
        <f t="shared" si="108"/>
        <v>0</v>
      </c>
      <c r="Z294" s="140">
        <f t="shared" si="109"/>
        <v>4.7528377298161466</v>
      </c>
      <c r="AA294" s="140">
        <f t="shared" si="110"/>
        <v>0</v>
      </c>
      <c r="AB294" s="140">
        <f t="shared" si="111"/>
        <v>-0.87944642063139178</v>
      </c>
      <c r="AC294" s="140">
        <f t="shared" si="112"/>
        <v>0</v>
      </c>
      <c r="AD294" s="140">
        <f t="shared" si="113"/>
        <v>0</v>
      </c>
      <c r="AE294" s="140">
        <f t="shared" si="114"/>
        <v>-0.66666666666666663</v>
      </c>
      <c r="AF294" s="140">
        <f t="shared" si="115"/>
        <v>-0.66666666666666663</v>
      </c>
      <c r="AG294" s="140">
        <f t="shared" si="116"/>
        <v>-0.66666666666666663</v>
      </c>
      <c r="AH294" s="140">
        <f t="shared" si="117"/>
        <v>0</v>
      </c>
      <c r="AI294" s="140">
        <f t="shared" si="118"/>
        <v>-0.66666666666666663</v>
      </c>
      <c r="AJ294" s="140">
        <f t="shared" si="119"/>
        <v>-0.66666666666666663</v>
      </c>
      <c r="AK294" s="140">
        <f t="shared" si="120"/>
        <v>-0.66666666666666663</v>
      </c>
      <c r="AL294" s="140">
        <f t="shared" si="121"/>
        <v>0</v>
      </c>
      <c r="AM294" t="str">
        <f t="shared" si="122"/>
        <v>4625-000: Postage Supplies</v>
      </c>
      <c r="AN294" s="140">
        <f t="shared" si="123"/>
        <v>0</v>
      </c>
      <c r="AO294" s="140">
        <f t="shared" si="124"/>
        <v>-0.66666666666666663</v>
      </c>
      <c r="AP294" s="1" t="str">
        <f>IF(AND(AO294&gt;0, _xlfn.XLOOKUP($AM294, Discretionaries!$A$2:'Discretionaries'!$A$150, Discretionaries!$B$2:'Discretionaries'!$B$150)), (1+AN294)*$N294, "")</f>
        <v/>
      </c>
      <c r="AQ294" s="1" t="str">
        <f>IF(AND(AO294&gt;0, _xlfn.XLOOKUP($AM294, Discretionaries!$A$2:'Discretionaries'!$A$150, Discretionaries!$B$2:'Discretionaries'!$B$150)),AP294-$Q294,"")</f>
        <v/>
      </c>
      <c r="AR294" s="140">
        <f>IF(AG294="", 0-CPI!$B$15, AG294-CPI!$B$15)</f>
        <v>-0.70566666666666666</v>
      </c>
      <c r="AS294" s="1" t="str">
        <f>IF(AND(AR294&gt;0, _xlfn.XLOOKUP($AM294, Discretionaries!$A$2:'Discretionaries'!$A$150, Discretionaries!$B$2:'Discretionaries'!$B$150)), (1+CPI!$B$15)*$N294, "")</f>
        <v/>
      </c>
      <c r="AT294" s="1" t="str">
        <f>IF(AND(AR294&gt;0, _xlfn.XLOOKUP($AM294, Discretionaries!$A$2:'Discretionaries'!$A$150, Discretionaries!$B$2:'Discretionaries'!$B$150)),AS294-$Q294,"")</f>
        <v/>
      </c>
    </row>
    <row r="295" spans="1:46" x14ac:dyDescent="0.3">
      <c r="A295" t="s">
        <v>431</v>
      </c>
      <c r="B295" t="str">
        <f t="shared" si="100"/>
        <v>23</v>
      </c>
      <c r="C295" t="s">
        <v>426</v>
      </c>
      <c r="D295" t="str">
        <f t="shared" si="101"/>
        <v>01</v>
      </c>
      <c r="E295" t="s">
        <v>30</v>
      </c>
      <c r="F295" s="139" t="s">
        <v>271</v>
      </c>
      <c r="G295" t="s">
        <v>272</v>
      </c>
      <c r="H295" s="156">
        <v>14000</v>
      </c>
      <c r="I295" s="156">
        <v>14535.1</v>
      </c>
      <c r="J295" s="156">
        <v>14000</v>
      </c>
      <c r="K295" s="156">
        <v>16573.580000000002</v>
      </c>
      <c r="L295" s="156">
        <v>14000</v>
      </c>
      <c r="M295" s="156">
        <v>14989.63</v>
      </c>
      <c r="N295" s="156">
        <v>18490</v>
      </c>
      <c r="O295" s="156">
        <v>20300</v>
      </c>
      <c r="P295" s="156">
        <v>20300</v>
      </c>
      <c r="Q295" s="156">
        <v>20300</v>
      </c>
      <c r="R295" s="156">
        <v>18490</v>
      </c>
      <c r="S295" s="156">
        <f t="shared" si="102"/>
        <v>1810</v>
      </c>
      <c r="T295" s="156">
        <f t="shared" si="103"/>
        <v>1810</v>
      </c>
      <c r="U295" s="140">
        <f t="shared" si="104"/>
        <v>9.7890751757706868E-2</v>
      </c>
      <c r="V295" s="140">
        <f t="shared" si="105"/>
        <v>3.8221428571428601E-2</v>
      </c>
      <c r="W295" s="140">
        <f t="shared" si="106"/>
        <v>0.18382714285714299</v>
      </c>
      <c r="X295" s="140">
        <f t="shared" si="107"/>
        <v>7.068785714285708E-2</v>
      </c>
      <c r="Y295" s="140">
        <f t="shared" si="108"/>
        <v>0</v>
      </c>
      <c r="Z295" s="140">
        <f t="shared" si="109"/>
        <v>0.14024533714938331</v>
      </c>
      <c r="AA295" s="140">
        <f t="shared" si="110"/>
        <v>0</v>
      </c>
      <c r="AB295" s="140">
        <f t="shared" si="111"/>
        <v>-9.5570781931242521E-2</v>
      </c>
      <c r="AC295" s="140">
        <f t="shared" si="112"/>
        <v>0.32071428571428573</v>
      </c>
      <c r="AD295" s="140">
        <f t="shared" si="113"/>
        <v>0.32071428571428573</v>
      </c>
      <c r="AE295" s="140">
        <f t="shared" si="114"/>
        <v>9.7890751757706868E-2</v>
      </c>
      <c r="AF295" s="140">
        <f t="shared" si="115"/>
        <v>9.7890751757706868E-2</v>
      </c>
      <c r="AG295" s="140">
        <f t="shared" si="116"/>
        <v>9.7890751757706868E-2</v>
      </c>
      <c r="AH295" s="140">
        <f t="shared" si="117"/>
        <v>0</v>
      </c>
      <c r="AI295" s="140">
        <f t="shared" si="118"/>
        <v>0.45</v>
      </c>
      <c r="AJ295" s="140">
        <f t="shared" si="119"/>
        <v>0.45</v>
      </c>
      <c r="AK295" s="140">
        <f t="shared" si="120"/>
        <v>0.45</v>
      </c>
      <c r="AL295" s="140">
        <f t="shared" si="121"/>
        <v>0.32071428571428573</v>
      </c>
      <c r="AM295" t="str">
        <f t="shared" si="122"/>
        <v>4634-000: Hazardous materials Supplies</v>
      </c>
      <c r="AN295" s="140">
        <f t="shared" si="123"/>
        <v>0.10690476190476191</v>
      </c>
      <c r="AO295" s="140">
        <f t="shared" si="124"/>
        <v>-9.0140101470550377E-3</v>
      </c>
      <c r="AP295" s="1" t="str">
        <f>IF(AND(AO295&gt;0, _xlfn.XLOOKUP($AM295, Discretionaries!$A$2:'Discretionaries'!$A$150, Discretionaries!$B$2:'Discretionaries'!$B$150)), (1+AN295)*$N295, "")</f>
        <v/>
      </c>
      <c r="AQ295" s="1" t="str">
        <f>IF(AND(AO295&gt;0, _xlfn.XLOOKUP($AM295, Discretionaries!$A$2:'Discretionaries'!$A$150, Discretionaries!$B$2:'Discretionaries'!$B$150)),AP295-$Q295,"")</f>
        <v/>
      </c>
      <c r="AR295" s="140">
        <f>IF(AG295="", 0-CPI!$B$15, AG295-CPI!$B$15)</f>
        <v>5.8890751757706875E-2</v>
      </c>
      <c r="AS295" s="1">
        <f>IF(AND(AR295&gt;0, _xlfn.XLOOKUP($AM295, Discretionaries!$A$2:'Discretionaries'!$A$150, Discretionaries!$B$2:'Discretionaries'!$B$150)), (1+CPI!$B$15)*$N295, "")</f>
        <v>19211.109999999997</v>
      </c>
      <c r="AT295" s="1">
        <f>IF(AND(AR295&gt;0, _xlfn.XLOOKUP($AM295, Discretionaries!$A$2:'Discretionaries'!$A$150, Discretionaries!$B$2:'Discretionaries'!$B$150)),AS295-$Q295,"")</f>
        <v>-1088.8900000000031</v>
      </c>
    </row>
    <row r="296" spans="1:46" x14ac:dyDescent="0.3">
      <c r="A296" t="s">
        <v>431</v>
      </c>
      <c r="B296" t="str">
        <f t="shared" si="100"/>
        <v>23</v>
      </c>
      <c r="C296" t="s">
        <v>426</v>
      </c>
      <c r="D296" t="str">
        <f t="shared" si="101"/>
        <v>01</v>
      </c>
      <c r="E296" t="s">
        <v>30</v>
      </c>
      <c r="F296" s="139" t="s">
        <v>170</v>
      </c>
      <c r="G296" t="s">
        <v>171</v>
      </c>
      <c r="H296" s="156">
        <v>85000</v>
      </c>
      <c r="I296" s="156">
        <v>108798.35</v>
      </c>
      <c r="J296" s="156">
        <v>120000</v>
      </c>
      <c r="K296" s="156">
        <v>234185.34</v>
      </c>
      <c r="L296" s="156">
        <v>145000</v>
      </c>
      <c r="M296" s="156">
        <v>242843.46</v>
      </c>
      <c r="N296" s="156">
        <v>145000</v>
      </c>
      <c r="O296" s="156">
        <v>175000</v>
      </c>
      <c r="P296" s="156">
        <v>175000</v>
      </c>
      <c r="Q296" s="156">
        <v>175000</v>
      </c>
      <c r="R296" s="156">
        <v>145000</v>
      </c>
      <c r="S296" s="156">
        <f t="shared" si="102"/>
        <v>30000</v>
      </c>
      <c r="T296" s="156">
        <f t="shared" si="103"/>
        <v>30000</v>
      </c>
      <c r="U296" s="140">
        <f t="shared" si="104"/>
        <v>0.20689655172413793</v>
      </c>
      <c r="V296" s="140">
        <f t="shared" si="105"/>
        <v>0.2799805882352942</v>
      </c>
      <c r="W296" s="140">
        <f t="shared" si="106"/>
        <v>0.95154450000000002</v>
      </c>
      <c r="X296" s="140">
        <f t="shared" si="107"/>
        <v>0.67478248275862063</v>
      </c>
      <c r="Y296" s="140">
        <f t="shared" si="108"/>
        <v>0.41176470588235292</v>
      </c>
      <c r="Z296" s="140">
        <f t="shared" si="109"/>
        <v>1.1524714299435606</v>
      </c>
      <c r="AA296" s="140">
        <f t="shared" si="110"/>
        <v>0.20833333333333334</v>
      </c>
      <c r="AB296" s="140">
        <f t="shared" si="111"/>
        <v>3.6971229710621493E-2</v>
      </c>
      <c r="AC296" s="140">
        <f t="shared" si="112"/>
        <v>0</v>
      </c>
      <c r="AD296" s="140">
        <f t="shared" si="113"/>
        <v>0.70588235294117652</v>
      </c>
      <c r="AE296" s="140">
        <f t="shared" si="114"/>
        <v>0.20689655172413793</v>
      </c>
      <c r="AF296" s="140">
        <f t="shared" si="115"/>
        <v>0.20689655172413793</v>
      </c>
      <c r="AG296" s="140">
        <f t="shared" si="116"/>
        <v>0.20689655172413793</v>
      </c>
      <c r="AH296" s="140">
        <f t="shared" si="117"/>
        <v>0</v>
      </c>
      <c r="AI296" s="140">
        <f t="shared" si="118"/>
        <v>1.0588235294117647</v>
      </c>
      <c r="AJ296" s="140">
        <f t="shared" si="119"/>
        <v>1.0588235294117647</v>
      </c>
      <c r="AK296" s="140">
        <f t="shared" si="120"/>
        <v>1.0588235294117647</v>
      </c>
      <c r="AL296" s="140">
        <f t="shared" si="121"/>
        <v>0.70588235294117652</v>
      </c>
      <c r="AM296" t="str">
        <f t="shared" si="122"/>
        <v>4660-000: Vehicle repairs Supplies</v>
      </c>
      <c r="AN296" s="140">
        <f t="shared" si="123"/>
        <v>0.20669934640522877</v>
      </c>
      <c r="AO296" s="140">
        <f t="shared" si="124"/>
        <v>1.9720531890915494E-4</v>
      </c>
      <c r="AP296" s="1">
        <f>IF(AND(AO296&gt;0, _xlfn.XLOOKUP($AM296, Discretionaries!$A$2:'Discretionaries'!$A$150, Discretionaries!$B$2:'Discretionaries'!$B$150)), (1+AN296)*$N296, "")</f>
        <v>174971.40522875817</v>
      </c>
      <c r="AQ296" s="1">
        <f>IF(AND(AO296&gt;0, _xlfn.XLOOKUP($AM296, Discretionaries!$A$2:'Discretionaries'!$A$150, Discretionaries!$B$2:'Discretionaries'!$B$150)),AP296-$Q296,"")</f>
        <v>-28.594771241827402</v>
      </c>
      <c r="AR296" s="140">
        <f>IF(AG296="", 0-CPI!$B$15, AG296-CPI!$B$15)</f>
        <v>0.16789655172413792</v>
      </c>
      <c r="AS296" s="1">
        <f>IF(AND(AR296&gt;0, _xlfn.XLOOKUP($AM296, Discretionaries!$A$2:'Discretionaries'!$A$150, Discretionaries!$B$2:'Discretionaries'!$B$150)), (1+CPI!$B$15)*$N296, "")</f>
        <v>150655</v>
      </c>
      <c r="AT296" s="1">
        <f>IF(AND(AR296&gt;0, _xlfn.XLOOKUP($AM296, Discretionaries!$A$2:'Discretionaries'!$A$150, Discretionaries!$B$2:'Discretionaries'!$B$150)),AS296-$Q296,"")</f>
        <v>-24345</v>
      </c>
    </row>
    <row r="297" spans="1:46" x14ac:dyDescent="0.3">
      <c r="A297" t="s">
        <v>431</v>
      </c>
      <c r="B297" t="str">
        <f t="shared" si="100"/>
        <v>23</v>
      </c>
      <c r="C297" t="s">
        <v>426</v>
      </c>
      <c r="D297" t="str">
        <f t="shared" si="101"/>
        <v>01</v>
      </c>
      <c r="E297" t="s">
        <v>30</v>
      </c>
      <c r="F297" s="139" t="s">
        <v>33</v>
      </c>
      <c r="G297" t="s">
        <v>34</v>
      </c>
      <c r="H297" s="156">
        <v>0</v>
      </c>
      <c r="I297" s="156">
        <v>0</v>
      </c>
      <c r="J297" s="156">
        <v>0</v>
      </c>
      <c r="K297" s="156">
        <v>0</v>
      </c>
      <c r="L297" s="156">
        <v>0</v>
      </c>
      <c r="M297" s="156">
        <v>0</v>
      </c>
      <c r="N297" s="156">
        <v>0</v>
      </c>
      <c r="O297" s="156">
        <v>12500</v>
      </c>
      <c r="P297" s="156">
        <v>12500</v>
      </c>
      <c r="Q297" s="156">
        <v>12500</v>
      </c>
      <c r="R297" s="156">
        <v>0</v>
      </c>
      <c r="S297" s="156">
        <f t="shared" si="102"/>
        <v>12500</v>
      </c>
      <c r="T297" s="156">
        <f t="shared" si="103"/>
        <v>12500</v>
      </c>
      <c r="U297" s="140" t="str">
        <f t="shared" si="104"/>
        <v/>
      </c>
      <c r="V297" s="140" t="str">
        <f t="shared" si="105"/>
        <v/>
      </c>
      <c r="W297" s="140" t="str">
        <f t="shared" si="106"/>
        <v/>
      </c>
      <c r="X297" s="140" t="str">
        <f t="shared" si="107"/>
        <v/>
      </c>
      <c r="Y297" s="140" t="str">
        <f t="shared" si="108"/>
        <v/>
      </c>
      <c r="Z297" s="140" t="str">
        <f t="shared" si="109"/>
        <v/>
      </c>
      <c r="AA297" s="140" t="str">
        <f t="shared" si="110"/>
        <v/>
      </c>
      <c r="AB297" s="140" t="str">
        <f t="shared" si="111"/>
        <v/>
      </c>
      <c r="AC297" s="140" t="str">
        <f t="shared" si="112"/>
        <v/>
      </c>
      <c r="AD297" s="140" t="str">
        <f t="shared" si="113"/>
        <v/>
      </c>
      <c r="AE297" s="140" t="str">
        <f t="shared" si="114"/>
        <v/>
      </c>
      <c r="AF297" s="140" t="str">
        <f t="shared" si="115"/>
        <v/>
      </c>
      <c r="AG297" s="140" t="str">
        <f t="shared" si="116"/>
        <v/>
      </c>
      <c r="AH297" s="140" t="str">
        <f t="shared" si="117"/>
        <v/>
      </c>
      <c r="AI297" s="140" t="str">
        <f t="shared" si="118"/>
        <v/>
      </c>
      <c r="AJ297" s="140" t="str">
        <f t="shared" si="119"/>
        <v/>
      </c>
      <c r="AK297" s="140" t="str">
        <f t="shared" si="120"/>
        <v/>
      </c>
      <c r="AL297" s="140" t="str">
        <f t="shared" si="121"/>
        <v/>
      </c>
      <c r="AM297" t="str">
        <f t="shared" si="122"/>
        <v>4680-000: Dept. expense Supplies</v>
      </c>
      <c r="AN297" s="140">
        <f t="shared" si="123"/>
        <v>0</v>
      </c>
      <c r="AO297" s="140">
        <f t="shared" si="124"/>
        <v>0</v>
      </c>
      <c r="AP297" s="1" t="str">
        <f>IF(AND(AO297&gt;0, _xlfn.XLOOKUP($AM297, Discretionaries!$A$2:'Discretionaries'!$A$150, Discretionaries!$B$2:'Discretionaries'!$B$150)), (1+AN297)*$N297, "")</f>
        <v/>
      </c>
      <c r="AQ297" s="1" t="str">
        <f>IF(AND(AO297&gt;0, _xlfn.XLOOKUP($AM297, Discretionaries!$A$2:'Discretionaries'!$A$150, Discretionaries!$B$2:'Discretionaries'!$B$150)),AP297-$Q297,"")</f>
        <v/>
      </c>
      <c r="AR297" s="140">
        <f>IF(AG297="", 0-CPI!$B$15, AG297-CPI!$B$15)</f>
        <v>-3.8999999999999993E-2</v>
      </c>
      <c r="AS297" s="1" t="str">
        <f>IF(AND(AR297&gt;0, _xlfn.XLOOKUP($AM297, Discretionaries!$A$2:'Discretionaries'!$A$150, Discretionaries!$B$2:'Discretionaries'!$B$150)), (1+CPI!$B$15)*$N297, "")</f>
        <v/>
      </c>
      <c r="AT297" s="1" t="str">
        <f>IF(AND(AR297&gt;0, _xlfn.XLOOKUP($AM297, Discretionaries!$A$2:'Discretionaries'!$A$150, Discretionaries!$B$2:'Discretionaries'!$B$150)),AS297-$Q297,"")</f>
        <v/>
      </c>
    </row>
    <row r="298" spans="1:46" x14ac:dyDescent="0.3">
      <c r="A298" t="s">
        <v>431</v>
      </c>
      <c r="B298" t="str">
        <f t="shared" si="100"/>
        <v>23</v>
      </c>
      <c r="C298" t="s">
        <v>426</v>
      </c>
      <c r="D298" t="str">
        <f t="shared" si="101"/>
        <v>01</v>
      </c>
      <c r="E298" t="s">
        <v>30</v>
      </c>
      <c r="F298" s="139" t="s">
        <v>210</v>
      </c>
      <c r="G298" t="s">
        <v>211</v>
      </c>
      <c r="H298" s="156">
        <v>5000</v>
      </c>
      <c r="I298" s="156">
        <v>5173.2700000000004</v>
      </c>
      <c r="J298" s="156">
        <v>5000</v>
      </c>
      <c r="K298" s="156">
        <v>5227.99</v>
      </c>
      <c r="L298" s="156">
        <v>5000</v>
      </c>
      <c r="M298" s="156">
        <v>4572.16</v>
      </c>
      <c r="N298" s="156">
        <v>5400</v>
      </c>
      <c r="O298" s="156">
        <v>5400</v>
      </c>
      <c r="P298" s="156">
        <v>5400</v>
      </c>
      <c r="Q298" s="156">
        <v>5400</v>
      </c>
      <c r="R298" s="156">
        <v>5400</v>
      </c>
      <c r="S298" s="156">
        <f t="shared" si="102"/>
        <v>0</v>
      </c>
      <c r="T298" s="156">
        <f t="shared" si="103"/>
        <v>0</v>
      </c>
      <c r="U298" s="140">
        <f t="shared" si="104"/>
        <v>0</v>
      </c>
      <c r="V298" s="140">
        <f t="shared" si="105"/>
        <v>3.4654000000000088E-2</v>
      </c>
      <c r="W298" s="140">
        <f t="shared" si="106"/>
        <v>4.5597999999999958E-2</v>
      </c>
      <c r="X298" s="140">
        <f t="shared" si="107"/>
        <v>-8.5568000000000033E-2</v>
      </c>
      <c r="Y298" s="140">
        <f t="shared" si="108"/>
        <v>0</v>
      </c>
      <c r="Z298" s="140">
        <f t="shared" si="109"/>
        <v>1.0577449079595564E-2</v>
      </c>
      <c r="AA298" s="140">
        <f t="shared" si="110"/>
        <v>0</v>
      </c>
      <c r="AB298" s="140">
        <f t="shared" si="111"/>
        <v>-0.12544591707329203</v>
      </c>
      <c r="AC298" s="140">
        <f t="shared" si="112"/>
        <v>0.08</v>
      </c>
      <c r="AD298" s="140">
        <f t="shared" si="113"/>
        <v>0.08</v>
      </c>
      <c r="AE298" s="140">
        <f t="shared" si="114"/>
        <v>0</v>
      </c>
      <c r="AF298" s="140">
        <f t="shared" si="115"/>
        <v>0</v>
      </c>
      <c r="AG298" s="140">
        <f t="shared" si="116"/>
        <v>0</v>
      </c>
      <c r="AH298" s="140">
        <f t="shared" si="117"/>
        <v>0</v>
      </c>
      <c r="AI298" s="140">
        <f t="shared" si="118"/>
        <v>0.08</v>
      </c>
      <c r="AJ298" s="140">
        <f t="shared" si="119"/>
        <v>0.08</v>
      </c>
      <c r="AK298" s="140">
        <f t="shared" si="120"/>
        <v>0.08</v>
      </c>
      <c r="AL298" s="140">
        <f t="shared" si="121"/>
        <v>0.08</v>
      </c>
      <c r="AM298" t="str">
        <f t="shared" si="122"/>
        <v>4690-000: Other misc Supplies</v>
      </c>
      <c r="AN298" s="140">
        <f t="shared" si="123"/>
        <v>2.6666666666666668E-2</v>
      </c>
      <c r="AO298" s="140">
        <f t="shared" si="124"/>
        <v>-2.6666666666666668E-2</v>
      </c>
      <c r="AP298" s="1" t="str">
        <f>IF(AND(AO298&gt;0, _xlfn.XLOOKUP($AM298, Discretionaries!$A$2:'Discretionaries'!$A$150, Discretionaries!$B$2:'Discretionaries'!$B$150)), (1+AN298)*$N298, "")</f>
        <v/>
      </c>
      <c r="AQ298" s="1" t="str">
        <f>IF(AND(AO298&gt;0, _xlfn.XLOOKUP($AM298, Discretionaries!$A$2:'Discretionaries'!$A$150, Discretionaries!$B$2:'Discretionaries'!$B$150)),AP298-$Q298,"")</f>
        <v/>
      </c>
      <c r="AR298" s="140">
        <f>IF(AG298="", 0-CPI!$B$15, AG298-CPI!$B$15)</f>
        <v>-3.8999999999999993E-2</v>
      </c>
      <c r="AS298" s="1" t="str">
        <f>IF(AND(AR298&gt;0, _xlfn.XLOOKUP($AM298, Discretionaries!$A$2:'Discretionaries'!$A$150, Discretionaries!$B$2:'Discretionaries'!$B$150)), (1+CPI!$B$15)*$N298, "")</f>
        <v/>
      </c>
      <c r="AT298" s="1" t="str">
        <f>IF(AND(AR298&gt;0, _xlfn.XLOOKUP($AM298, Discretionaries!$A$2:'Discretionaries'!$A$150, Discretionaries!$B$2:'Discretionaries'!$B$150)),AS298-$Q298,"")</f>
        <v/>
      </c>
    </row>
    <row r="299" spans="1:46" x14ac:dyDescent="0.3">
      <c r="A299" t="s">
        <v>431</v>
      </c>
      <c r="B299" t="str">
        <f t="shared" si="100"/>
        <v>23</v>
      </c>
      <c r="C299" t="s">
        <v>426</v>
      </c>
      <c r="D299" t="str">
        <f t="shared" si="101"/>
        <v>01</v>
      </c>
      <c r="E299" t="s">
        <v>54</v>
      </c>
      <c r="F299" s="139" t="s">
        <v>256</v>
      </c>
      <c r="G299" t="s">
        <v>257</v>
      </c>
      <c r="H299" s="156">
        <v>545929</v>
      </c>
      <c r="I299" s="156">
        <v>519832.76</v>
      </c>
      <c r="J299" s="156">
        <v>550929</v>
      </c>
      <c r="K299" s="156">
        <v>511012.61</v>
      </c>
      <c r="L299" s="156">
        <v>550929</v>
      </c>
      <c r="M299" s="156">
        <v>486809.51</v>
      </c>
      <c r="N299" s="156">
        <v>843059</v>
      </c>
      <c r="O299" s="156">
        <v>843059</v>
      </c>
      <c r="P299" s="156">
        <v>843059</v>
      </c>
      <c r="Q299" s="156">
        <v>843059</v>
      </c>
      <c r="R299" s="156">
        <v>843059</v>
      </c>
      <c r="S299" s="156">
        <f t="shared" si="102"/>
        <v>0</v>
      </c>
      <c r="T299" s="156">
        <f t="shared" si="103"/>
        <v>0</v>
      </c>
      <c r="U299" s="140">
        <f t="shared" si="104"/>
        <v>0</v>
      </c>
      <c r="V299" s="140">
        <f t="shared" si="105"/>
        <v>-4.7801527304832662E-2</v>
      </c>
      <c r="W299" s="140">
        <f t="shared" si="106"/>
        <v>-7.2452875052865282E-2</v>
      </c>
      <c r="X299" s="140">
        <f t="shared" si="107"/>
        <v>-0.11638430723378147</v>
      </c>
      <c r="Y299" s="140">
        <f t="shared" si="108"/>
        <v>9.1587001240088003E-3</v>
      </c>
      <c r="Z299" s="140">
        <f t="shared" si="109"/>
        <v>-1.6967283862602316E-2</v>
      </c>
      <c r="AA299" s="140">
        <f t="shared" si="110"/>
        <v>0</v>
      </c>
      <c r="AB299" s="140">
        <f t="shared" si="111"/>
        <v>-4.7363019084793186E-2</v>
      </c>
      <c r="AC299" s="140">
        <f t="shared" si="112"/>
        <v>0.53024981440439689</v>
      </c>
      <c r="AD299" s="140">
        <f t="shared" si="113"/>
        <v>0.54426491356934692</v>
      </c>
      <c r="AE299" s="140">
        <f t="shared" si="114"/>
        <v>0</v>
      </c>
      <c r="AF299" s="140">
        <f t="shared" si="115"/>
        <v>0</v>
      </c>
      <c r="AG299" s="140">
        <f t="shared" si="116"/>
        <v>0</v>
      </c>
      <c r="AH299" s="140">
        <f t="shared" si="117"/>
        <v>0</v>
      </c>
      <c r="AI299" s="140">
        <f t="shared" si="118"/>
        <v>0.54426491356934692</v>
      </c>
      <c r="AJ299" s="140">
        <f t="shared" si="119"/>
        <v>0.54426491356934692</v>
      </c>
      <c r="AK299" s="140">
        <f t="shared" si="120"/>
        <v>0.54426491356934692</v>
      </c>
      <c r="AL299" s="140">
        <f t="shared" si="121"/>
        <v>0.54426491356934692</v>
      </c>
      <c r="AM299" t="str">
        <f t="shared" si="122"/>
        <v>4744-000: Capital leases Property</v>
      </c>
      <c r="AN299" s="140">
        <f t="shared" si="123"/>
        <v>0.17980283817613521</v>
      </c>
      <c r="AO299" s="140">
        <f t="shared" si="124"/>
        <v>-0.17980283817613521</v>
      </c>
      <c r="AP299" s="1" t="str">
        <f>IF(AND(AO299&gt;0, _xlfn.XLOOKUP($AM299, Discretionaries!$A$2:'Discretionaries'!$A$150, Discretionaries!$B$2:'Discretionaries'!$B$150)), (1+AN299)*$N299, "")</f>
        <v/>
      </c>
      <c r="AQ299" s="1" t="str">
        <f>IF(AND(AO299&gt;0, _xlfn.XLOOKUP($AM299, Discretionaries!$A$2:'Discretionaries'!$A$150, Discretionaries!$B$2:'Discretionaries'!$B$150)),AP299-$Q299,"")</f>
        <v/>
      </c>
      <c r="AR299" s="140">
        <f>IF(AG299="", 0-CPI!$B$15, AG299-CPI!$B$15)</f>
        <v>-3.8999999999999993E-2</v>
      </c>
      <c r="AS299" s="1" t="str">
        <f>IF(AND(AR299&gt;0, _xlfn.XLOOKUP($AM299, Discretionaries!$A$2:'Discretionaries'!$A$150, Discretionaries!$B$2:'Discretionaries'!$B$150)), (1+CPI!$B$15)*$N299, "")</f>
        <v/>
      </c>
      <c r="AT299" s="1" t="str">
        <f>IF(AND(AR299&gt;0, _xlfn.XLOOKUP($AM299, Discretionaries!$A$2:'Discretionaries'!$A$150, Discretionaries!$B$2:'Discretionaries'!$B$150)),AS299-$Q299,"")</f>
        <v/>
      </c>
    </row>
    <row r="300" spans="1:46" x14ac:dyDescent="0.3">
      <c r="A300" t="s">
        <v>431</v>
      </c>
      <c r="B300" t="str">
        <f t="shared" si="100"/>
        <v>23</v>
      </c>
      <c r="C300" t="s">
        <v>426</v>
      </c>
      <c r="D300" t="str">
        <f t="shared" si="101"/>
        <v>01</v>
      </c>
      <c r="E300" t="s">
        <v>54</v>
      </c>
      <c r="F300" s="139" t="s">
        <v>273</v>
      </c>
      <c r="G300" t="s">
        <v>274</v>
      </c>
      <c r="H300" s="156">
        <v>0</v>
      </c>
      <c r="I300" s="156">
        <v>412392.46</v>
      </c>
      <c r="J300" s="156">
        <v>0</v>
      </c>
      <c r="K300" s="156">
        <v>0</v>
      </c>
      <c r="L300" s="156">
        <v>0</v>
      </c>
      <c r="M300" s="156">
        <v>0</v>
      </c>
      <c r="N300" s="156">
        <v>0</v>
      </c>
      <c r="S300" s="156">
        <f t="shared" si="102"/>
        <v>0</v>
      </c>
      <c r="T300" s="156">
        <f t="shared" si="103"/>
        <v>0</v>
      </c>
      <c r="U300" s="140" t="str">
        <f t="shared" si="104"/>
        <v/>
      </c>
      <c r="V300" s="140" t="str">
        <f t="shared" si="105"/>
        <v/>
      </c>
      <c r="W300" s="140" t="str">
        <f t="shared" si="106"/>
        <v/>
      </c>
      <c r="X300" s="140" t="str">
        <f t="shared" si="107"/>
        <v/>
      </c>
      <c r="Y300" s="140" t="str">
        <f t="shared" si="108"/>
        <v/>
      </c>
      <c r="Z300" s="140">
        <f t="shared" si="109"/>
        <v>-1</v>
      </c>
      <c r="AA300" s="140" t="str">
        <f t="shared" si="110"/>
        <v/>
      </c>
      <c r="AB300" s="140" t="str">
        <f t="shared" si="111"/>
        <v/>
      </c>
      <c r="AC300" s="140" t="str">
        <f t="shared" si="112"/>
        <v/>
      </c>
      <c r="AD300" s="140" t="str">
        <f t="shared" si="113"/>
        <v/>
      </c>
      <c r="AE300" s="140" t="str">
        <f t="shared" si="114"/>
        <v/>
      </c>
      <c r="AF300" s="140" t="str">
        <f t="shared" si="115"/>
        <v/>
      </c>
      <c r="AG300" s="140" t="str">
        <f t="shared" si="116"/>
        <v/>
      </c>
      <c r="AH300" s="140" t="str">
        <f t="shared" si="117"/>
        <v/>
      </c>
      <c r="AI300" s="140" t="str">
        <f t="shared" si="118"/>
        <v/>
      </c>
      <c r="AJ300" s="140" t="str">
        <f t="shared" si="119"/>
        <v/>
      </c>
      <c r="AK300" s="140" t="str">
        <f t="shared" si="120"/>
        <v/>
      </c>
      <c r="AL300" s="140" t="str">
        <f t="shared" si="121"/>
        <v/>
      </c>
      <c r="AM300" t="str">
        <f t="shared" si="122"/>
        <v>4890-000: Grant Expenses</v>
      </c>
      <c r="AN300" s="140">
        <f t="shared" si="123"/>
        <v>0</v>
      </c>
      <c r="AO300" s="140">
        <f t="shared" si="124"/>
        <v>0</v>
      </c>
      <c r="AP300" s="1" t="str">
        <f>IF(AND(AO300&gt;0, _xlfn.XLOOKUP($AM300, Discretionaries!$A$2:'Discretionaries'!$A$150, Discretionaries!$B$2:'Discretionaries'!$B$150)), (1+AN300)*$N300, "")</f>
        <v/>
      </c>
      <c r="AQ300" s="1" t="str">
        <f>IF(AND(AO300&gt;0, _xlfn.XLOOKUP($AM300, Discretionaries!$A$2:'Discretionaries'!$A$150, Discretionaries!$B$2:'Discretionaries'!$B$150)),AP300-$Q300,"")</f>
        <v/>
      </c>
      <c r="AR300" s="140">
        <f>IF(AG300="", 0-CPI!$B$15, AG300-CPI!$B$15)</f>
        <v>-3.8999999999999993E-2</v>
      </c>
      <c r="AS300" s="1" t="str">
        <f>IF(AND(AR300&gt;0, _xlfn.XLOOKUP($AM300, Discretionaries!$A$2:'Discretionaries'!$A$150, Discretionaries!$B$2:'Discretionaries'!$B$150)), (1+CPI!$B$15)*$N300, "")</f>
        <v/>
      </c>
      <c r="AT300" s="1" t="str">
        <f>IF(AND(AR300&gt;0, _xlfn.XLOOKUP($AM300, Discretionaries!$A$2:'Discretionaries'!$A$150, Discretionaries!$B$2:'Discretionaries'!$B$150)),AS300-$Q300,"")</f>
        <v/>
      </c>
    </row>
    <row r="301" spans="1:46" x14ac:dyDescent="0.3">
      <c r="A301" t="s">
        <v>431</v>
      </c>
      <c r="B301" t="str">
        <f t="shared" si="100"/>
        <v>23</v>
      </c>
      <c r="C301" t="s">
        <v>427</v>
      </c>
      <c r="D301" t="str">
        <f t="shared" si="101"/>
        <v>02</v>
      </c>
      <c r="E301" t="s">
        <v>133</v>
      </c>
      <c r="F301" s="139" t="s">
        <v>160</v>
      </c>
      <c r="G301" t="s">
        <v>161</v>
      </c>
      <c r="H301" s="156">
        <v>55850</v>
      </c>
      <c r="I301" s="156">
        <v>64312.22</v>
      </c>
      <c r="J301" s="156">
        <v>61500</v>
      </c>
      <c r="K301" s="156">
        <v>69773.45</v>
      </c>
      <c r="L301" s="156">
        <v>71820</v>
      </c>
      <c r="M301" s="156">
        <v>74910.100000000006</v>
      </c>
      <c r="N301" s="156">
        <v>71820</v>
      </c>
      <c r="O301" s="156">
        <v>74910</v>
      </c>
      <c r="P301" s="156">
        <v>74910</v>
      </c>
      <c r="Q301" s="156">
        <v>74910</v>
      </c>
      <c r="R301" s="156">
        <v>71820</v>
      </c>
      <c r="S301" s="156">
        <f t="shared" si="102"/>
        <v>3090</v>
      </c>
      <c r="T301" s="156">
        <f t="shared" si="103"/>
        <v>3090</v>
      </c>
      <c r="U301" s="140">
        <f t="shared" si="104"/>
        <v>4.3024227234753548E-2</v>
      </c>
      <c r="V301" s="140">
        <f t="shared" si="105"/>
        <v>0.15151692032229189</v>
      </c>
      <c r="W301" s="140">
        <f t="shared" si="106"/>
        <v>0.13452764227642272</v>
      </c>
      <c r="X301" s="140">
        <f t="shared" si="107"/>
        <v>4.3025619604567057E-2</v>
      </c>
      <c r="Y301" s="140">
        <f t="shared" si="108"/>
        <v>0.10116383169203223</v>
      </c>
      <c r="Z301" s="140">
        <f t="shared" si="109"/>
        <v>8.4917454256749278E-2</v>
      </c>
      <c r="AA301" s="140">
        <f t="shared" si="110"/>
        <v>0.1678048780487805</v>
      </c>
      <c r="AB301" s="140">
        <f t="shared" si="111"/>
        <v>7.3618976845777423E-2</v>
      </c>
      <c r="AC301" s="140">
        <f t="shared" si="112"/>
        <v>0</v>
      </c>
      <c r="AD301" s="140">
        <f t="shared" si="113"/>
        <v>0.28594449418084156</v>
      </c>
      <c r="AE301" s="140">
        <f t="shared" si="114"/>
        <v>4.3024227234753548E-2</v>
      </c>
      <c r="AF301" s="140">
        <f t="shared" si="115"/>
        <v>4.3024227234753548E-2</v>
      </c>
      <c r="AG301" s="140">
        <f t="shared" si="116"/>
        <v>4.3024227234753548E-2</v>
      </c>
      <c r="AH301" s="140">
        <f t="shared" si="117"/>
        <v>0</v>
      </c>
      <c r="AI301" s="140">
        <f t="shared" si="118"/>
        <v>0.34127126230975829</v>
      </c>
      <c r="AJ301" s="140">
        <f t="shared" si="119"/>
        <v>0.34127126230975829</v>
      </c>
      <c r="AK301" s="140">
        <f t="shared" si="120"/>
        <v>0.34127126230975829</v>
      </c>
      <c r="AL301" s="140">
        <f t="shared" si="121"/>
        <v>0.28594449418084156</v>
      </c>
      <c r="AM301" t="str">
        <f t="shared" si="122"/>
        <v>4410-000: Electric Services</v>
      </c>
      <c r="AN301" s="140">
        <f t="shared" si="123"/>
        <v>8.9656236580270901E-2</v>
      </c>
      <c r="AO301" s="140">
        <f t="shared" si="124"/>
        <v>-4.6632009345517353E-2</v>
      </c>
      <c r="AP301" s="1" t="str">
        <f>IF(AND(AO301&gt;0, _xlfn.XLOOKUP($AM301, Discretionaries!$A$2:'Discretionaries'!$A$150, Discretionaries!$B$2:'Discretionaries'!$B$150)), (1+AN301)*$N301, "")</f>
        <v/>
      </c>
      <c r="AQ301" s="1" t="str">
        <f>IF(AND(AO301&gt;0, _xlfn.XLOOKUP($AM301, Discretionaries!$A$2:'Discretionaries'!$A$150, Discretionaries!$B$2:'Discretionaries'!$B$150)),AP301-$Q301,"")</f>
        <v/>
      </c>
      <c r="AR301" s="140">
        <f>IF(AG301="", 0-CPI!$B$15, AG301-CPI!$B$15)</f>
        <v>4.0242272347535551E-3</v>
      </c>
      <c r="AS301" s="1">
        <f>IF(AND(AR301&gt;0, _xlfn.XLOOKUP($AM301, Discretionaries!$A$2:'Discretionaries'!$A$150, Discretionaries!$B$2:'Discretionaries'!$B$150)), (1+CPI!$B$15)*$N301, "")</f>
        <v>74620.98</v>
      </c>
      <c r="AT301" s="1">
        <f>IF(AND(AR301&gt;0, _xlfn.XLOOKUP($AM301, Discretionaries!$A$2:'Discretionaries'!$A$150, Discretionaries!$B$2:'Discretionaries'!$B$150)),AS301-$Q301,"")</f>
        <v>-289.02000000000407</v>
      </c>
    </row>
    <row r="302" spans="1:46" x14ac:dyDescent="0.3">
      <c r="A302" t="s">
        <v>431</v>
      </c>
      <c r="B302" t="str">
        <f t="shared" si="100"/>
        <v>23</v>
      </c>
      <c r="C302" t="s">
        <v>427</v>
      </c>
      <c r="D302" t="str">
        <f t="shared" si="101"/>
        <v>02</v>
      </c>
      <c r="E302" t="s">
        <v>133</v>
      </c>
      <c r="F302" s="139" t="s">
        <v>162</v>
      </c>
      <c r="G302" t="s">
        <v>163</v>
      </c>
      <c r="H302" s="156">
        <v>31320</v>
      </c>
      <c r="I302" s="156">
        <v>19062.89</v>
      </c>
      <c r="J302" s="156">
        <v>31320</v>
      </c>
      <c r="K302" s="156">
        <v>30496</v>
      </c>
      <c r="L302" s="156">
        <v>20000</v>
      </c>
      <c r="M302" s="156">
        <v>25932.68</v>
      </c>
      <c r="N302" s="156">
        <v>20000</v>
      </c>
      <c r="O302" s="156">
        <v>25933</v>
      </c>
      <c r="P302" s="156">
        <v>25933</v>
      </c>
      <c r="Q302" s="156">
        <v>25933</v>
      </c>
      <c r="R302" s="156">
        <v>20000</v>
      </c>
      <c r="S302" s="156">
        <f t="shared" si="102"/>
        <v>5933</v>
      </c>
      <c r="T302" s="156">
        <f t="shared" si="103"/>
        <v>5933</v>
      </c>
      <c r="U302" s="140">
        <f t="shared" si="104"/>
        <v>0.29665000000000002</v>
      </c>
      <c r="V302" s="140">
        <f t="shared" si="105"/>
        <v>-0.39135089399744571</v>
      </c>
      <c r="W302" s="140">
        <f t="shared" si="106"/>
        <v>-2.6309067688378034E-2</v>
      </c>
      <c r="X302" s="140">
        <f t="shared" si="107"/>
        <v>0.29663400000000001</v>
      </c>
      <c r="Y302" s="140">
        <f t="shared" si="108"/>
        <v>0</v>
      </c>
      <c r="Z302" s="140">
        <f t="shared" si="109"/>
        <v>0.59975743447084895</v>
      </c>
      <c r="AA302" s="140">
        <f t="shared" si="110"/>
        <v>-0.36143039591315451</v>
      </c>
      <c r="AB302" s="140">
        <f t="shared" si="111"/>
        <v>-0.14963667366211961</v>
      </c>
      <c r="AC302" s="140">
        <f t="shared" si="112"/>
        <v>0</v>
      </c>
      <c r="AD302" s="140">
        <f t="shared" si="113"/>
        <v>-0.36143039591315451</v>
      </c>
      <c r="AE302" s="140">
        <f t="shared" si="114"/>
        <v>0.29665000000000002</v>
      </c>
      <c r="AF302" s="140">
        <f t="shared" si="115"/>
        <v>0.29665000000000002</v>
      </c>
      <c r="AG302" s="140">
        <f t="shared" si="116"/>
        <v>0.29665000000000002</v>
      </c>
      <c r="AH302" s="140">
        <f t="shared" si="117"/>
        <v>0</v>
      </c>
      <c r="AI302" s="140">
        <f t="shared" si="118"/>
        <v>-0.17199872286079182</v>
      </c>
      <c r="AJ302" s="140">
        <f t="shared" si="119"/>
        <v>-0.17199872286079182</v>
      </c>
      <c r="AK302" s="140">
        <f t="shared" si="120"/>
        <v>-0.17199872286079182</v>
      </c>
      <c r="AL302" s="140">
        <f t="shared" si="121"/>
        <v>-0.36143039591315451</v>
      </c>
      <c r="AM302" t="str">
        <f t="shared" si="122"/>
        <v>4411-000: Heat &amp; oil Services</v>
      </c>
      <c r="AN302" s="140">
        <f t="shared" si="123"/>
        <v>-0.12047679863771817</v>
      </c>
      <c r="AO302" s="140">
        <f t="shared" si="124"/>
        <v>0.41712679863771818</v>
      </c>
      <c r="AP302" s="1">
        <f>IF(AND(AO302&gt;0, _xlfn.XLOOKUP($AM302, Discretionaries!$A$2:'Discretionaries'!$A$150, Discretionaries!$B$2:'Discretionaries'!$B$150)), (1+AN302)*$N302, "")</f>
        <v>17590.464027245634</v>
      </c>
      <c r="AQ302" s="1">
        <f>IF(AND(AO302&gt;0, _xlfn.XLOOKUP($AM302, Discretionaries!$A$2:'Discretionaries'!$A$150, Discretionaries!$B$2:'Discretionaries'!$B$150)),AP302-$Q302,"")</f>
        <v>-8342.5359727543655</v>
      </c>
      <c r="AR302" s="140">
        <f>IF(AG302="", 0-CPI!$B$15, AG302-CPI!$B$15)</f>
        <v>0.25765000000000005</v>
      </c>
      <c r="AS302" s="1">
        <f>IF(AND(AR302&gt;0, _xlfn.XLOOKUP($AM302, Discretionaries!$A$2:'Discretionaries'!$A$150, Discretionaries!$B$2:'Discretionaries'!$B$150)), (1+CPI!$B$15)*$N302, "")</f>
        <v>20780</v>
      </c>
      <c r="AT302" s="1">
        <f>IF(AND(AR302&gt;0, _xlfn.XLOOKUP($AM302, Discretionaries!$A$2:'Discretionaries'!$A$150, Discretionaries!$B$2:'Discretionaries'!$B$150)),AS302-$Q302,"")</f>
        <v>-5153</v>
      </c>
    </row>
    <row r="303" spans="1:46" x14ac:dyDescent="0.3">
      <c r="A303" t="s">
        <v>431</v>
      </c>
      <c r="B303" t="str">
        <f t="shared" si="100"/>
        <v>23</v>
      </c>
      <c r="C303" t="s">
        <v>427</v>
      </c>
      <c r="D303" t="str">
        <f t="shared" si="101"/>
        <v>02</v>
      </c>
      <c r="E303" t="s">
        <v>133</v>
      </c>
      <c r="F303" s="139" t="s">
        <v>164</v>
      </c>
      <c r="G303" t="s">
        <v>165</v>
      </c>
      <c r="H303" s="156">
        <v>12000</v>
      </c>
      <c r="I303" s="156">
        <v>13155.64</v>
      </c>
      <c r="J303" s="156">
        <v>12000</v>
      </c>
      <c r="K303" s="156">
        <v>15224.63</v>
      </c>
      <c r="L303" s="156">
        <v>12000</v>
      </c>
      <c r="M303" s="156">
        <v>14930.9</v>
      </c>
      <c r="N303" s="156">
        <v>12000</v>
      </c>
      <c r="O303" s="156">
        <v>14263</v>
      </c>
      <c r="P303" s="156">
        <v>14263</v>
      </c>
      <c r="Q303" s="156">
        <v>14263</v>
      </c>
      <c r="R303" s="156">
        <v>12000</v>
      </c>
      <c r="S303" s="156">
        <f t="shared" si="102"/>
        <v>2263</v>
      </c>
      <c r="T303" s="156">
        <f t="shared" si="103"/>
        <v>2263</v>
      </c>
      <c r="U303" s="140">
        <f t="shared" si="104"/>
        <v>0.18858333333333333</v>
      </c>
      <c r="V303" s="140">
        <f t="shared" si="105"/>
        <v>9.6303333333333282E-2</v>
      </c>
      <c r="W303" s="140">
        <f t="shared" si="106"/>
        <v>0.26871916666666662</v>
      </c>
      <c r="X303" s="140">
        <f t="shared" si="107"/>
        <v>0.24424166666666663</v>
      </c>
      <c r="Y303" s="140">
        <f t="shared" si="108"/>
        <v>0</v>
      </c>
      <c r="Z303" s="140">
        <f t="shared" si="109"/>
        <v>0.15727018981972749</v>
      </c>
      <c r="AA303" s="140">
        <f t="shared" si="110"/>
        <v>0</v>
      </c>
      <c r="AB303" s="140">
        <f t="shared" si="111"/>
        <v>-1.9293079700459032E-2</v>
      </c>
      <c r="AC303" s="140">
        <f t="shared" si="112"/>
        <v>0</v>
      </c>
      <c r="AD303" s="140">
        <f t="shared" si="113"/>
        <v>0</v>
      </c>
      <c r="AE303" s="140">
        <f t="shared" si="114"/>
        <v>0.18858333333333333</v>
      </c>
      <c r="AF303" s="140">
        <f t="shared" si="115"/>
        <v>0.18858333333333333</v>
      </c>
      <c r="AG303" s="140">
        <f t="shared" si="116"/>
        <v>0.18858333333333333</v>
      </c>
      <c r="AH303" s="140">
        <f t="shared" si="117"/>
        <v>0</v>
      </c>
      <c r="AI303" s="140">
        <f t="shared" si="118"/>
        <v>0.18858333333333333</v>
      </c>
      <c r="AJ303" s="140">
        <f t="shared" si="119"/>
        <v>0.18858333333333333</v>
      </c>
      <c r="AK303" s="140">
        <f t="shared" si="120"/>
        <v>0.18858333333333333</v>
      </c>
      <c r="AL303" s="140">
        <f t="shared" si="121"/>
        <v>0</v>
      </c>
      <c r="AM303" t="str">
        <f t="shared" si="122"/>
        <v>4412-000: Water Services</v>
      </c>
      <c r="AN303" s="140">
        <f t="shared" si="123"/>
        <v>0</v>
      </c>
      <c r="AO303" s="140">
        <f t="shared" si="124"/>
        <v>0.18858333333333333</v>
      </c>
      <c r="AP303" s="1">
        <f>IF(AND(AO303&gt;0, _xlfn.XLOOKUP($AM303, Discretionaries!$A$2:'Discretionaries'!$A$150, Discretionaries!$B$2:'Discretionaries'!$B$150)), (1+AN303)*$N303, "")</f>
        <v>12000</v>
      </c>
      <c r="AQ303" s="1">
        <f>IF(AND(AO303&gt;0, _xlfn.XLOOKUP($AM303, Discretionaries!$A$2:'Discretionaries'!$A$150, Discretionaries!$B$2:'Discretionaries'!$B$150)),AP303-$Q303,"")</f>
        <v>-2263</v>
      </c>
      <c r="AR303" s="140">
        <f>IF(AG303="", 0-CPI!$B$15, AG303-CPI!$B$15)</f>
        <v>0.14958333333333335</v>
      </c>
      <c r="AS303" s="1">
        <f>IF(AND(AR303&gt;0, _xlfn.XLOOKUP($AM303, Discretionaries!$A$2:'Discretionaries'!$A$150, Discretionaries!$B$2:'Discretionaries'!$B$150)), (1+CPI!$B$15)*$N303, "")</f>
        <v>12467.999999999998</v>
      </c>
      <c r="AT303" s="1">
        <f>IF(AND(AR303&gt;0, _xlfn.XLOOKUP($AM303, Discretionaries!$A$2:'Discretionaries'!$A$150, Discretionaries!$B$2:'Discretionaries'!$B$150)),AS303-$Q303,"")</f>
        <v>-1795.0000000000018</v>
      </c>
    </row>
    <row r="304" spans="1:46" x14ac:dyDescent="0.3">
      <c r="A304" t="s">
        <v>431</v>
      </c>
      <c r="B304" t="str">
        <f t="shared" si="100"/>
        <v>23</v>
      </c>
      <c r="C304" t="s">
        <v>427</v>
      </c>
      <c r="D304" t="str">
        <f t="shared" si="101"/>
        <v>02</v>
      </c>
      <c r="E304" t="s">
        <v>133</v>
      </c>
      <c r="F304" s="139" t="s">
        <v>146</v>
      </c>
      <c r="G304" t="s">
        <v>147</v>
      </c>
      <c r="H304" s="156">
        <v>24700</v>
      </c>
      <c r="I304" s="156">
        <v>32454.54</v>
      </c>
      <c r="J304" s="156">
        <v>41700</v>
      </c>
      <c r="K304" s="156">
        <v>53212.65</v>
      </c>
      <c r="L304" s="156">
        <v>43150</v>
      </c>
      <c r="M304" s="156">
        <v>136607.35</v>
      </c>
      <c r="N304" s="156">
        <v>46150</v>
      </c>
      <c r="O304" s="156">
        <v>46150</v>
      </c>
      <c r="P304" s="156">
        <v>46150</v>
      </c>
      <c r="Q304" s="156">
        <v>46150</v>
      </c>
      <c r="R304" s="156">
        <v>46150</v>
      </c>
      <c r="S304" s="156">
        <f t="shared" si="102"/>
        <v>0</v>
      </c>
      <c r="T304" s="156">
        <f t="shared" si="103"/>
        <v>0</v>
      </c>
      <c r="U304" s="140">
        <f t="shared" si="104"/>
        <v>0</v>
      </c>
      <c r="V304" s="140">
        <f t="shared" si="105"/>
        <v>0.31394898785425107</v>
      </c>
      <c r="W304" s="140">
        <f t="shared" si="106"/>
        <v>0.27608273381294968</v>
      </c>
      <c r="X304" s="140">
        <f t="shared" si="107"/>
        <v>2.1658713789107766</v>
      </c>
      <c r="Y304" s="140">
        <f t="shared" si="108"/>
        <v>0.68825910931174084</v>
      </c>
      <c r="Z304" s="140">
        <f t="shared" si="109"/>
        <v>0.63960573774886353</v>
      </c>
      <c r="AA304" s="140">
        <f t="shared" si="110"/>
        <v>3.4772182254196642E-2</v>
      </c>
      <c r="AB304" s="140">
        <f t="shared" si="111"/>
        <v>1.5671968977301451</v>
      </c>
      <c r="AC304" s="140">
        <f t="shared" si="112"/>
        <v>6.9524913093858637E-2</v>
      </c>
      <c r="AD304" s="140">
        <f t="shared" si="113"/>
        <v>0.86842105263157898</v>
      </c>
      <c r="AE304" s="140">
        <f t="shared" si="114"/>
        <v>0</v>
      </c>
      <c r="AF304" s="140">
        <f t="shared" si="115"/>
        <v>0</v>
      </c>
      <c r="AG304" s="140">
        <f t="shared" si="116"/>
        <v>0</v>
      </c>
      <c r="AH304" s="140">
        <f t="shared" si="117"/>
        <v>0</v>
      </c>
      <c r="AI304" s="140">
        <f t="shared" si="118"/>
        <v>0.86842105263157898</v>
      </c>
      <c r="AJ304" s="140">
        <f t="shared" si="119"/>
        <v>0.86842105263157898</v>
      </c>
      <c r="AK304" s="140">
        <f t="shared" si="120"/>
        <v>0.86842105263157898</v>
      </c>
      <c r="AL304" s="140">
        <f t="shared" si="121"/>
        <v>0.86842105263157898</v>
      </c>
      <c r="AM304" t="str">
        <f t="shared" si="122"/>
        <v>4430-000: Repairs &amp; maint Service</v>
      </c>
      <c r="AN304" s="140">
        <f t="shared" si="123"/>
        <v>0.26418540155326536</v>
      </c>
      <c r="AO304" s="140">
        <f t="shared" si="124"/>
        <v>-0.26418540155326536</v>
      </c>
      <c r="AP304" s="1" t="str">
        <f>IF(AND(AO304&gt;0, _xlfn.XLOOKUP($AM304, Discretionaries!$A$2:'Discretionaries'!$A$150, Discretionaries!$B$2:'Discretionaries'!$B$150)), (1+AN304)*$N304, "")</f>
        <v/>
      </c>
      <c r="AQ304" s="1" t="str">
        <f>IF(AND(AO304&gt;0, _xlfn.XLOOKUP($AM304, Discretionaries!$A$2:'Discretionaries'!$A$150, Discretionaries!$B$2:'Discretionaries'!$B$150)),AP304-$Q304,"")</f>
        <v/>
      </c>
      <c r="AR304" s="140">
        <f>IF(AG304="", 0-CPI!$B$15, AG304-CPI!$B$15)</f>
        <v>-3.8999999999999993E-2</v>
      </c>
      <c r="AS304" s="1" t="str">
        <f>IF(AND(AR304&gt;0, _xlfn.XLOOKUP($AM304, Discretionaries!$A$2:'Discretionaries'!$A$150, Discretionaries!$B$2:'Discretionaries'!$B$150)), (1+CPI!$B$15)*$N304, "")</f>
        <v/>
      </c>
      <c r="AT304" s="1" t="str">
        <f>IF(AND(AR304&gt;0, _xlfn.XLOOKUP($AM304, Discretionaries!$A$2:'Discretionaries'!$A$150, Discretionaries!$B$2:'Discretionaries'!$B$150)),AS304-$Q304,"")</f>
        <v/>
      </c>
    </row>
    <row r="305" spans="1:46" x14ac:dyDescent="0.3">
      <c r="A305" t="s">
        <v>431</v>
      </c>
      <c r="B305" t="str">
        <f t="shared" si="100"/>
        <v>23</v>
      </c>
      <c r="C305" t="s">
        <v>427</v>
      </c>
      <c r="D305" t="str">
        <f t="shared" si="101"/>
        <v>02</v>
      </c>
      <c r="E305" t="s">
        <v>30</v>
      </c>
      <c r="F305" s="139" t="s">
        <v>31</v>
      </c>
      <c r="G305" t="s">
        <v>32</v>
      </c>
      <c r="H305" s="156">
        <v>15000</v>
      </c>
      <c r="I305" s="156">
        <v>14522.61</v>
      </c>
      <c r="J305" s="156">
        <v>15000</v>
      </c>
      <c r="K305" s="156">
        <v>14638.52</v>
      </c>
      <c r="L305" s="156">
        <v>15000</v>
      </c>
      <c r="M305" s="156">
        <v>21844.41</v>
      </c>
      <c r="N305" s="156">
        <v>16500</v>
      </c>
      <c r="O305" s="156">
        <v>22000</v>
      </c>
      <c r="P305" s="156">
        <v>22000</v>
      </c>
      <c r="Q305" s="156">
        <v>22000</v>
      </c>
      <c r="R305" s="156">
        <v>16500</v>
      </c>
      <c r="S305" s="156">
        <f t="shared" si="102"/>
        <v>5500</v>
      </c>
      <c r="T305" s="156">
        <f t="shared" si="103"/>
        <v>5500</v>
      </c>
      <c r="U305" s="140">
        <f t="shared" si="104"/>
        <v>0.33333333333333331</v>
      </c>
      <c r="V305" s="140">
        <f t="shared" si="105"/>
        <v>-3.1825999999999958E-2</v>
      </c>
      <c r="W305" s="140">
        <f t="shared" si="106"/>
        <v>-2.4098666666666636E-2</v>
      </c>
      <c r="X305" s="140">
        <f t="shared" si="107"/>
        <v>0.45629399999999998</v>
      </c>
      <c r="Y305" s="140">
        <f t="shared" si="108"/>
        <v>0</v>
      </c>
      <c r="Z305" s="140">
        <f t="shared" si="109"/>
        <v>7.9813477054055601E-3</v>
      </c>
      <c r="AA305" s="140">
        <f t="shared" si="110"/>
        <v>0</v>
      </c>
      <c r="AB305" s="140">
        <f t="shared" si="111"/>
        <v>0.4922553646133625</v>
      </c>
      <c r="AC305" s="140">
        <f t="shared" si="112"/>
        <v>0.1</v>
      </c>
      <c r="AD305" s="140">
        <f t="shared" si="113"/>
        <v>0.1</v>
      </c>
      <c r="AE305" s="140">
        <f t="shared" si="114"/>
        <v>0.33333333333333331</v>
      </c>
      <c r="AF305" s="140">
        <f t="shared" si="115"/>
        <v>0.33333333333333331</v>
      </c>
      <c r="AG305" s="140">
        <f t="shared" si="116"/>
        <v>0.33333333333333331</v>
      </c>
      <c r="AH305" s="140">
        <f t="shared" si="117"/>
        <v>0</v>
      </c>
      <c r="AI305" s="140">
        <f t="shared" si="118"/>
        <v>0.46666666666666667</v>
      </c>
      <c r="AJ305" s="140">
        <f t="shared" si="119"/>
        <v>0.46666666666666667</v>
      </c>
      <c r="AK305" s="140">
        <f t="shared" si="120"/>
        <v>0.46666666666666667</v>
      </c>
      <c r="AL305" s="140">
        <f t="shared" si="121"/>
        <v>0.1</v>
      </c>
      <c r="AM305" t="str">
        <f t="shared" si="122"/>
        <v>4610-000: General expenses Supplies</v>
      </c>
      <c r="AN305" s="140">
        <f t="shared" si="123"/>
        <v>3.3333333333333333E-2</v>
      </c>
      <c r="AO305" s="140">
        <f t="shared" si="124"/>
        <v>0.3</v>
      </c>
      <c r="AP305" s="1">
        <f>IF(AND(AO305&gt;0, _xlfn.XLOOKUP($AM305, Discretionaries!$A$2:'Discretionaries'!$A$150, Discretionaries!$B$2:'Discretionaries'!$B$150)), (1+AN305)*$N305, "")</f>
        <v>17050</v>
      </c>
      <c r="AQ305" s="1">
        <f>IF(AND(AO305&gt;0, _xlfn.XLOOKUP($AM305, Discretionaries!$A$2:'Discretionaries'!$A$150, Discretionaries!$B$2:'Discretionaries'!$B$150)),AP305-$Q305,"")</f>
        <v>-4950</v>
      </c>
      <c r="AR305" s="140">
        <f>IF(AG305="", 0-CPI!$B$15, AG305-CPI!$B$15)</f>
        <v>0.29433333333333334</v>
      </c>
      <c r="AS305" s="1">
        <f>IF(AND(AR305&gt;0, _xlfn.XLOOKUP($AM305, Discretionaries!$A$2:'Discretionaries'!$A$150, Discretionaries!$B$2:'Discretionaries'!$B$150)), (1+CPI!$B$15)*$N305, "")</f>
        <v>17143.5</v>
      </c>
      <c r="AT305" s="1">
        <f>IF(AND(AR305&gt;0, _xlfn.XLOOKUP($AM305, Discretionaries!$A$2:'Discretionaries'!$A$150, Discretionaries!$B$2:'Discretionaries'!$B$150)),AS305-$Q305,"")</f>
        <v>-4856.5</v>
      </c>
    </row>
    <row r="306" spans="1:46" x14ac:dyDescent="0.3">
      <c r="A306" t="s">
        <v>431</v>
      </c>
      <c r="B306" t="str">
        <f t="shared" si="100"/>
        <v>23</v>
      </c>
      <c r="C306" t="s">
        <v>427</v>
      </c>
      <c r="D306" t="str">
        <f t="shared" si="101"/>
        <v>02</v>
      </c>
      <c r="E306" t="s">
        <v>54</v>
      </c>
      <c r="F306" s="139" t="s">
        <v>114</v>
      </c>
      <c r="G306" t="s">
        <v>115</v>
      </c>
      <c r="H306" s="156">
        <v>1000</v>
      </c>
      <c r="I306" s="156">
        <v>4915.21</v>
      </c>
      <c r="J306" s="156">
        <v>4000</v>
      </c>
      <c r="K306" s="156">
        <v>7782.89</v>
      </c>
      <c r="L306" s="156">
        <v>4000</v>
      </c>
      <c r="M306" s="156">
        <v>72250.92</v>
      </c>
      <c r="N306" s="156">
        <v>7400</v>
      </c>
      <c r="O306" s="156">
        <v>7400</v>
      </c>
      <c r="P306" s="156">
        <v>7400</v>
      </c>
      <c r="Q306" s="156">
        <v>7400</v>
      </c>
      <c r="R306" s="156">
        <v>7400</v>
      </c>
      <c r="S306" s="156">
        <f t="shared" si="102"/>
        <v>0</v>
      </c>
      <c r="T306" s="156">
        <f t="shared" si="103"/>
        <v>0</v>
      </c>
      <c r="U306" s="140">
        <f t="shared" si="104"/>
        <v>0</v>
      </c>
      <c r="V306" s="140">
        <f t="shared" si="105"/>
        <v>3.9152100000000001</v>
      </c>
      <c r="W306" s="140">
        <f t="shared" si="106"/>
        <v>0.94572250000000013</v>
      </c>
      <c r="X306" s="140">
        <f t="shared" si="107"/>
        <v>17.062729999999998</v>
      </c>
      <c r="Y306" s="140">
        <f t="shared" si="108"/>
        <v>3</v>
      </c>
      <c r="Z306" s="140">
        <f t="shared" si="109"/>
        <v>0.58342980259236132</v>
      </c>
      <c r="AA306" s="140">
        <f t="shared" si="110"/>
        <v>0</v>
      </c>
      <c r="AB306" s="140">
        <f t="shared" si="111"/>
        <v>8.2833022180706646</v>
      </c>
      <c r="AC306" s="140">
        <f t="shared" si="112"/>
        <v>0.85</v>
      </c>
      <c r="AD306" s="140">
        <f t="shared" si="113"/>
        <v>6.4</v>
      </c>
      <c r="AE306" s="140">
        <f t="shared" si="114"/>
        <v>0</v>
      </c>
      <c r="AF306" s="140">
        <f t="shared" si="115"/>
        <v>0</v>
      </c>
      <c r="AG306" s="140">
        <f t="shared" si="116"/>
        <v>0</v>
      </c>
      <c r="AH306" s="140">
        <f t="shared" si="117"/>
        <v>0</v>
      </c>
      <c r="AI306" s="140">
        <f t="shared" si="118"/>
        <v>6.4</v>
      </c>
      <c r="AJ306" s="140">
        <f t="shared" si="119"/>
        <v>6.4</v>
      </c>
      <c r="AK306" s="140">
        <f t="shared" si="120"/>
        <v>6.4</v>
      </c>
      <c r="AL306" s="140">
        <f t="shared" si="121"/>
        <v>6.4</v>
      </c>
      <c r="AM306" t="str">
        <f t="shared" si="122"/>
        <v>4740-000: Mach &amp; equip Property</v>
      </c>
      <c r="AN306" s="140">
        <f t="shared" si="123"/>
        <v>1.2833333333333334</v>
      </c>
      <c r="AO306" s="140">
        <f t="shared" si="124"/>
        <v>-1.2833333333333334</v>
      </c>
      <c r="AP306" s="1" t="str">
        <f>IF(AND(AO306&gt;0, _xlfn.XLOOKUP($AM306, Discretionaries!$A$2:'Discretionaries'!$A$150, Discretionaries!$B$2:'Discretionaries'!$B$150)), (1+AN306)*$N306, "")</f>
        <v/>
      </c>
      <c r="AQ306" s="1" t="str">
        <f>IF(AND(AO306&gt;0, _xlfn.XLOOKUP($AM306, Discretionaries!$A$2:'Discretionaries'!$A$150, Discretionaries!$B$2:'Discretionaries'!$B$150)),AP306-$Q306,"")</f>
        <v/>
      </c>
      <c r="AR306" s="140">
        <f>IF(AG306="", 0-CPI!$B$15, AG306-CPI!$B$15)</f>
        <v>-3.8999999999999993E-2</v>
      </c>
      <c r="AS306" s="1" t="str">
        <f>IF(AND(AR306&gt;0, _xlfn.XLOOKUP($AM306, Discretionaries!$A$2:'Discretionaries'!$A$150, Discretionaries!$B$2:'Discretionaries'!$B$150)), (1+CPI!$B$15)*$N306, "")</f>
        <v/>
      </c>
      <c r="AT306" s="1" t="str">
        <f>IF(AND(AR306&gt;0, _xlfn.XLOOKUP($AM306, Discretionaries!$A$2:'Discretionaries'!$A$150, Discretionaries!$B$2:'Discretionaries'!$B$150)),AS306-$Q306,"")</f>
        <v/>
      </c>
    </row>
    <row r="307" spans="1:46" x14ac:dyDescent="0.3">
      <c r="A307" t="s">
        <v>431</v>
      </c>
      <c r="B307" t="str">
        <f t="shared" si="100"/>
        <v>23</v>
      </c>
      <c r="C307" t="s">
        <v>432</v>
      </c>
      <c r="D307" t="str">
        <f t="shared" si="101"/>
        <v>22</v>
      </c>
      <c r="E307" t="s">
        <v>11</v>
      </c>
      <c r="F307" s="139" t="s">
        <v>35</v>
      </c>
      <c r="G307" t="s">
        <v>36</v>
      </c>
      <c r="H307" s="156">
        <v>2816657</v>
      </c>
      <c r="I307" s="156">
        <v>2542157.2599999998</v>
      </c>
      <c r="J307" s="156">
        <v>2821057</v>
      </c>
      <c r="K307" s="156">
        <v>2701603.93</v>
      </c>
      <c r="L307" s="156">
        <v>3156851</v>
      </c>
      <c r="M307" s="156">
        <v>2985862.7</v>
      </c>
      <c r="N307" s="156">
        <v>3312812</v>
      </c>
      <c r="O307" s="156">
        <v>3383953</v>
      </c>
      <c r="P307" s="156">
        <v>3383953</v>
      </c>
      <c r="Q307" s="156">
        <v>3383953</v>
      </c>
      <c r="R307" s="156">
        <v>3383953</v>
      </c>
      <c r="S307" s="156">
        <f t="shared" si="102"/>
        <v>71141</v>
      </c>
      <c r="T307" s="156">
        <f t="shared" si="103"/>
        <v>0</v>
      </c>
      <c r="U307" s="140">
        <f t="shared" si="104"/>
        <v>2.1474505646562496E-2</v>
      </c>
      <c r="V307" s="140">
        <f t="shared" si="105"/>
        <v>-9.7455863457993008E-2</v>
      </c>
      <c r="W307" s="140">
        <f t="shared" si="106"/>
        <v>-4.234337342350751E-2</v>
      </c>
      <c r="X307" s="140">
        <f t="shared" si="107"/>
        <v>-5.4164197169901215E-2</v>
      </c>
      <c r="Y307" s="140">
        <f t="shared" si="108"/>
        <v>1.5621355386900143E-3</v>
      </c>
      <c r="Z307" s="140">
        <f t="shared" si="109"/>
        <v>6.2721009635729782E-2</v>
      </c>
      <c r="AA307" s="140">
        <f t="shared" si="110"/>
        <v>0.11903127090306931</v>
      </c>
      <c r="AB307" s="140">
        <f t="shared" si="111"/>
        <v>0.10521852105834033</v>
      </c>
      <c r="AC307" s="140">
        <f t="shared" si="112"/>
        <v>4.9403978838405742E-2</v>
      </c>
      <c r="AD307" s="140">
        <f t="shared" si="113"/>
        <v>0.17615030868153275</v>
      </c>
      <c r="AE307" s="140">
        <f t="shared" si="114"/>
        <v>2.1474505646562496E-2</v>
      </c>
      <c r="AF307" s="140">
        <f t="shared" si="115"/>
        <v>2.1474505646562496E-2</v>
      </c>
      <c r="AG307" s="140">
        <f t="shared" si="116"/>
        <v>2.1474505646562496E-2</v>
      </c>
      <c r="AH307" s="140">
        <f t="shared" si="117"/>
        <v>2.1474505646562496E-2</v>
      </c>
      <c r="AI307" s="140">
        <f t="shared" si="118"/>
        <v>0.20140755512652056</v>
      </c>
      <c r="AJ307" s="140">
        <f t="shared" si="119"/>
        <v>0.20140755512652056</v>
      </c>
      <c r="AK307" s="140">
        <f t="shared" si="120"/>
        <v>0.20140755512652056</v>
      </c>
      <c r="AL307" s="140">
        <f t="shared" si="121"/>
        <v>0.20140755512652056</v>
      </c>
      <c r="AM307" t="str">
        <f t="shared" si="122"/>
        <v>4110-000: Regular Salaries</v>
      </c>
      <c r="AN307" s="140">
        <f t="shared" si="123"/>
        <v>5.6665795093388351E-2</v>
      </c>
      <c r="AO307" s="140">
        <f t="shared" si="124"/>
        <v>-3.5191289446825855E-2</v>
      </c>
      <c r="AP307" s="1" t="str">
        <f>IF(AND(AO307&gt;0, _xlfn.XLOOKUP($AM307, Discretionaries!$A$2:'Discretionaries'!$A$150, Discretionaries!$B$2:'Discretionaries'!$B$150)), (1+AN307)*$N307, "")</f>
        <v/>
      </c>
      <c r="AQ307" s="1" t="str">
        <f>IF(AND(AO307&gt;0, _xlfn.XLOOKUP($AM307, Discretionaries!$A$2:'Discretionaries'!$A$150, Discretionaries!$B$2:'Discretionaries'!$B$150)),AP307-$Q307,"")</f>
        <v/>
      </c>
      <c r="AR307" s="140">
        <f>IF(AG307="", 0-CPI!$B$15, AG307-CPI!$B$15)</f>
        <v>-1.7525494353437497E-2</v>
      </c>
      <c r="AS307" s="1" t="str">
        <f>IF(AND(AR307&gt;0, _xlfn.XLOOKUP($AM307, Discretionaries!$A$2:'Discretionaries'!$A$150, Discretionaries!$B$2:'Discretionaries'!$B$150)), (1+CPI!$B$15)*$N307, "")</f>
        <v/>
      </c>
      <c r="AT307" s="1" t="str">
        <f>IF(AND(AR307&gt;0, _xlfn.XLOOKUP($AM307, Discretionaries!$A$2:'Discretionaries'!$A$150, Discretionaries!$B$2:'Discretionaries'!$B$150)),AS307-$Q307,"")</f>
        <v/>
      </c>
    </row>
    <row r="308" spans="1:46" x14ac:dyDescent="0.3">
      <c r="A308" t="s">
        <v>431</v>
      </c>
      <c r="B308" t="str">
        <f t="shared" si="100"/>
        <v>23</v>
      </c>
      <c r="C308" t="s">
        <v>432</v>
      </c>
      <c r="D308" t="str">
        <f t="shared" si="101"/>
        <v>22</v>
      </c>
      <c r="E308" t="s">
        <v>11</v>
      </c>
      <c r="F308" s="139" t="s">
        <v>37</v>
      </c>
      <c r="G308" t="s">
        <v>38</v>
      </c>
      <c r="H308" s="156">
        <v>20000</v>
      </c>
      <c r="I308" s="156">
        <v>2566.5</v>
      </c>
      <c r="J308" s="156">
        <v>20000</v>
      </c>
      <c r="K308" s="156">
        <v>4106.3</v>
      </c>
      <c r="L308" s="156">
        <v>20000</v>
      </c>
      <c r="M308" s="156">
        <v>34.380000000000003</v>
      </c>
      <c r="N308" s="156">
        <v>20000</v>
      </c>
      <c r="O308" s="156">
        <v>20000</v>
      </c>
      <c r="P308" s="156">
        <v>20000</v>
      </c>
      <c r="Q308" s="156">
        <v>20000</v>
      </c>
      <c r="R308" s="156">
        <v>20000</v>
      </c>
      <c r="S308" s="156">
        <f t="shared" si="102"/>
        <v>0</v>
      </c>
      <c r="T308" s="156">
        <f t="shared" si="103"/>
        <v>0</v>
      </c>
      <c r="U308" s="140">
        <f t="shared" si="104"/>
        <v>0</v>
      </c>
      <c r="V308" s="140">
        <f t="shared" si="105"/>
        <v>-0.87167499999999998</v>
      </c>
      <c r="W308" s="140">
        <f t="shared" si="106"/>
        <v>-0.79468500000000009</v>
      </c>
      <c r="X308" s="140">
        <f t="shared" si="107"/>
        <v>-0.99828099999999997</v>
      </c>
      <c r="Y308" s="140">
        <f t="shared" si="108"/>
        <v>0</v>
      </c>
      <c r="Z308" s="140">
        <f t="shared" si="109"/>
        <v>0.59996103643093712</v>
      </c>
      <c r="AA308" s="140">
        <f t="shared" si="110"/>
        <v>0</v>
      </c>
      <c r="AB308" s="140">
        <f t="shared" si="111"/>
        <v>-0.99162749920853321</v>
      </c>
      <c r="AC308" s="140">
        <f t="shared" si="112"/>
        <v>0</v>
      </c>
      <c r="AD308" s="140">
        <f t="shared" si="113"/>
        <v>0</v>
      </c>
      <c r="AE308" s="140">
        <f t="shared" si="114"/>
        <v>0</v>
      </c>
      <c r="AF308" s="140">
        <f t="shared" si="115"/>
        <v>0</v>
      </c>
      <c r="AG308" s="140">
        <f t="shared" si="116"/>
        <v>0</v>
      </c>
      <c r="AH308" s="140">
        <f t="shared" si="117"/>
        <v>0</v>
      </c>
      <c r="AI308" s="140">
        <f t="shared" si="118"/>
        <v>0</v>
      </c>
      <c r="AJ308" s="140">
        <f t="shared" si="119"/>
        <v>0</v>
      </c>
      <c r="AK308" s="140">
        <f t="shared" si="120"/>
        <v>0</v>
      </c>
      <c r="AL308" s="140">
        <f t="shared" si="121"/>
        <v>0</v>
      </c>
      <c r="AM308" t="str">
        <f t="shared" si="122"/>
        <v>4120-000: Part-time Salaries</v>
      </c>
      <c r="AN308" s="140">
        <f t="shared" si="123"/>
        <v>0</v>
      </c>
      <c r="AO308" s="140">
        <f t="shared" si="124"/>
        <v>0</v>
      </c>
      <c r="AP308" s="1" t="str">
        <f>IF(AND(AO308&gt;0, _xlfn.XLOOKUP($AM308, Discretionaries!$A$2:'Discretionaries'!$A$150, Discretionaries!$B$2:'Discretionaries'!$B$150)), (1+AN308)*$N308, "")</f>
        <v/>
      </c>
      <c r="AQ308" s="1" t="str">
        <f>IF(AND(AO308&gt;0, _xlfn.XLOOKUP($AM308, Discretionaries!$A$2:'Discretionaries'!$A$150, Discretionaries!$B$2:'Discretionaries'!$B$150)),AP308-$Q308,"")</f>
        <v/>
      </c>
      <c r="AR308" s="140">
        <f>IF(AG308="", 0-CPI!$B$15, AG308-CPI!$B$15)</f>
        <v>-3.8999999999999993E-2</v>
      </c>
      <c r="AS308" s="1" t="str">
        <f>IF(AND(AR308&gt;0, _xlfn.XLOOKUP($AM308, Discretionaries!$A$2:'Discretionaries'!$A$150, Discretionaries!$B$2:'Discretionaries'!$B$150)), (1+CPI!$B$15)*$N308, "")</f>
        <v/>
      </c>
      <c r="AT308" s="1" t="str">
        <f>IF(AND(AR308&gt;0, _xlfn.XLOOKUP($AM308, Discretionaries!$A$2:'Discretionaries'!$A$150, Discretionaries!$B$2:'Discretionaries'!$B$150)),AS308-$Q308,"")</f>
        <v/>
      </c>
    </row>
    <row r="309" spans="1:46" x14ac:dyDescent="0.3">
      <c r="A309" t="s">
        <v>431</v>
      </c>
      <c r="B309" t="str">
        <f t="shared" si="100"/>
        <v>23</v>
      </c>
      <c r="C309" t="s">
        <v>432</v>
      </c>
      <c r="D309" t="str">
        <f t="shared" si="101"/>
        <v>22</v>
      </c>
      <c r="E309" t="s">
        <v>11</v>
      </c>
      <c r="F309" s="139" t="s">
        <v>39</v>
      </c>
      <c r="G309" t="s">
        <v>40</v>
      </c>
      <c r="H309" s="156">
        <v>676177</v>
      </c>
      <c r="I309" s="156">
        <v>1056477.3400000001</v>
      </c>
      <c r="J309" s="156">
        <v>723316</v>
      </c>
      <c r="K309" s="156">
        <v>982088.02</v>
      </c>
      <c r="L309" s="156">
        <v>845286</v>
      </c>
      <c r="M309" s="156">
        <v>817401.21</v>
      </c>
      <c r="N309" s="156">
        <v>1338816</v>
      </c>
      <c r="O309" s="156">
        <v>1371488</v>
      </c>
      <c r="P309" s="156">
        <v>1371488</v>
      </c>
      <c r="Q309" s="156">
        <v>1371488</v>
      </c>
      <c r="R309" s="156">
        <v>1338816</v>
      </c>
      <c r="S309" s="156">
        <f t="shared" si="102"/>
        <v>32672</v>
      </c>
      <c r="T309" s="156">
        <f t="shared" si="103"/>
        <v>32672</v>
      </c>
      <c r="U309" s="140">
        <f t="shared" si="104"/>
        <v>2.4403652182226683E-2</v>
      </c>
      <c r="V309" s="140">
        <f t="shared" si="105"/>
        <v>0.56242720471119256</v>
      </c>
      <c r="W309" s="140">
        <f t="shared" si="106"/>
        <v>0.35775790940612406</v>
      </c>
      <c r="X309" s="140">
        <f t="shared" si="107"/>
        <v>-3.2988586111682955E-2</v>
      </c>
      <c r="Y309" s="140">
        <f t="shared" si="108"/>
        <v>6.971399500426663E-2</v>
      </c>
      <c r="Z309" s="140">
        <f t="shared" si="109"/>
        <v>-7.0412603454419631E-2</v>
      </c>
      <c r="AA309" s="140">
        <f t="shared" si="110"/>
        <v>0.16862616062689059</v>
      </c>
      <c r="AB309" s="140">
        <f t="shared" si="111"/>
        <v>-0.16769047849702928</v>
      </c>
      <c r="AC309" s="140">
        <f t="shared" si="112"/>
        <v>0.5838615569168305</v>
      </c>
      <c r="AD309" s="140">
        <f t="shared" si="113"/>
        <v>0.97997861506676509</v>
      </c>
      <c r="AE309" s="140">
        <f t="shared" si="114"/>
        <v>2.4403652182226683E-2</v>
      </c>
      <c r="AF309" s="140">
        <f t="shared" si="115"/>
        <v>2.4403652182226683E-2</v>
      </c>
      <c r="AG309" s="140">
        <f t="shared" si="116"/>
        <v>2.4403652182226683E-2</v>
      </c>
      <c r="AH309" s="140">
        <f t="shared" si="117"/>
        <v>0</v>
      </c>
      <c r="AI309" s="140">
        <f t="shared" si="118"/>
        <v>1.0282973245171012</v>
      </c>
      <c r="AJ309" s="140">
        <f t="shared" si="119"/>
        <v>1.0282973245171012</v>
      </c>
      <c r="AK309" s="140">
        <f t="shared" si="120"/>
        <v>1.0282973245171012</v>
      </c>
      <c r="AL309" s="140">
        <f t="shared" si="121"/>
        <v>0.97997861506676509</v>
      </c>
      <c r="AM309" t="str">
        <f t="shared" si="122"/>
        <v>4140-000: Overtime Salaries</v>
      </c>
      <c r="AN309" s="140">
        <f t="shared" si="123"/>
        <v>0.27406723751599588</v>
      </c>
      <c r="AO309" s="140">
        <f t="shared" si="124"/>
        <v>-0.2496635853337692</v>
      </c>
      <c r="AP309" s="1" t="str">
        <f>IF(AND(AO309&gt;0, _xlfn.XLOOKUP($AM309, Discretionaries!$A$2:'Discretionaries'!$A$150, Discretionaries!$B$2:'Discretionaries'!$B$150)), (1+AN309)*$N309, "")</f>
        <v/>
      </c>
      <c r="AQ309" s="1" t="str">
        <f>IF(AND(AO309&gt;0, _xlfn.XLOOKUP($AM309, Discretionaries!$A$2:'Discretionaries'!$A$150, Discretionaries!$B$2:'Discretionaries'!$B$150)),AP309-$Q309,"")</f>
        <v/>
      </c>
      <c r="AR309" s="140">
        <f>IF(AG309="", 0-CPI!$B$15, AG309-CPI!$B$15)</f>
        <v>-1.459634781777331E-2</v>
      </c>
      <c r="AS309" s="1" t="str">
        <f>IF(AND(AR309&gt;0, _xlfn.XLOOKUP($AM309, Discretionaries!$A$2:'Discretionaries'!$A$150, Discretionaries!$B$2:'Discretionaries'!$B$150)), (1+CPI!$B$15)*$N309, "")</f>
        <v/>
      </c>
      <c r="AT309" s="1" t="str">
        <f>IF(AND(AR309&gt;0, _xlfn.XLOOKUP($AM309, Discretionaries!$A$2:'Discretionaries'!$A$150, Discretionaries!$B$2:'Discretionaries'!$B$150)),AS309-$Q309,"")</f>
        <v/>
      </c>
    </row>
    <row r="310" spans="1:46" x14ac:dyDescent="0.3">
      <c r="A310" t="s">
        <v>431</v>
      </c>
      <c r="B310" t="str">
        <f t="shared" si="100"/>
        <v>23</v>
      </c>
      <c r="C310" t="s">
        <v>432</v>
      </c>
      <c r="D310" t="str">
        <f t="shared" si="101"/>
        <v>22</v>
      </c>
      <c r="E310" t="s">
        <v>11</v>
      </c>
      <c r="F310" s="139" t="s">
        <v>222</v>
      </c>
      <c r="G310" t="s">
        <v>266</v>
      </c>
      <c r="H310" s="156">
        <v>0</v>
      </c>
      <c r="I310" s="156">
        <v>0</v>
      </c>
      <c r="J310" s="156">
        <v>0</v>
      </c>
      <c r="K310" s="156">
        <v>0</v>
      </c>
      <c r="L310" s="156">
        <v>0</v>
      </c>
      <c r="M310" s="156">
        <v>0</v>
      </c>
      <c r="N310" s="156">
        <v>46480</v>
      </c>
      <c r="O310" s="156">
        <v>61513</v>
      </c>
      <c r="P310" s="156">
        <v>61513</v>
      </c>
      <c r="Q310" s="156">
        <v>61513</v>
      </c>
      <c r="R310" s="156">
        <v>61513</v>
      </c>
      <c r="S310" s="156">
        <f t="shared" si="102"/>
        <v>15033</v>
      </c>
      <c r="T310" s="156">
        <f t="shared" si="103"/>
        <v>0</v>
      </c>
      <c r="U310" s="140">
        <f t="shared" si="104"/>
        <v>0.32342943201376934</v>
      </c>
      <c r="V310" s="140" t="str">
        <f t="shared" si="105"/>
        <v/>
      </c>
      <c r="W310" s="140" t="str">
        <f t="shared" si="106"/>
        <v/>
      </c>
      <c r="X310" s="140" t="str">
        <f t="shared" si="107"/>
        <v/>
      </c>
      <c r="Y310" s="140" t="str">
        <f t="shared" si="108"/>
        <v/>
      </c>
      <c r="Z310" s="140" t="str">
        <f t="shared" si="109"/>
        <v/>
      </c>
      <c r="AA310" s="140" t="str">
        <f t="shared" si="110"/>
        <v/>
      </c>
      <c r="AB310" s="140" t="str">
        <f t="shared" si="111"/>
        <v/>
      </c>
      <c r="AC310" s="140" t="str">
        <f t="shared" si="112"/>
        <v/>
      </c>
      <c r="AD310" s="140" t="str">
        <f t="shared" si="113"/>
        <v/>
      </c>
      <c r="AE310" s="140">
        <f t="shared" si="114"/>
        <v>0.32342943201376934</v>
      </c>
      <c r="AF310" s="140">
        <f t="shared" si="115"/>
        <v>0.32342943201376934</v>
      </c>
      <c r="AG310" s="140">
        <f t="shared" si="116"/>
        <v>0.32342943201376934</v>
      </c>
      <c r="AH310" s="140">
        <f t="shared" si="117"/>
        <v>0.32342943201376934</v>
      </c>
      <c r="AI310" s="140" t="str">
        <f t="shared" si="118"/>
        <v/>
      </c>
      <c r="AJ310" s="140" t="str">
        <f t="shared" si="119"/>
        <v/>
      </c>
      <c r="AK310" s="140" t="str">
        <f t="shared" si="120"/>
        <v/>
      </c>
      <c r="AL310" s="140" t="str">
        <f t="shared" si="121"/>
        <v/>
      </c>
      <c r="AM310" t="str">
        <f t="shared" si="122"/>
        <v>4151-000: Contractually Mandated Training Overtime</v>
      </c>
      <c r="AN310" s="140">
        <f t="shared" si="123"/>
        <v>0</v>
      </c>
      <c r="AO310" s="140">
        <f t="shared" si="124"/>
        <v>0.32342943201376934</v>
      </c>
      <c r="AP310" s="1" t="str">
        <f>IF(AND(AO310&gt;0, _xlfn.XLOOKUP($AM310, Discretionaries!$A$2:'Discretionaries'!$A$150, Discretionaries!$B$2:'Discretionaries'!$B$150)), (1+AN310)*$N310, "")</f>
        <v/>
      </c>
      <c r="AQ310" s="1" t="str">
        <f>IF(AND(AO310&gt;0, _xlfn.XLOOKUP($AM310, Discretionaries!$A$2:'Discretionaries'!$A$150, Discretionaries!$B$2:'Discretionaries'!$B$150)),AP310-$Q310,"")</f>
        <v/>
      </c>
      <c r="AR310" s="140">
        <f>IF(AG310="", 0-CPI!$B$15, AG310-CPI!$B$15)</f>
        <v>0.28442943201376936</v>
      </c>
      <c r="AS310" s="1" t="str">
        <f>IF(AND(AR310&gt;0, _xlfn.XLOOKUP($AM310, Discretionaries!$A$2:'Discretionaries'!$A$150, Discretionaries!$B$2:'Discretionaries'!$B$150)), (1+CPI!$B$15)*$N310, "")</f>
        <v/>
      </c>
      <c r="AT310" s="1" t="str">
        <f>IF(AND(AR310&gt;0, _xlfn.XLOOKUP($AM310, Discretionaries!$A$2:'Discretionaries'!$A$150, Discretionaries!$B$2:'Discretionaries'!$B$150)),AS310-$Q310,"")</f>
        <v/>
      </c>
    </row>
    <row r="311" spans="1:46" x14ac:dyDescent="0.3">
      <c r="A311" t="s">
        <v>431</v>
      </c>
      <c r="B311" t="str">
        <f t="shared" si="100"/>
        <v>23</v>
      </c>
      <c r="C311" t="s">
        <v>432</v>
      </c>
      <c r="D311" t="str">
        <f t="shared" si="101"/>
        <v>22</v>
      </c>
      <c r="E311" t="s">
        <v>11</v>
      </c>
      <c r="F311" s="139" t="s">
        <v>278</v>
      </c>
      <c r="G311" t="s">
        <v>279</v>
      </c>
      <c r="H311" s="156">
        <v>0</v>
      </c>
      <c r="I311" s="156">
        <v>0</v>
      </c>
      <c r="J311" s="156">
        <v>0</v>
      </c>
      <c r="K311" s="156">
        <v>0</v>
      </c>
      <c r="L311" s="156">
        <v>0</v>
      </c>
      <c r="M311" s="156">
        <v>0</v>
      </c>
      <c r="N311" s="156">
        <v>10752</v>
      </c>
      <c r="O311" s="156">
        <v>11235</v>
      </c>
      <c r="P311" s="156">
        <v>11235</v>
      </c>
      <c r="Q311" s="156">
        <v>11235</v>
      </c>
      <c r="R311" s="156">
        <v>10752</v>
      </c>
      <c r="S311" s="156">
        <f t="shared" si="102"/>
        <v>483</v>
      </c>
      <c r="T311" s="156">
        <f t="shared" si="103"/>
        <v>483</v>
      </c>
      <c r="U311" s="140">
        <f t="shared" si="104"/>
        <v>4.4921875E-2</v>
      </c>
      <c r="V311" s="140" t="str">
        <f t="shared" si="105"/>
        <v/>
      </c>
      <c r="W311" s="140" t="str">
        <f t="shared" si="106"/>
        <v/>
      </c>
      <c r="X311" s="140" t="str">
        <f t="shared" si="107"/>
        <v/>
      </c>
      <c r="Y311" s="140" t="str">
        <f t="shared" si="108"/>
        <v/>
      </c>
      <c r="Z311" s="140" t="str">
        <f t="shared" si="109"/>
        <v/>
      </c>
      <c r="AA311" s="140" t="str">
        <f t="shared" si="110"/>
        <v/>
      </c>
      <c r="AB311" s="140" t="str">
        <f t="shared" si="111"/>
        <v/>
      </c>
      <c r="AC311" s="140" t="str">
        <f t="shared" si="112"/>
        <v/>
      </c>
      <c r="AD311" s="140" t="str">
        <f t="shared" si="113"/>
        <v/>
      </c>
      <c r="AE311" s="140">
        <f t="shared" si="114"/>
        <v>4.4921875E-2</v>
      </c>
      <c r="AF311" s="140">
        <f t="shared" si="115"/>
        <v>4.4921875E-2</v>
      </c>
      <c r="AG311" s="140">
        <f t="shared" si="116"/>
        <v>4.4921875E-2</v>
      </c>
      <c r="AH311" s="140">
        <f t="shared" si="117"/>
        <v>0</v>
      </c>
      <c r="AI311" s="140" t="str">
        <f t="shared" si="118"/>
        <v/>
      </c>
      <c r="AJ311" s="140" t="str">
        <f t="shared" si="119"/>
        <v/>
      </c>
      <c r="AK311" s="140" t="str">
        <f t="shared" si="120"/>
        <v/>
      </c>
      <c r="AL311" s="140" t="str">
        <f t="shared" si="121"/>
        <v/>
      </c>
      <c r="AM311" t="str">
        <f t="shared" si="122"/>
        <v>4152-000: Concurrent Duty Overtime</v>
      </c>
      <c r="AN311" s="140">
        <f t="shared" si="123"/>
        <v>0</v>
      </c>
      <c r="AO311" s="140">
        <f t="shared" si="124"/>
        <v>4.4921875E-2</v>
      </c>
      <c r="AP311" s="1" t="str">
        <f>IF(AND(AO311&gt;0, _xlfn.XLOOKUP($AM311, Discretionaries!$A$2:'Discretionaries'!$A$150, Discretionaries!$B$2:'Discretionaries'!$B$150)), (1+AN311)*$N311, "")</f>
        <v/>
      </c>
      <c r="AQ311" s="1" t="str">
        <f>IF(AND(AO311&gt;0, _xlfn.XLOOKUP($AM311, Discretionaries!$A$2:'Discretionaries'!$A$150, Discretionaries!$B$2:'Discretionaries'!$B$150)),AP311-$Q311,"")</f>
        <v/>
      </c>
      <c r="AR311" s="140">
        <f>IF(AG311="", 0-CPI!$B$15, AG311-CPI!$B$15)</f>
        <v>5.921875000000007E-3</v>
      </c>
      <c r="AS311" s="1" t="str">
        <f>IF(AND(AR311&gt;0, _xlfn.XLOOKUP($AM311, Discretionaries!$A$2:'Discretionaries'!$A$150, Discretionaries!$B$2:'Discretionaries'!$B$150)), (1+CPI!$B$15)*$N311, "")</f>
        <v/>
      </c>
      <c r="AT311" s="1" t="str">
        <f>IF(AND(AR311&gt;0, _xlfn.XLOOKUP($AM311, Discretionaries!$A$2:'Discretionaries'!$A$150, Discretionaries!$B$2:'Discretionaries'!$B$150)),AS311-$Q311,"")</f>
        <v/>
      </c>
    </row>
    <row r="312" spans="1:46" x14ac:dyDescent="0.3">
      <c r="A312" t="s">
        <v>431</v>
      </c>
      <c r="B312" t="str">
        <f t="shared" si="100"/>
        <v>23</v>
      </c>
      <c r="C312" t="s">
        <v>432</v>
      </c>
      <c r="D312" t="str">
        <f t="shared" si="101"/>
        <v>22</v>
      </c>
      <c r="E312" t="s">
        <v>11</v>
      </c>
      <c r="F312" s="139" t="s">
        <v>240</v>
      </c>
      <c r="G312" t="s">
        <v>241</v>
      </c>
      <c r="H312" s="156">
        <v>138155</v>
      </c>
      <c r="I312" s="156">
        <v>112953.19</v>
      </c>
      <c r="J312" s="156">
        <v>139422</v>
      </c>
      <c r="K312" s="156">
        <v>108930.75</v>
      </c>
      <c r="L312" s="156">
        <v>145046</v>
      </c>
      <c r="M312" s="156">
        <v>136709.04</v>
      </c>
      <c r="N312" s="156">
        <v>163149</v>
      </c>
      <c r="O312" s="156">
        <v>166652</v>
      </c>
      <c r="P312" s="156">
        <v>166652</v>
      </c>
      <c r="Q312" s="156">
        <v>166652</v>
      </c>
      <c r="R312" s="156">
        <v>166652</v>
      </c>
      <c r="S312" s="156">
        <f t="shared" si="102"/>
        <v>3503</v>
      </c>
      <c r="T312" s="156">
        <f t="shared" si="103"/>
        <v>0</v>
      </c>
      <c r="U312" s="140">
        <f t="shared" si="104"/>
        <v>2.147117052510282E-2</v>
      </c>
      <c r="V312" s="140">
        <f t="shared" si="105"/>
        <v>-0.18241692302124424</v>
      </c>
      <c r="W312" s="140">
        <f t="shared" si="106"/>
        <v>-0.21869755131901708</v>
      </c>
      <c r="X312" s="140">
        <f t="shared" si="107"/>
        <v>-5.7478041448919596E-2</v>
      </c>
      <c r="Y312" s="140">
        <f t="shared" si="108"/>
        <v>9.1708588179942822E-3</v>
      </c>
      <c r="Z312" s="140">
        <f t="shared" si="109"/>
        <v>-3.5611566171792071E-2</v>
      </c>
      <c r="AA312" s="140">
        <f t="shared" si="110"/>
        <v>4.0337966748432819E-2</v>
      </c>
      <c r="AB312" s="140">
        <f t="shared" si="111"/>
        <v>0.25500870966187239</v>
      </c>
      <c r="AC312" s="140">
        <f t="shared" si="112"/>
        <v>0.12480868138383686</v>
      </c>
      <c r="AD312" s="140">
        <f t="shared" si="113"/>
        <v>0.18091274293366147</v>
      </c>
      <c r="AE312" s="140">
        <f t="shared" si="114"/>
        <v>2.147117052510282E-2</v>
      </c>
      <c r="AF312" s="140">
        <f t="shared" si="115"/>
        <v>2.147117052510282E-2</v>
      </c>
      <c r="AG312" s="140">
        <f t="shared" si="116"/>
        <v>2.147117052510282E-2</v>
      </c>
      <c r="AH312" s="140">
        <f t="shared" si="117"/>
        <v>2.147117052510282E-2</v>
      </c>
      <c r="AI312" s="140">
        <f t="shared" si="118"/>
        <v>0.20626832181245702</v>
      </c>
      <c r="AJ312" s="140">
        <f t="shared" si="119"/>
        <v>0.20626832181245702</v>
      </c>
      <c r="AK312" s="140">
        <f t="shared" si="120"/>
        <v>0.20626832181245702</v>
      </c>
      <c r="AL312" s="140">
        <f t="shared" si="121"/>
        <v>0.20626832181245702</v>
      </c>
      <c r="AM312" t="str">
        <f t="shared" si="122"/>
        <v>4193-000: Holiday Salaries</v>
      </c>
      <c r="AN312" s="140">
        <f t="shared" si="123"/>
        <v>5.8105835650087985E-2</v>
      </c>
      <c r="AO312" s="140">
        <f t="shared" si="124"/>
        <v>-3.6634665124985165E-2</v>
      </c>
      <c r="AP312" s="1" t="str">
        <f>IF(AND(AO312&gt;0, _xlfn.XLOOKUP($AM312, Discretionaries!$A$2:'Discretionaries'!$A$150, Discretionaries!$B$2:'Discretionaries'!$B$150)), (1+AN312)*$N312, "")</f>
        <v/>
      </c>
      <c r="AQ312" s="1" t="str">
        <f>IF(AND(AO312&gt;0, _xlfn.XLOOKUP($AM312, Discretionaries!$A$2:'Discretionaries'!$A$150, Discretionaries!$B$2:'Discretionaries'!$B$150)),AP312-$Q312,"")</f>
        <v/>
      </c>
      <c r="AR312" s="140">
        <f>IF(AG312="", 0-CPI!$B$15, AG312-CPI!$B$15)</f>
        <v>-1.7528829474897173E-2</v>
      </c>
      <c r="AS312" s="1" t="str">
        <f>IF(AND(AR312&gt;0, _xlfn.XLOOKUP($AM312, Discretionaries!$A$2:'Discretionaries'!$A$150, Discretionaries!$B$2:'Discretionaries'!$B$150)), (1+CPI!$B$15)*$N312, "")</f>
        <v/>
      </c>
      <c r="AT312" s="1" t="str">
        <f>IF(AND(AR312&gt;0, _xlfn.XLOOKUP($AM312, Discretionaries!$A$2:'Discretionaries'!$A$150, Discretionaries!$B$2:'Discretionaries'!$B$150)),AS312-$Q312,"")</f>
        <v/>
      </c>
    </row>
    <row r="313" spans="1:46" x14ac:dyDescent="0.3">
      <c r="A313" t="s">
        <v>431</v>
      </c>
      <c r="B313" t="str">
        <f t="shared" si="100"/>
        <v>23</v>
      </c>
      <c r="C313" t="s">
        <v>432</v>
      </c>
      <c r="D313" t="str">
        <f t="shared" si="101"/>
        <v>22</v>
      </c>
      <c r="E313" t="s">
        <v>14</v>
      </c>
      <c r="F313" s="139" t="s">
        <v>41</v>
      </c>
      <c r="G313" t="s">
        <v>242</v>
      </c>
      <c r="H313" s="156">
        <v>0</v>
      </c>
      <c r="I313" s="156">
        <v>0</v>
      </c>
      <c r="J313" s="156">
        <v>0</v>
      </c>
      <c r="K313" s="156">
        <v>0</v>
      </c>
      <c r="L313" s="156">
        <v>0</v>
      </c>
      <c r="M313" s="156">
        <v>0</v>
      </c>
      <c r="N313" s="156">
        <v>0</v>
      </c>
      <c r="O313" s="156">
        <v>0</v>
      </c>
      <c r="P313" s="156">
        <v>0</v>
      </c>
      <c r="Q313" s="156">
        <v>0</v>
      </c>
      <c r="R313" s="156">
        <v>0</v>
      </c>
      <c r="S313" s="156">
        <f t="shared" si="102"/>
        <v>0</v>
      </c>
      <c r="T313" s="156">
        <f t="shared" si="103"/>
        <v>0</v>
      </c>
      <c r="U313" s="140" t="str">
        <f t="shared" si="104"/>
        <v/>
      </c>
      <c r="V313" s="140" t="str">
        <f t="shared" si="105"/>
        <v/>
      </c>
      <c r="W313" s="140" t="str">
        <f t="shared" si="106"/>
        <v/>
      </c>
      <c r="X313" s="140" t="str">
        <f t="shared" si="107"/>
        <v/>
      </c>
      <c r="Y313" s="140" t="str">
        <f t="shared" si="108"/>
        <v/>
      </c>
      <c r="Z313" s="140" t="str">
        <f t="shared" si="109"/>
        <v/>
      </c>
      <c r="AA313" s="140" t="str">
        <f t="shared" si="110"/>
        <v/>
      </c>
      <c r="AB313" s="140" t="str">
        <f t="shared" si="111"/>
        <v/>
      </c>
      <c r="AC313" s="140" t="str">
        <f t="shared" si="112"/>
        <v/>
      </c>
      <c r="AD313" s="140" t="str">
        <f t="shared" si="113"/>
        <v/>
      </c>
      <c r="AE313" s="140" t="str">
        <f t="shared" si="114"/>
        <v/>
      </c>
      <c r="AF313" s="140" t="str">
        <f t="shared" si="115"/>
        <v/>
      </c>
      <c r="AG313" s="140" t="str">
        <f t="shared" si="116"/>
        <v/>
      </c>
      <c r="AH313" s="140" t="str">
        <f t="shared" si="117"/>
        <v/>
      </c>
      <c r="AI313" s="140" t="str">
        <f t="shared" si="118"/>
        <v/>
      </c>
      <c r="AJ313" s="140" t="str">
        <f t="shared" si="119"/>
        <v/>
      </c>
      <c r="AK313" s="140" t="str">
        <f t="shared" si="120"/>
        <v/>
      </c>
      <c r="AL313" s="140" t="str">
        <f t="shared" si="121"/>
        <v/>
      </c>
      <c r="AM313" t="str">
        <f t="shared" si="122"/>
        <v>4215-000: Life Ins Benefits</v>
      </c>
      <c r="AN313" s="140">
        <f t="shared" si="123"/>
        <v>0</v>
      </c>
      <c r="AO313" s="140">
        <f t="shared" si="124"/>
        <v>0</v>
      </c>
      <c r="AP313" s="1" t="str">
        <f>IF(AND(AO313&gt;0, _xlfn.XLOOKUP($AM313, Discretionaries!$A$2:'Discretionaries'!$A$150, Discretionaries!$B$2:'Discretionaries'!$B$150)), (1+AN313)*$N313, "")</f>
        <v/>
      </c>
      <c r="AQ313" s="1" t="str">
        <f>IF(AND(AO313&gt;0, _xlfn.XLOOKUP($AM313, Discretionaries!$A$2:'Discretionaries'!$A$150, Discretionaries!$B$2:'Discretionaries'!$B$150)),AP313-$Q313,"")</f>
        <v/>
      </c>
      <c r="AR313" s="140">
        <f>IF(AG313="", 0-CPI!$B$15, AG313-CPI!$B$15)</f>
        <v>-3.8999999999999993E-2</v>
      </c>
      <c r="AS313" s="1" t="str">
        <f>IF(AND(AR313&gt;0, _xlfn.XLOOKUP($AM313, Discretionaries!$A$2:'Discretionaries'!$A$150, Discretionaries!$B$2:'Discretionaries'!$B$150)), (1+CPI!$B$15)*$N313, "")</f>
        <v/>
      </c>
      <c r="AT313" s="1" t="str">
        <f>IF(AND(AR313&gt;0, _xlfn.XLOOKUP($AM313, Discretionaries!$A$2:'Discretionaries'!$A$150, Discretionaries!$B$2:'Discretionaries'!$B$150)),AS313-$Q313,"")</f>
        <v/>
      </c>
    </row>
    <row r="314" spans="1:46" x14ac:dyDescent="0.3">
      <c r="A314" t="s">
        <v>431</v>
      </c>
      <c r="B314" t="str">
        <f t="shared" si="100"/>
        <v>23</v>
      </c>
      <c r="C314" t="s">
        <v>432</v>
      </c>
      <c r="D314" t="str">
        <f t="shared" si="101"/>
        <v>22</v>
      </c>
      <c r="E314" t="s">
        <v>14</v>
      </c>
      <c r="F314" s="139" t="s">
        <v>15</v>
      </c>
      <c r="G314" t="s">
        <v>16</v>
      </c>
      <c r="H314" s="156">
        <v>1240</v>
      </c>
      <c r="I314" s="156">
        <v>214.85</v>
      </c>
      <c r="J314" s="156">
        <v>1240</v>
      </c>
      <c r="K314" s="156">
        <v>410.76</v>
      </c>
      <c r="L314" s="156">
        <v>1240</v>
      </c>
      <c r="M314" s="156">
        <v>112.37</v>
      </c>
      <c r="N314" s="156">
        <v>1240</v>
      </c>
      <c r="O314" s="156">
        <v>1240</v>
      </c>
      <c r="P314" s="156">
        <v>1240</v>
      </c>
      <c r="Q314" s="156">
        <v>1240</v>
      </c>
      <c r="R314" s="156">
        <v>1240</v>
      </c>
      <c r="S314" s="156">
        <f t="shared" si="102"/>
        <v>0</v>
      </c>
      <c r="T314" s="156">
        <f t="shared" si="103"/>
        <v>0</v>
      </c>
      <c r="U314" s="140">
        <f t="shared" si="104"/>
        <v>0</v>
      </c>
      <c r="V314" s="140">
        <f t="shared" si="105"/>
        <v>-0.82673387096774198</v>
      </c>
      <c r="W314" s="140">
        <f t="shared" si="106"/>
        <v>-0.66874193548387095</v>
      </c>
      <c r="X314" s="140">
        <f t="shared" si="107"/>
        <v>-0.9093790322580646</v>
      </c>
      <c r="Y314" s="140">
        <f t="shared" si="108"/>
        <v>0</v>
      </c>
      <c r="Z314" s="140">
        <f t="shared" si="109"/>
        <v>0.91184547358622292</v>
      </c>
      <c r="AA314" s="140">
        <f t="shared" si="110"/>
        <v>0</v>
      </c>
      <c r="AB314" s="140">
        <f t="shared" si="111"/>
        <v>-0.72643392735417278</v>
      </c>
      <c r="AC314" s="140">
        <f t="shared" si="112"/>
        <v>0</v>
      </c>
      <c r="AD314" s="140">
        <f t="shared" si="113"/>
        <v>0</v>
      </c>
      <c r="AE314" s="140">
        <f t="shared" si="114"/>
        <v>0</v>
      </c>
      <c r="AF314" s="140">
        <f t="shared" si="115"/>
        <v>0</v>
      </c>
      <c r="AG314" s="140">
        <f t="shared" si="116"/>
        <v>0</v>
      </c>
      <c r="AH314" s="140">
        <f t="shared" si="117"/>
        <v>0</v>
      </c>
      <c r="AI314" s="140">
        <f t="shared" si="118"/>
        <v>0</v>
      </c>
      <c r="AJ314" s="140">
        <f t="shared" si="119"/>
        <v>0</v>
      </c>
      <c r="AK314" s="140">
        <f t="shared" si="120"/>
        <v>0</v>
      </c>
      <c r="AL314" s="140">
        <f t="shared" si="121"/>
        <v>0</v>
      </c>
      <c r="AM314" t="str">
        <f t="shared" si="122"/>
        <v>4220-000: FICA Benefits</v>
      </c>
      <c r="AN314" s="140">
        <f t="shared" si="123"/>
        <v>0</v>
      </c>
      <c r="AO314" s="140">
        <f t="shared" si="124"/>
        <v>0</v>
      </c>
      <c r="AP314" s="1" t="str">
        <f>IF(AND(AO314&gt;0, _xlfn.XLOOKUP($AM314, Discretionaries!$A$2:'Discretionaries'!$A$150, Discretionaries!$B$2:'Discretionaries'!$B$150)), (1+AN314)*$N314, "")</f>
        <v/>
      </c>
      <c r="AQ314" s="1" t="str">
        <f>IF(AND(AO314&gt;0, _xlfn.XLOOKUP($AM314, Discretionaries!$A$2:'Discretionaries'!$A$150, Discretionaries!$B$2:'Discretionaries'!$B$150)),AP314-$Q314,"")</f>
        <v/>
      </c>
      <c r="AR314" s="140">
        <f>IF(AG314="", 0-CPI!$B$15, AG314-CPI!$B$15)</f>
        <v>-3.8999999999999993E-2</v>
      </c>
      <c r="AS314" s="1" t="str">
        <f>IF(AND(AR314&gt;0, _xlfn.XLOOKUP($AM314, Discretionaries!$A$2:'Discretionaries'!$A$150, Discretionaries!$B$2:'Discretionaries'!$B$150)), (1+CPI!$B$15)*$N314, "")</f>
        <v/>
      </c>
      <c r="AT314" s="1" t="str">
        <f>IF(AND(AR314&gt;0, _xlfn.XLOOKUP($AM314, Discretionaries!$A$2:'Discretionaries'!$A$150, Discretionaries!$B$2:'Discretionaries'!$B$150)),AS314-$Q314,"")</f>
        <v/>
      </c>
    </row>
    <row r="315" spans="1:46" x14ac:dyDescent="0.3">
      <c r="A315" t="s">
        <v>431</v>
      </c>
      <c r="B315" t="str">
        <f t="shared" si="100"/>
        <v>23</v>
      </c>
      <c r="C315" t="s">
        <v>432</v>
      </c>
      <c r="D315" t="str">
        <f t="shared" si="101"/>
        <v>22</v>
      </c>
      <c r="E315" t="s">
        <v>14</v>
      </c>
      <c r="F315" s="139" t="s">
        <v>17</v>
      </c>
      <c r="G315" t="s">
        <v>18</v>
      </c>
      <c r="H315" s="156">
        <v>52940</v>
      </c>
      <c r="I315" s="156">
        <v>53367.93</v>
      </c>
      <c r="J315" s="156">
        <v>53706</v>
      </c>
      <c r="K315" s="156">
        <v>54437.77</v>
      </c>
      <c r="L315" s="156">
        <v>59989</v>
      </c>
      <c r="M315" s="156">
        <v>56383.32</v>
      </c>
      <c r="N315" s="156">
        <v>70934</v>
      </c>
      <c r="O315" s="156">
        <v>72716</v>
      </c>
      <c r="P315" s="156">
        <v>72716</v>
      </c>
      <c r="Q315" s="156">
        <v>72716</v>
      </c>
      <c r="R315" s="156">
        <v>72235</v>
      </c>
      <c r="S315" s="156">
        <f t="shared" si="102"/>
        <v>1782</v>
      </c>
      <c r="T315" s="156">
        <f t="shared" si="103"/>
        <v>481</v>
      </c>
      <c r="U315" s="140">
        <f t="shared" si="104"/>
        <v>2.512194434262836E-2</v>
      </c>
      <c r="V315" s="140">
        <f t="shared" si="105"/>
        <v>8.0833018511522539E-3</v>
      </c>
      <c r="W315" s="140">
        <f t="shared" si="106"/>
        <v>1.3625479462257416E-2</v>
      </c>
      <c r="X315" s="140">
        <f t="shared" si="107"/>
        <v>-6.0105686042441119E-2</v>
      </c>
      <c r="Y315" s="140">
        <f t="shared" si="108"/>
        <v>1.4469210426898376E-2</v>
      </c>
      <c r="Z315" s="140">
        <f t="shared" si="109"/>
        <v>2.0046496088568483E-2</v>
      </c>
      <c r="AA315" s="140">
        <f t="shared" si="110"/>
        <v>0.11698879082411649</v>
      </c>
      <c r="AB315" s="140">
        <f t="shared" si="111"/>
        <v>3.5738973143095376E-2</v>
      </c>
      <c r="AC315" s="140">
        <f t="shared" si="112"/>
        <v>0.18245011585457332</v>
      </c>
      <c r="AD315" s="140">
        <f t="shared" si="113"/>
        <v>0.33989421987155272</v>
      </c>
      <c r="AE315" s="140">
        <f t="shared" si="114"/>
        <v>2.512194434262836E-2</v>
      </c>
      <c r="AF315" s="140">
        <f t="shared" si="115"/>
        <v>2.512194434262836E-2</v>
      </c>
      <c r="AG315" s="140">
        <f t="shared" si="116"/>
        <v>2.512194434262836E-2</v>
      </c>
      <c r="AH315" s="140">
        <f t="shared" si="117"/>
        <v>1.834099303577974E-2</v>
      </c>
      <c r="AI315" s="140">
        <f t="shared" si="118"/>
        <v>0.37355496788817527</v>
      </c>
      <c r="AJ315" s="140">
        <f t="shared" si="119"/>
        <v>0.37355496788817527</v>
      </c>
      <c r="AK315" s="140">
        <f t="shared" si="120"/>
        <v>0.37355496788817527</v>
      </c>
      <c r="AL315" s="140">
        <f t="shared" si="121"/>
        <v>0.36446921042689839</v>
      </c>
      <c r="AM315" t="str">
        <f t="shared" si="122"/>
        <v>4225-000: Medicare Benefits</v>
      </c>
      <c r="AN315" s="140">
        <f t="shared" si="123"/>
        <v>0.10463603903519607</v>
      </c>
      <c r="AO315" s="140">
        <f t="shared" si="124"/>
        <v>-7.9514094692567705E-2</v>
      </c>
      <c r="AP315" s="1" t="str">
        <f>IF(AND(AO315&gt;0, _xlfn.XLOOKUP($AM315, Discretionaries!$A$2:'Discretionaries'!$A$150, Discretionaries!$B$2:'Discretionaries'!$B$150)), (1+AN315)*$N315, "")</f>
        <v/>
      </c>
      <c r="AQ315" s="1" t="str">
        <f>IF(AND(AO315&gt;0, _xlfn.XLOOKUP($AM315, Discretionaries!$A$2:'Discretionaries'!$A$150, Discretionaries!$B$2:'Discretionaries'!$B$150)),AP315-$Q315,"")</f>
        <v/>
      </c>
      <c r="AR315" s="140">
        <f>IF(AG315="", 0-CPI!$B$15, AG315-CPI!$B$15)</f>
        <v>-1.3878055657371633E-2</v>
      </c>
      <c r="AS315" s="1" t="str">
        <f>IF(AND(AR315&gt;0, _xlfn.XLOOKUP($AM315, Discretionaries!$A$2:'Discretionaries'!$A$150, Discretionaries!$B$2:'Discretionaries'!$B$150)), (1+CPI!$B$15)*$N315, "")</f>
        <v/>
      </c>
      <c r="AT315" s="1" t="str">
        <f>IF(AND(AR315&gt;0, _xlfn.XLOOKUP($AM315, Discretionaries!$A$2:'Discretionaries'!$A$150, Discretionaries!$B$2:'Discretionaries'!$B$150)),AS315-$Q315,"")</f>
        <v/>
      </c>
    </row>
    <row r="316" spans="1:46" x14ac:dyDescent="0.3">
      <c r="A316" t="s">
        <v>431</v>
      </c>
      <c r="B316" t="str">
        <f t="shared" si="100"/>
        <v>23</v>
      </c>
      <c r="C316" t="s">
        <v>432</v>
      </c>
      <c r="D316" t="str">
        <f t="shared" si="101"/>
        <v>22</v>
      </c>
      <c r="E316" t="s">
        <v>14</v>
      </c>
      <c r="F316" s="139" t="s">
        <v>43</v>
      </c>
      <c r="G316" t="s">
        <v>44</v>
      </c>
      <c r="H316" s="156">
        <v>1197863</v>
      </c>
      <c r="I316" s="156">
        <v>1207704.29</v>
      </c>
      <c r="J316" s="156">
        <v>1118032</v>
      </c>
      <c r="K316" s="156">
        <v>1149345.95</v>
      </c>
      <c r="L316" s="156">
        <v>1249568</v>
      </c>
      <c r="M316" s="156">
        <v>1190265.57</v>
      </c>
      <c r="N316" s="156">
        <v>1420191</v>
      </c>
      <c r="O316" s="156">
        <v>1455996</v>
      </c>
      <c r="P316" s="156">
        <v>1455996</v>
      </c>
      <c r="Q316" s="156">
        <v>1455996</v>
      </c>
      <c r="R316" s="156">
        <v>1446332</v>
      </c>
      <c r="S316" s="156">
        <f t="shared" si="102"/>
        <v>35805</v>
      </c>
      <c r="T316" s="156">
        <f t="shared" si="103"/>
        <v>9664</v>
      </c>
      <c r="U316" s="140">
        <f t="shared" si="104"/>
        <v>2.5211397621869171E-2</v>
      </c>
      <c r="V316" s="140">
        <f t="shared" si="105"/>
        <v>8.2157058027504289E-3</v>
      </c>
      <c r="W316" s="140">
        <f t="shared" si="106"/>
        <v>2.8008098158192211E-2</v>
      </c>
      <c r="X316" s="140">
        <f t="shared" si="107"/>
        <v>-4.7458345604240774E-2</v>
      </c>
      <c r="Y316" s="140">
        <f t="shared" si="108"/>
        <v>-6.6644516109104296E-2</v>
      </c>
      <c r="Z316" s="140">
        <f t="shared" si="109"/>
        <v>-4.8321712925272528E-2</v>
      </c>
      <c r="AA316" s="140">
        <f t="shared" si="110"/>
        <v>0.11764958426950213</v>
      </c>
      <c r="AB316" s="140">
        <f t="shared" si="111"/>
        <v>3.5602526811009436E-2</v>
      </c>
      <c r="AC316" s="140">
        <f t="shared" si="112"/>
        <v>0.13654559015595791</v>
      </c>
      <c r="AD316" s="140">
        <f t="shared" si="113"/>
        <v>0.18560386287914393</v>
      </c>
      <c r="AE316" s="140">
        <f t="shared" si="114"/>
        <v>2.5211397621869171E-2</v>
      </c>
      <c r="AF316" s="140">
        <f t="shared" si="115"/>
        <v>2.5211397621869171E-2</v>
      </c>
      <c r="AG316" s="140">
        <f t="shared" si="116"/>
        <v>2.5211397621869171E-2</v>
      </c>
      <c r="AH316" s="140">
        <f t="shared" si="117"/>
        <v>1.8406679101613796E-2</v>
      </c>
      <c r="AI316" s="140">
        <f t="shared" si="118"/>
        <v>0.2154945932882141</v>
      </c>
      <c r="AJ316" s="140">
        <f t="shared" si="119"/>
        <v>0.2154945932882141</v>
      </c>
      <c r="AK316" s="140">
        <f t="shared" si="120"/>
        <v>0.2154945932882141</v>
      </c>
      <c r="AL316" s="140">
        <f t="shared" si="121"/>
        <v>0.20742689272479406</v>
      </c>
      <c r="AM316" t="str">
        <f t="shared" si="122"/>
        <v>4230-000: Retirement Benefits</v>
      </c>
      <c r="AN316" s="140">
        <f t="shared" si="123"/>
        <v>6.2516886105451919E-2</v>
      </c>
      <c r="AO316" s="140">
        <f t="shared" si="124"/>
        <v>-3.7305488483582748E-2</v>
      </c>
      <c r="AP316" s="1" t="str">
        <f>IF(AND(AO316&gt;0, _xlfn.XLOOKUP($AM316, Discretionaries!$A$2:'Discretionaries'!$A$150, Discretionaries!$B$2:'Discretionaries'!$B$150)), (1+AN316)*$N316, "")</f>
        <v/>
      </c>
      <c r="AQ316" s="1" t="str">
        <f>IF(AND(AO316&gt;0, _xlfn.XLOOKUP($AM316, Discretionaries!$A$2:'Discretionaries'!$A$150, Discretionaries!$B$2:'Discretionaries'!$B$150)),AP316-$Q316,"")</f>
        <v/>
      </c>
      <c r="AR316" s="140">
        <f>IF(AG316="", 0-CPI!$B$15, AG316-CPI!$B$15)</f>
        <v>-1.3788602378130822E-2</v>
      </c>
      <c r="AS316" s="1" t="str">
        <f>IF(AND(AR316&gt;0, _xlfn.XLOOKUP($AM316, Discretionaries!$A$2:'Discretionaries'!$A$150, Discretionaries!$B$2:'Discretionaries'!$B$150)), (1+CPI!$B$15)*$N316, "")</f>
        <v/>
      </c>
      <c r="AT316" s="1" t="str">
        <f>IF(AND(AR316&gt;0, _xlfn.XLOOKUP($AM316, Discretionaries!$A$2:'Discretionaries'!$A$150, Discretionaries!$B$2:'Discretionaries'!$B$150)),AS316-$Q316,"")</f>
        <v/>
      </c>
    </row>
    <row r="317" spans="1:46" x14ac:dyDescent="0.3">
      <c r="A317" t="s">
        <v>431</v>
      </c>
      <c r="B317" t="str">
        <f t="shared" si="100"/>
        <v>23</v>
      </c>
      <c r="C317" t="s">
        <v>432</v>
      </c>
      <c r="D317" t="str">
        <f t="shared" si="101"/>
        <v>22</v>
      </c>
      <c r="E317" t="s">
        <v>14</v>
      </c>
      <c r="F317" s="139" t="s">
        <v>59</v>
      </c>
      <c r="G317" t="s">
        <v>60</v>
      </c>
      <c r="H317" s="156">
        <v>15000</v>
      </c>
      <c r="I317" s="156">
        <v>13351</v>
      </c>
      <c r="J317" s="156">
        <v>15000</v>
      </c>
      <c r="K317" s="156">
        <v>0</v>
      </c>
      <c r="L317" s="156">
        <v>15000</v>
      </c>
      <c r="M317" s="156">
        <v>0</v>
      </c>
      <c r="N317" s="156">
        <v>15000</v>
      </c>
      <c r="O317" s="156">
        <v>15000</v>
      </c>
      <c r="P317" s="156">
        <v>15000</v>
      </c>
      <c r="Q317" s="156">
        <v>15000</v>
      </c>
      <c r="R317" s="156">
        <v>15000</v>
      </c>
      <c r="S317" s="156">
        <f t="shared" si="102"/>
        <v>0</v>
      </c>
      <c r="T317" s="156">
        <f t="shared" si="103"/>
        <v>0</v>
      </c>
      <c r="U317" s="140">
        <f t="shared" si="104"/>
        <v>0</v>
      </c>
      <c r="V317" s="140">
        <f t="shared" si="105"/>
        <v>-0.10993333333333333</v>
      </c>
      <c r="W317" s="140">
        <f t="shared" si="106"/>
        <v>-1</v>
      </c>
      <c r="X317" s="140">
        <f t="shared" si="107"/>
        <v>-1</v>
      </c>
      <c r="Y317" s="140">
        <f t="shared" si="108"/>
        <v>0</v>
      </c>
      <c r="Z317" s="140">
        <f t="shared" si="109"/>
        <v>-1</v>
      </c>
      <c r="AA317" s="140">
        <f t="shared" si="110"/>
        <v>0</v>
      </c>
      <c r="AB317" s="140" t="str">
        <f t="shared" si="111"/>
        <v/>
      </c>
      <c r="AC317" s="140">
        <f t="shared" si="112"/>
        <v>0</v>
      </c>
      <c r="AD317" s="140">
        <f t="shared" si="113"/>
        <v>0</v>
      </c>
      <c r="AE317" s="140">
        <f t="shared" si="114"/>
        <v>0</v>
      </c>
      <c r="AF317" s="140">
        <f t="shared" si="115"/>
        <v>0</v>
      </c>
      <c r="AG317" s="140">
        <f t="shared" si="116"/>
        <v>0</v>
      </c>
      <c r="AH317" s="140">
        <f t="shared" si="117"/>
        <v>0</v>
      </c>
      <c r="AI317" s="140">
        <f t="shared" si="118"/>
        <v>0</v>
      </c>
      <c r="AJ317" s="140">
        <f t="shared" si="119"/>
        <v>0</v>
      </c>
      <c r="AK317" s="140">
        <f t="shared" si="120"/>
        <v>0</v>
      </c>
      <c r="AL317" s="140">
        <f t="shared" si="121"/>
        <v>0</v>
      </c>
      <c r="AM317" t="str">
        <f t="shared" si="122"/>
        <v>4240-000: Tuition reimbursement Benefits</v>
      </c>
      <c r="AN317" s="140">
        <f t="shared" si="123"/>
        <v>0</v>
      </c>
      <c r="AO317" s="140">
        <f t="shared" si="124"/>
        <v>0</v>
      </c>
      <c r="AP317" s="1" t="str">
        <f>IF(AND(AO317&gt;0, _xlfn.XLOOKUP($AM317, Discretionaries!$A$2:'Discretionaries'!$A$150, Discretionaries!$B$2:'Discretionaries'!$B$150)), (1+AN317)*$N317, "")</f>
        <v/>
      </c>
      <c r="AQ317" s="1" t="str">
        <f>IF(AND(AO317&gt;0, _xlfn.XLOOKUP($AM317, Discretionaries!$A$2:'Discretionaries'!$A$150, Discretionaries!$B$2:'Discretionaries'!$B$150)),AP317-$Q317,"")</f>
        <v/>
      </c>
      <c r="AR317" s="140">
        <f>IF(AG317="", 0-CPI!$B$15, AG317-CPI!$B$15)</f>
        <v>-3.8999999999999993E-2</v>
      </c>
      <c r="AS317" s="1" t="str">
        <f>IF(AND(AR317&gt;0, _xlfn.XLOOKUP($AM317, Discretionaries!$A$2:'Discretionaries'!$A$150, Discretionaries!$B$2:'Discretionaries'!$B$150)), (1+CPI!$B$15)*$N317, "")</f>
        <v/>
      </c>
      <c r="AT317" s="1" t="str">
        <f>IF(AND(AR317&gt;0, _xlfn.XLOOKUP($AM317, Discretionaries!$A$2:'Discretionaries'!$A$150, Discretionaries!$B$2:'Discretionaries'!$B$150)),AS317-$Q317,"")</f>
        <v/>
      </c>
    </row>
    <row r="318" spans="1:46" x14ac:dyDescent="0.3">
      <c r="A318" t="s">
        <v>431</v>
      </c>
      <c r="B318" t="str">
        <f t="shared" si="100"/>
        <v>23</v>
      </c>
      <c r="C318" t="s">
        <v>432</v>
      </c>
      <c r="D318" t="str">
        <f t="shared" si="101"/>
        <v>22</v>
      </c>
      <c r="E318" t="s">
        <v>14</v>
      </c>
      <c r="F318" s="139" t="s">
        <v>19</v>
      </c>
      <c r="G318" t="s">
        <v>20</v>
      </c>
      <c r="H318" s="156">
        <v>147869</v>
      </c>
      <c r="I318" s="156">
        <v>140951.28</v>
      </c>
      <c r="J318" s="156">
        <v>156595</v>
      </c>
      <c r="K318" s="156">
        <v>166632.97</v>
      </c>
      <c r="L318" s="156">
        <v>186989</v>
      </c>
      <c r="M318" s="156">
        <v>186988.87</v>
      </c>
      <c r="N318" s="156">
        <v>220933</v>
      </c>
      <c r="O318" s="156">
        <v>217643</v>
      </c>
      <c r="P318" s="156">
        <v>217643</v>
      </c>
      <c r="Q318" s="156">
        <v>217643</v>
      </c>
      <c r="R318" s="156">
        <v>217643</v>
      </c>
      <c r="S318" s="156">
        <f t="shared" si="102"/>
        <v>-3290</v>
      </c>
      <c r="T318" s="156">
        <f t="shared" si="103"/>
        <v>0</v>
      </c>
      <c r="U318" s="140">
        <f t="shared" si="104"/>
        <v>-1.4891392413084509E-2</v>
      </c>
      <c r="V318" s="140">
        <f t="shared" si="105"/>
        <v>-4.6782760416314448E-2</v>
      </c>
      <c r="W318" s="140">
        <f t="shared" si="106"/>
        <v>6.4101471949934555E-2</v>
      </c>
      <c r="X318" s="140">
        <f t="shared" si="107"/>
        <v>-6.9522806156863034E-7</v>
      </c>
      <c r="Y318" s="140">
        <f t="shared" si="108"/>
        <v>5.9011692782124717E-2</v>
      </c>
      <c r="Z318" s="140">
        <f t="shared" si="109"/>
        <v>0.18220260220410914</v>
      </c>
      <c r="AA318" s="140">
        <f t="shared" si="110"/>
        <v>0.19409304256202306</v>
      </c>
      <c r="AB318" s="140">
        <f t="shared" si="111"/>
        <v>0.12216009832868005</v>
      </c>
      <c r="AC318" s="140">
        <f t="shared" si="112"/>
        <v>0.18152939477723287</v>
      </c>
      <c r="AD318" s="140">
        <f t="shared" si="113"/>
        <v>0.49411303248145316</v>
      </c>
      <c r="AE318" s="140">
        <f t="shared" si="114"/>
        <v>-1.4891392413084509E-2</v>
      </c>
      <c r="AF318" s="140">
        <f t="shared" si="115"/>
        <v>-1.4891392413084509E-2</v>
      </c>
      <c r="AG318" s="140">
        <f t="shared" si="116"/>
        <v>-1.4891392413084509E-2</v>
      </c>
      <c r="AH318" s="140">
        <f t="shared" si="117"/>
        <v>-1.4891392413084509E-2</v>
      </c>
      <c r="AI318" s="140">
        <f t="shared" si="118"/>
        <v>0.47186360900526819</v>
      </c>
      <c r="AJ318" s="140">
        <f t="shared" si="119"/>
        <v>0.47186360900526819</v>
      </c>
      <c r="AK318" s="140">
        <f t="shared" si="120"/>
        <v>0.47186360900526819</v>
      </c>
      <c r="AL318" s="140">
        <f t="shared" si="121"/>
        <v>0.47186360900526819</v>
      </c>
      <c r="AM318" t="str">
        <f t="shared" si="122"/>
        <v>4260-000: Workers' comp Benefits</v>
      </c>
      <c r="AN318" s="140">
        <f t="shared" si="123"/>
        <v>0.14487804337379354</v>
      </c>
      <c r="AO318" s="140">
        <f t="shared" si="124"/>
        <v>-0.15976943578687805</v>
      </c>
      <c r="AP318" s="1" t="str">
        <f>IF(AND(AO318&gt;0, _xlfn.XLOOKUP($AM318, Discretionaries!$A$2:'Discretionaries'!$A$150, Discretionaries!$B$2:'Discretionaries'!$B$150)), (1+AN318)*$N318, "")</f>
        <v/>
      </c>
      <c r="AQ318" s="1" t="str">
        <f>IF(AND(AO318&gt;0, _xlfn.XLOOKUP($AM318, Discretionaries!$A$2:'Discretionaries'!$A$150, Discretionaries!$B$2:'Discretionaries'!$B$150)),AP318-$Q318,"")</f>
        <v/>
      </c>
      <c r="AR318" s="140">
        <f>IF(AG318="", 0-CPI!$B$15, AG318-CPI!$B$15)</f>
        <v>-5.38913924130845E-2</v>
      </c>
      <c r="AS318" s="1" t="str">
        <f>IF(AND(AR318&gt;0, _xlfn.XLOOKUP($AM318, Discretionaries!$A$2:'Discretionaries'!$A$150, Discretionaries!$B$2:'Discretionaries'!$B$150)), (1+CPI!$B$15)*$N318, "")</f>
        <v/>
      </c>
      <c r="AT318" s="1" t="str">
        <f>IF(AND(AR318&gt;0, _xlfn.XLOOKUP($AM318, Discretionaries!$A$2:'Discretionaries'!$A$150, Discretionaries!$B$2:'Discretionaries'!$B$150)),AS318-$Q318,"")</f>
        <v/>
      </c>
    </row>
    <row r="319" spans="1:46" x14ac:dyDescent="0.3">
      <c r="A319" t="s">
        <v>431</v>
      </c>
      <c r="B319" t="str">
        <f t="shared" si="100"/>
        <v>23</v>
      </c>
      <c r="C319" t="s">
        <v>432</v>
      </c>
      <c r="D319" t="str">
        <f t="shared" si="101"/>
        <v>22</v>
      </c>
      <c r="E319" t="s">
        <v>21</v>
      </c>
      <c r="F319" s="139" t="s">
        <v>131</v>
      </c>
      <c r="G319" t="s">
        <v>132</v>
      </c>
      <c r="H319" s="156">
        <v>50000</v>
      </c>
      <c r="I319" s="156">
        <v>73590.05</v>
      </c>
      <c r="J319" s="156">
        <v>80000</v>
      </c>
      <c r="K319" s="156">
        <v>46237.55</v>
      </c>
      <c r="L319" s="156">
        <v>100000</v>
      </c>
      <c r="M319" s="156">
        <v>98589.69</v>
      </c>
      <c r="N319" s="156">
        <v>100000</v>
      </c>
      <c r="O319" s="156">
        <v>140000</v>
      </c>
      <c r="P319" s="156">
        <v>140000</v>
      </c>
      <c r="Q319" s="156">
        <v>140000</v>
      </c>
      <c r="R319" s="156">
        <v>100000</v>
      </c>
      <c r="S319" s="156">
        <f t="shared" si="102"/>
        <v>40000</v>
      </c>
      <c r="T319" s="156">
        <f t="shared" si="103"/>
        <v>40000</v>
      </c>
      <c r="U319" s="140">
        <f t="shared" si="104"/>
        <v>0.4</v>
      </c>
      <c r="V319" s="140">
        <f t="shared" si="105"/>
        <v>0.47180100000000008</v>
      </c>
      <c r="W319" s="140">
        <f t="shared" si="106"/>
        <v>-0.42203062499999994</v>
      </c>
      <c r="X319" s="140">
        <f t="shared" si="107"/>
        <v>-1.4103099999999976E-2</v>
      </c>
      <c r="Y319" s="140">
        <f t="shared" si="108"/>
        <v>0.6</v>
      </c>
      <c r="Z319" s="140">
        <f t="shared" si="109"/>
        <v>-0.37168747677165592</v>
      </c>
      <c r="AA319" s="140">
        <f t="shared" si="110"/>
        <v>0.25</v>
      </c>
      <c r="AB319" s="140">
        <f t="shared" si="111"/>
        <v>1.1322429497237634</v>
      </c>
      <c r="AC319" s="140">
        <f t="shared" si="112"/>
        <v>0</v>
      </c>
      <c r="AD319" s="140">
        <f t="shared" si="113"/>
        <v>1</v>
      </c>
      <c r="AE319" s="140">
        <f t="shared" si="114"/>
        <v>0.4</v>
      </c>
      <c r="AF319" s="140">
        <f t="shared" si="115"/>
        <v>0.4</v>
      </c>
      <c r="AG319" s="140">
        <f t="shared" si="116"/>
        <v>0.4</v>
      </c>
      <c r="AH319" s="140">
        <f t="shared" si="117"/>
        <v>0</v>
      </c>
      <c r="AI319" s="140">
        <f t="shared" si="118"/>
        <v>1.8</v>
      </c>
      <c r="AJ319" s="140">
        <f t="shared" si="119"/>
        <v>1.8</v>
      </c>
      <c r="AK319" s="140">
        <f t="shared" si="120"/>
        <v>1.8</v>
      </c>
      <c r="AL319" s="140">
        <f t="shared" si="121"/>
        <v>1</v>
      </c>
      <c r="AM319" t="str">
        <f t="shared" si="122"/>
        <v>4241-000: Training Benefits</v>
      </c>
      <c r="AN319" s="140">
        <f t="shared" si="123"/>
        <v>0.28333333333333333</v>
      </c>
      <c r="AO319" s="140">
        <f t="shared" si="124"/>
        <v>0.1166666666666667</v>
      </c>
      <c r="AP319" s="1" t="str">
        <f>IF(AND(AO319&gt;0, _xlfn.XLOOKUP($AM319, Discretionaries!$A$2:'Discretionaries'!$A$150, Discretionaries!$B$2:'Discretionaries'!$B$150)), (1+AN319)*$N319, "")</f>
        <v/>
      </c>
      <c r="AQ319" s="1" t="str">
        <f>IF(AND(AO319&gt;0, _xlfn.XLOOKUP($AM319, Discretionaries!$A$2:'Discretionaries'!$A$150, Discretionaries!$B$2:'Discretionaries'!$B$150)),AP319-$Q319,"")</f>
        <v/>
      </c>
      <c r="AR319" s="140">
        <f>IF(AG319="", 0-CPI!$B$15, AG319-CPI!$B$15)</f>
        <v>0.36100000000000004</v>
      </c>
      <c r="AS319" s="1" t="str">
        <f>IF(AND(AR319&gt;0, _xlfn.XLOOKUP($AM319, Discretionaries!$A$2:'Discretionaries'!$A$150, Discretionaries!$B$2:'Discretionaries'!$B$150)), (1+CPI!$B$15)*$N319, "")</f>
        <v/>
      </c>
      <c r="AT319" s="1" t="str">
        <f>IF(AND(AR319&gt;0, _xlfn.XLOOKUP($AM319, Discretionaries!$A$2:'Discretionaries'!$A$150, Discretionaries!$B$2:'Discretionaries'!$B$150)),AS319-$Q319,"")</f>
        <v/>
      </c>
    </row>
    <row r="320" spans="1:46" x14ac:dyDescent="0.3">
      <c r="A320" t="s">
        <v>431</v>
      </c>
      <c r="B320" t="str">
        <f t="shared" si="100"/>
        <v>23</v>
      </c>
      <c r="C320" t="s">
        <v>432</v>
      </c>
      <c r="D320" t="str">
        <f t="shared" si="101"/>
        <v>22</v>
      </c>
      <c r="E320" t="s">
        <v>21</v>
      </c>
      <c r="F320" s="139" t="s">
        <v>225</v>
      </c>
      <c r="G320" t="s">
        <v>226</v>
      </c>
      <c r="H320" s="156">
        <v>37800</v>
      </c>
      <c r="I320" s="156">
        <v>40384.160000000003</v>
      </c>
      <c r="J320" s="156">
        <v>37800</v>
      </c>
      <c r="K320" s="156">
        <v>39653.89</v>
      </c>
      <c r="L320" s="156">
        <v>41000</v>
      </c>
      <c r="M320" s="156">
        <v>41669.15</v>
      </c>
      <c r="N320" s="156">
        <v>42500</v>
      </c>
      <c r="O320" s="156">
        <v>42500</v>
      </c>
      <c r="P320" s="156">
        <v>42500</v>
      </c>
      <c r="Q320" s="156">
        <v>42500</v>
      </c>
      <c r="R320" s="156">
        <v>42500</v>
      </c>
      <c r="S320" s="156">
        <f t="shared" si="102"/>
        <v>0</v>
      </c>
      <c r="T320" s="156">
        <f t="shared" si="103"/>
        <v>0</v>
      </c>
      <c r="U320" s="140">
        <f t="shared" si="104"/>
        <v>0</v>
      </c>
      <c r="V320" s="140">
        <f t="shared" si="105"/>
        <v>6.8364021164021252E-2</v>
      </c>
      <c r="W320" s="140">
        <f t="shared" si="106"/>
        <v>4.9044708994708981E-2</v>
      </c>
      <c r="X320" s="140">
        <f t="shared" si="107"/>
        <v>1.6320731707317109E-2</v>
      </c>
      <c r="Y320" s="140">
        <f t="shared" si="108"/>
        <v>0</v>
      </c>
      <c r="Z320" s="140">
        <f t="shared" si="109"/>
        <v>-1.8083080098731878E-2</v>
      </c>
      <c r="AA320" s="140">
        <f t="shared" si="110"/>
        <v>8.4656084656084651E-2</v>
      </c>
      <c r="AB320" s="140">
        <f t="shared" si="111"/>
        <v>5.0821243514822936E-2</v>
      </c>
      <c r="AC320" s="140">
        <f t="shared" si="112"/>
        <v>3.6585365853658534E-2</v>
      </c>
      <c r="AD320" s="140">
        <f t="shared" si="113"/>
        <v>0.12433862433862433</v>
      </c>
      <c r="AE320" s="140">
        <f t="shared" si="114"/>
        <v>0</v>
      </c>
      <c r="AF320" s="140">
        <f t="shared" si="115"/>
        <v>0</v>
      </c>
      <c r="AG320" s="140">
        <f t="shared" si="116"/>
        <v>0</v>
      </c>
      <c r="AH320" s="140">
        <f t="shared" si="117"/>
        <v>0</v>
      </c>
      <c r="AI320" s="140">
        <f t="shared" si="118"/>
        <v>0.12433862433862433</v>
      </c>
      <c r="AJ320" s="140">
        <f t="shared" si="119"/>
        <v>0.12433862433862433</v>
      </c>
      <c r="AK320" s="140">
        <f t="shared" si="120"/>
        <v>0.12433862433862433</v>
      </c>
      <c r="AL320" s="140">
        <f t="shared" si="121"/>
        <v>0.12433862433862433</v>
      </c>
      <c r="AM320" t="str">
        <f t="shared" si="122"/>
        <v>4290-000: Uniforms &amp; cleaning Benefits</v>
      </c>
      <c r="AN320" s="140">
        <f t="shared" si="123"/>
        <v>4.0413816836581067E-2</v>
      </c>
      <c r="AO320" s="140">
        <f t="shared" si="124"/>
        <v>-4.0413816836581067E-2</v>
      </c>
      <c r="AP320" s="1" t="str">
        <f>IF(AND(AO320&gt;0, _xlfn.XLOOKUP($AM320, Discretionaries!$A$2:'Discretionaries'!$A$150, Discretionaries!$B$2:'Discretionaries'!$B$150)), (1+AN320)*$N320, "")</f>
        <v/>
      </c>
      <c r="AQ320" s="1" t="str">
        <f>IF(AND(AO320&gt;0, _xlfn.XLOOKUP($AM320, Discretionaries!$A$2:'Discretionaries'!$A$150, Discretionaries!$B$2:'Discretionaries'!$B$150)),AP320-$Q320,"")</f>
        <v/>
      </c>
      <c r="AR320" s="140">
        <f>IF(AG320="", 0-CPI!$B$15, AG320-CPI!$B$15)</f>
        <v>-3.8999999999999993E-2</v>
      </c>
      <c r="AS320" s="1" t="str">
        <f>IF(AND(AR320&gt;0, _xlfn.XLOOKUP($AM320, Discretionaries!$A$2:'Discretionaries'!$A$150, Discretionaries!$B$2:'Discretionaries'!$B$150)), (1+CPI!$B$15)*$N320, "")</f>
        <v/>
      </c>
      <c r="AT320" s="1" t="str">
        <f>IF(AND(AR320&gt;0, _xlfn.XLOOKUP($AM320, Discretionaries!$A$2:'Discretionaries'!$A$150, Discretionaries!$B$2:'Discretionaries'!$B$150)),AS320-$Q320,"")</f>
        <v/>
      </c>
    </row>
    <row r="321" spans="1:46" x14ac:dyDescent="0.3">
      <c r="A321" t="s">
        <v>431</v>
      </c>
      <c r="B321" t="str">
        <f t="shared" si="100"/>
        <v>23</v>
      </c>
      <c r="C321" t="s">
        <v>432</v>
      </c>
      <c r="D321" t="str">
        <f t="shared" si="101"/>
        <v>22</v>
      </c>
      <c r="E321" t="s">
        <v>21</v>
      </c>
      <c r="F321" s="139" t="s">
        <v>28</v>
      </c>
      <c r="G321" t="s">
        <v>29</v>
      </c>
      <c r="H321" s="156">
        <v>40000</v>
      </c>
      <c r="I321" s="156">
        <v>39930.54</v>
      </c>
      <c r="J321" s="156">
        <v>41600</v>
      </c>
      <c r="K321" s="156">
        <v>42703.18</v>
      </c>
      <c r="L321" s="156">
        <v>41600</v>
      </c>
      <c r="M321" s="156">
        <v>49384.71</v>
      </c>
      <c r="N321" s="156">
        <v>41600</v>
      </c>
      <c r="O321" s="156">
        <v>43000</v>
      </c>
      <c r="P321" s="156">
        <v>43000</v>
      </c>
      <c r="Q321" s="156">
        <v>43000</v>
      </c>
      <c r="R321" s="156">
        <v>41600</v>
      </c>
      <c r="S321" s="156">
        <f t="shared" si="102"/>
        <v>1400</v>
      </c>
      <c r="T321" s="156">
        <f t="shared" si="103"/>
        <v>1400</v>
      </c>
      <c r="U321" s="140">
        <f t="shared" si="104"/>
        <v>3.3653846153846152E-2</v>
      </c>
      <c r="V321" s="140">
        <f t="shared" si="105"/>
        <v>-1.7364999999999781E-3</v>
      </c>
      <c r="W321" s="140">
        <f t="shared" si="106"/>
        <v>2.6518750000000008E-2</v>
      </c>
      <c r="X321" s="140">
        <f t="shared" si="107"/>
        <v>0.1871324519230769</v>
      </c>
      <c r="Y321" s="140">
        <f t="shared" si="108"/>
        <v>0.04</v>
      </c>
      <c r="Z321" s="140">
        <f t="shared" si="109"/>
        <v>6.9436576615292442E-2</v>
      </c>
      <c r="AA321" s="140">
        <f t="shared" si="110"/>
        <v>0</v>
      </c>
      <c r="AB321" s="140">
        <f t="shared" si="111"/>
        <v>0.15646446002382022</v>
      </c>
      <c r="AC321" s="140">
        <f t="shared" si="112"/>
        <v>0</v>
      </c>
      <c r="AD321" s="140">
        <f t="shared" si="113"/>
        <v>0.04</v>
      </c>
      <c r="AE321" s="140">
        <f t="shared" si="114"/>
        <v>3.3653846153846152E-2</v>
      </c>
      <c r="AF321" s="140">
        <f t="shared" si="115"/>
        <v>3.3653846153846152E-2</v>
      </c>
      <c r="AG321" s="140">
        <f t="shared" si="116"/>
        <v>3.3653846153846152E-2</v>
      </c>
      <c r="AH321" s="140">
        <f t="shared" si="117"/>
        <v>0</v>
      </c>
      <c r="AI321" s="140">
        <f t="shared" si="118"/>
        <v>7.4999999999999997E-2</v>
      </c>
      <c r="AJ321" s="140">
        <f t="shared" si="119"/>
        <v>7.4999999999999997E-2</v>
      </c>
      <c r="AK321" s="140">
        <f t="shared" si="120"/>
        <v>7.4999999999999997E-2</v>
      </c>
      <c r="AL321" s="140">
        <f t="shared" si="121"/>
        <v>0.04</v>
      </c>
      <c r="AM321" t="str">
        <f t="shared" si="122"/>
        <v>4330-000: MGMT services Services</v>
      </c>
      <c r="AN321" s="140">
        <f t="shared" si="123"/>
        <v>1.3333333333333334E-2</v>
      </c>
      <c r="AO321" s="140">
        <f t="shared" si="124"/>
        <v>2.0320512820512816E-2</v>
      </c>
      <c r="AP321" s="1">
        <f>IF(AND(AO321&gt;0, _xlfn.XLOOKUP($AM321, Discretionaries!$A$2:'Discretionaries'!$A$150, Discretionaries!$B$2:'Discretionaries'!$B$150)), (1+AN321)*$N321, "")</f>
        <v>42154.666666666672</v>
      </c>
      <c r="AQ321" s="1">
        <f>IF(AND(AO321&gt;0, _xlfn.XLOOKUP($AM321, Discretionaries!$A$2:'Discretionaries'!$A$150, Discretionaries!$B$2:'Discretionaries'!$B$150)),AP321-$Q321,"")</f>
        <v>-845.33333333332848</v>
      </c>
      <c r="AR321" s="140">
        <f>IF(AG321="", 0-CPI!$B$15, AG321-CPI!$B$15)</f>
        <v>-5.3461538461538408E-3</v>
      </c>
      <c r="AS321" s="1" t="str">
        <f>IF(AND(AR321&gt;0, _xlfn.XLOOKUP($AM321, Discretionaries!$A$2:'Discretionaries'!$A$150, Discretionaries!$B$2:'Discretionaries'!$B$150)), (1+CPI!$B$15)*$N321, "")</f>
        <v/>
      </c>
      <c r="AT321" s="1" t="str">
        <f>IF(AND(AR321&gt;0, _xlfn.XLOOKUP($AM321, Discretionaries!$A$2:'Discretionaries'!$A$150, Discretionaries!$B$2:'Discretionaries'!$B$150)),AS321-$Q321,"")</f>
        <v/>
      </c>
    </row>
    <row r="322" spans="1:46" x14ac:dyDescent="0.3">
      <c r="A322" t="s">
        <v>431</v>
      </c>
      <c r="B322" t="str">
        <f t="shared" ref="B322:B385" si="125">LEFT(A322, 2)</f>
        <v>23</v>
      </c>
      <c r="C322" t="s">
        <v>432</v>
      </c>
      <c r="D322" t="str">
        <f t="shared" ref="D322:D385" si="126">LEFT(C322, 2)</f>
        <v>22</v>
      </c>
      <c r="E322" t="s">
        <v>30</v>
      </c>
      <c r="F322" s="139" t="s">
        <v>31</v>
      </c>
      <c r="G322" t="s">
        <v>32</v>
      </c>
      <c r="H322" s="156">
        <v>25000</v>
      </c>
      <c r="I322" s="156">
        <v>31973.65</v>
      </c>
      <c r="J322" s="156">
        <v>25000</v>
      </c>
      <c r="K322" s="156">
        <v>114747.98</v>
      </c>
      <c r="L322" s="156">
        <v>25000</v>
      </c>
      <c r="M322" s="156">
        <v>40141.75</v>
      </c>
      <c r="N322" s="156">
        <v>30000</v>
      </c>
      <c r="O322" s="156">
        <v>35000</v>
      </c>
      <c r="P322" s="156">
        <v>35000</v>
      </c>
      <c r="Q322" s="156">
        <v>35000</v>
      </c>
      <c r="R322" s="156">
        <v>30000</v>
      </c>
      <c r="S322" s="156">
        <f t="shared" ref="S322:S385" si="127">Q322 - N322</f>
        <v>5000</v>
      </c>
      <c r="T322" s="156">
        <f t="shared" ref="T322:T385" si="128">Q322 - R322</f>
        <v>5000</v>
      </c>
      <c r="U322" s="140">
        <f t="shared" ref="U322:U385" si="129">IFERROR((Q322 - N322) / N322, "")</f>
        <v>0.16666666666666666</v>
      </c>
      <c r="V322" s="140">
        <f t="shared" ref="V322:V385" si="130">IFERROR((I322 - H322) / H322, "")</f>
        <v>0.27894600000000008</v>
      </c>
      <c r="W322" s="140">
        <f t="shared" ref="W322:W385" si="131">IFERROR((K322 - J322) / J322, "")</f>
        <v>3.5899191999999998</v>
      </c>
      <c r="X322" s="140">
        <f t="shared" ref="X322:X385" si="132">IFERROR((M322 - L322) / L322, "")</f>
        <v>0.60567000000000004</v>
      </c>
      <c r="Y322" s="140">
        <f t="shared" ref="Y322:Y385" si="133">IFERROR((J322 - H322) / H322, "")</f>
        <v>0</v>
      </c>
      <c r="Z322" s="140">
        <f t="shared" ref="Z322:Z385" si="134">IFERROR((K322 - I322) / I322, "")</f>
        <v>2.5888295518340878</v>
      </c>
      <c r="AA322" s="140">
        <f t="shared" ref="AA322:AA385" si="135">IFERROR((L322 - J322) / J322, "")</f>
        <v>0</v>
      </c>
      <c r="AB322" s="140">
        <f t="shared" ref="AB322:AB385" si="136">IFERROR((M322 - K322) / K322, "")</f>
        <v>-0.65017466974146298</v>
      </c>
      <c r="AC322" s="140">
        <f t="shared" ref="AC322:AC385" si="137">IFERROR((N322 - L322) / L322, "")</f>
        <v>0.2</v>
      </c>
      <c r="AD322" s="140">
        <f t="shared" ref="AD322:AD385" si="138">IFERROR((N322 - H322) / H322, "")</f>
        <v>0.2</v>
      </c>
      <c r="AE322" s="140">
        <f t="shared" ref="AE322:AE385" si="139">IFERROR((O322 - N322) / N322, "")</f>
        <v>0.16666666666666666</v>
      </c>
      <c r="AF322" s="140">
        <f t="shared" ref="AF322:AF385" si="140">IFERROR((P322 - N322) / N322, "")</f>
        <v>0.16666666666666666</v>
      </c>
      <c r="AG322" s="140">
        <f t="shared" ref="AG322:AG385" si="141">IFERROR((Q322 - N322) / N322, "")</f>
        <v>0.16666666666666666</v>
      </c>
      <c r="AH322" s="140">
        <f t="shared" ref="AH322:AH385" si="142">IFERROR((R322 - N322) / N322, "")</f>
        <v>0</v>
      </c>
      <c r="AI322" s="140">
        <f t="shared" ref="AI322:AI385" si="143">IFERROR((O322 - H322) / H322, "")</f>
        <v>0.4</v>
      </c>
      <c r="AJ322" s="140">
        <f t="shared" ref="AJ322:AJ385" si="144">IFERROR((P322 - H322) / H322, "")</f>
        <v>0.4</v>
      </c>
      <c r="AK322" s="140">
        <f t="shared" ref="AK322:AK385" si="145">IFERROR((Q322 - H322) / H322, "")</f>
        <v>0.4</v>
      </c>
      <c r="AL322" s="140">
        <f t="shared" ref="AL322:AL385" si="146">IFERROR((R322 - H322) / H322, "")</f>
        <v>0.2</v>
      </c>
      <c r="AM322" t="str">
        <f t="shared" ref="AM322:AM385" si="147">_xlfn.CONCAT(TRIM(F322), ": ", TRIM(G322))</f>
        <v>4610-000: General expenses Supplies</v>
      </c>
      <c r="AN322" s="140">
        <f t="shared" si="123"/>
        <v>6.6666666666666666E-2</v>
      </c>
      <c r="AO322" s="140">
        <f t="shared" si="124"/>
        <v>9.9999999999999992E-2</v>
      </c>
      <c r="AP322" s="1">
        <f>IF(AND(AO322&gt;0, _xlfn.XLOOKUP($AM322, Discretionaries!$A$2:'Discretionaries'!$A$150, Discretionaries!$B$2:'Discretionaries'!$B$150)), (1+AN322)*$N322, "")</f>
        <v>32000</v>
      </c>
      <c r="AQ322" s="1">
        <f>IF(AND(AO322&gt;0, _xlfn.XLOOKUP($AM322, Discretionaries!$A$2:'Discretionaries'!$A$150, Discretionaries!$B$2:'Discretionaries'!$B$150)),AP322-$Q322,"")</f>
        <v>-3000</v>
      </c>
      <c r="AR322" s="140">
        <f>IF(AG322="", 0-CPI!$B$15, AG322-CPI!$B$15)</f>
        <v>0.12766666666666665</v>
      </c>
      <c r="AS322" s="1">
        <f>IF(AND(AR322&gt;0, _xlfn.XLOOKUP($AM322, Discretionaries!$A$2:'Discretionaries'!$A$150, Discretionaries!$B$2:'Discretionaries'!$B$150)), (1+CPI!$B$15)*$N322, "")</f>
        <v>31169.999999999996</v>
      </c>
      <c r="AT322" s="1">
        <f>IF(AND(AR322&gt;0, _xlfn.XLOOKUP($AM322, Discretionaries!$A$2:'Discretionaries'!$A$150, Discretionaries!$B$2:'Discretionaries'!$B$150)),AS322-$Q322,"")</f>
        <v>-3830.0000000000036</v>
      </c>
    </row>
    <row r="323" spans="1:46" x14ac:dyDescent="0.3">
      <c r="A323" t="s">
        <v>431</v>
      </c>
      <c r="B323" t="str">
        <f t="shared" si="125"/>
        <v>23</v>
      </c>
      <c r="C323" t="s">
        <v>432</v>
      </c>
      <c r="D323" t="str">
        <f t="shared" si="126"/>
        <v>22</v>
      </c>
      <c r="E323" t="s">
        <v>30</v>
      </c>
      <c r="F323" s="139" t="s">
        <v>137</v>
      </c>
      <c r="G323" t="s">
        <v>138</v>
      </c>
      <c r="H323" s="156">
        <v>21000</v>
      </c>
      <c r="I323" s="156">
        <v>22818.97</v>
      </c>
      <c r="J323" s="156">
        <v>26200</v>
      </c>
      <c r="K323" s="156">
        <v>27250.52</v>
      </c>
      <c r="L323" s="156">
        <v>26200</v>
      </c>
      <c r="M323" s="156">
        <v>28084.12</v>
      </c>
      <c r="N323" s="156">
        <v>31200</v>
      </c>
      <c r="O323" s="156">
        <v>31200</v>
      </c>
      <c r="P323" s="156">
        <v>31200</v>
      </c>
      <c r="Q323" s="156">
        <v>31200</v>
      </c>
      <c r="R323" s="156">
        <v>31200</v>
      </c>
      <c r="S323" s="156">
        <f t="shared" si="127"/>
        <v>0</v>
      </c>
      <c r="T323" s="156">
        <f t="shared" si="128"/>
        <v>0</v>
      </c>
      <c r="U323" s="140">
        <f t="shared" si="129"/>
        <v>0</v>
      </c>
      <c r="V323" s="140">
        <f t="shared" si="130"/>
        <v>8.661761904761911E-2</v>
      </c>
      <c r="W323" s="140">
        <f t="shared" si="131"/>
        <v>4.0096183206106889E-2</v>
      </c>
      <c r="X323" s="140">
        <f t="shared" si="132"/>
        <v>7.1912977099236608E-2</v>
      </c>
      <c r="Y323" s="140">
        <f t="shared" si="133"/>
        <v>0.24761904761904763</v>
      </c>
      <c r="Z323" s="140">
        <f t="shared" si="134"/>
        <v>0.19420464639727381</v>
      </c>
      <c r="AA323" s="140">
        <f t="shared" si="135"/>
        <v>0</v>
      </c>
      <c r="AB323" s="140">
        <f t="shared" si="136"/>
        <v>3.0590241947676542E-2</v>
      </c>
      <c r="AC323" s="140">
        <f t="shared" si="137"/>
        <v>0.19083969465648856</v>
      </c>
      <c r="AD323" s="140">
        <f t="shared" si="138"/>
        <v>0.48571428571428571</v>
      </c>
      <c r="AE323" s="140">
        <f t="shared" si="139"/>
        <v>0</v>
      </c>
      <c r="AF323" s="140">
        <f t="shared" si="140"/>
        <v>0</v>
      </c>
      <c r="AG323" s="140">
        <f t="shared" si="141"/>
        <v>0</v>
      </c>
      <c r="AH323" s="140">
        <f t="shared" si="142"/>
        <v>0</v>
      </c>
      <c r="AI323" s="140">
        <f t="shared" si="143"/>
        <v>0.48571428571428571</v>
      </c>
      <c r="AJ323" s="140">
        <f t="shared" si="144"/>
        <v>0.48571428571428571</v>
      </c>
      <c r="AK323" s="140">
        <f t="shared" si="145"/>
        <v>0.48571428571428571</v>
      </c>
      <c r="AL323" s="140">
        <f t="shared" si="146"/>
        <v>0.48571428571428571</v>
      </c>
      <c r="AM323" t="str">
        <f t="shared" si="147"/>
        <v>4630-000: Maint &amp; repairs Supplies</v>
      </c>
      <c r="AN323" s="140">
        <f t="shared" ref="AN323:AN386" si="148">IFERROR(AVERAGE(Y323, AA323, AC323), 0)</f>
        <v>0.14615291409184539</v>
      </c>
      <c r="AO323" s="140">
        <f t="shared" ref="AO323:AO386" si="149">IF($AG323="", 0-AN323, $AG323-AN323)</f>
        <v>-0.14615291409184539</v>
      </c>
      <c r="AP323" s="1" t="str">
        <f>IF(AND(AO323&gt;0, _xlfn.XLOOKUP($AM323, Discretionaries!$A$2:'Discretionaries'!$A$150, Discretionaries!$B$2:'Discretionaries'!$B$150)), (1+AN323)*$N323, "")</f>
        <v/>
      </c>
      <c r="AQ323" s="1" t="str">
        <f>IF(AND(AO323&gt;0, _xlfn.XLOOKUP($AM323, Discretionaries!$A$2:'Discretionaries'!$A$150, Discretionaries!$B$2:'Discretionaries'!$B$150)),AP323-$Q323,"")</f>
        <v/>
      </c>
      <c r="AR323" s="140">
        <f>IF(AG323="", 0-CPI!$B$15, AG323-CPI!$B$15)</f>
        <v>-3.8999999999999993E-2</v>
      </c>
      <c r="AS323" s="1" t="str">
        <f>IF(AND(AR323&gt;0, _xlfn.XLOOKUP($AM323, Discretionaries!$A$2:'Discretionaries'!$A$150, Discretionaries!$B$2:'Discretionaries'!$B$150)), (1+CPI!$B$15)*$N323, "")</f>
        <v/>
      </c>
      <c r="AT323" s="1" t="str">
        <f>IF(AND(AR323&gt;0, _xlfn.XLOOKUP($AM323, Discretionaries!$A$2:'Discretionaries'!$A$150, Discretionaries!$B$2:'Discretionaries'!$B$150)),AS323-$Q323,"")</f>
        <v/>
      </c>
    </row>
    <row r="324" spans="1:46" x14ac:dyDescent="0.3">
      <c r="A324" t="s">
        <v>431</v>
      </c>
      <c r="B324" t="str">
        <f t="shared" si="125"/>
        <v>23</v>
      </c>
      <c r="C324" t="s">
        <v>432</v>
      </c>
      <c r="D324" t="str">
        <f t="shared" si="126"/>
        <v>22</v>
      </c>
      <c r="E324" t="s">
        <v>30</v>
      </c>
      <c r="F324" s="139" t="s">
        <v>170</v>
      </c>
      <c r="G324" t="s">
        <v>171</v>
      </c>
      <c r="H324" s="156">
        <v>14000</v>
      </c>
      <c r="I324" s="156">
        <v>34337.81</v>
      </c>
      <c r="J324" s="156">
        <v>20000</v>
      </c>
      <c r="K324" s="156">
        <v>33026.410000000003</v>
      </c>
      <c r="L324" s="156">
        <v>20000</v>
      </c>
      <c r="M324" s="156">
        <v>27606.16</v>
      </c>
      <c r="N324" s="156">
        <v>20000</v>
      </c>
      <c r="O324" s="156">
        <v>45000</v>
      </c>
      <c r="P324" s="156">
        <v>45000</v>
      </c>
      <c r="Q324" s="156">
        <v>45000</v>
      </c>
      <c r="R324" s="156">
        <v>20000</v>
      </c>
      <c r="S324" s="156">
        <f t="shared" si="127"/>
        <v>25000</v>
      </c>
      <c r="T324" s="156">
        <f t="shared" si="128"/>
        <v>25000</v>
      </c>
      <c r="U324" s="140">
        <f t="shared" si="129"/>
        <v>1.25</v>
      </c>
      <c r="V324" s="140">
        <f t="shared" si="130"/>
        <v>1.452700714285714</v>
      </c>
      <c r="W324" s="140">
        <f t="shared" si="131"/>
        <v>0.65132050000000019</v>
      </c>
      <c r="X324" s="140">
        <f t="shared" si="132"/>
        <v>0.38030799999999998</v>
      </c>
      <c r="Y324" s="140">
        <f t="shared" si="133"/>
        <v>0.42857142857142855</v>
      </c>
      <c r="Z324" s="140">
        <f t="shared" si="134"/>
        <v>-3.8191136825557435E-2</v>
      </c>
      <c r="AA324" s="140">
        <f t="shared" si="135"/>
        <v>0</v>
      </c>
      <c r="AB324" s="140">
        <f t="shared" si="136"/>
        <v>-0.16411865534279999</v>
      </c>
      <c r="AC324" s="140">
        <f t="shared" si="137"/>
        <v>0</v>
      </c>
      <c r="AD324" s="140">
        <f t="shared" si="138"/>
        <v>0.42857142857142855</v>
      </c>
      <c r="AE324" s="140">
        <f t="shared" si="139"/>
        <v>1.25</v>
      </c>
      <c r="AF324" s="140">
        <f t="shared" si="140"/>
        <v>1.25</v>
      </c>
      <c r="AG324" s="140">
        <f t="shared" si="141"/>
        <v>1.25</v>
      </c>
      <c r="AH324" s="140">
        <f t="shared" si="142"/>
        <v>0</v>
      </c>
      <c r="AI324" s="140">
        <f t="shared" si="143"/>
        <v>2.2142857142857144</v>
      </c>
      <c r="AJ324" s="140">
        <f t="shared" si="144"/>
        <v>2.2142857142857144</v>
      </c>
      <c r="AK324" s="140">
        <f t="shared" si="145"/>
        <v>2.2142857142857144</v>
      </c>
      <c r="AL324" s="140">
        <f t="shared" si="146"/>
        <v>0.42857142857142855</v>
      </c>
      <c r="AM324" t="str">
        <f t="shared" si="147"/>
        <v>4660-000: Vehicle repairs Supplies</v>
      </c>
      <c r="AN324" s="140">
        <f t="shared" si="148"/>
        <v>0.14285714285714285</v>
      </c>
      <c r="AO324" s="140">
        <f t="shared" si="149"/>
        <v>1.1071428571428572</v>
      </c>
      <c r="AP324" s="1">
        <f>IF(AND(AO324&gt;0, _xlfn.XLOOKUP($AM324, Discretionaries!$A$2:'Discretionaries'!$A$150, Discretionaries!$B$2:'Discretionaries'!$B$150)), (1+AN324)*$N324, "")</f>
        <v>22857.142857142855</v>
      </c>
      <c r="AQ324" s="1">
        <f>IF(AND(AO324&gt;0, _xlfn.XLOOKUP($AM324, Discretionaries!$A$2:'Discretionaries'!$A$150, Discretionaries!$B$2:'Discretionaries'!$B$150)),AP324-$Q324,"")</f>
        <v>-22142.857142857145</v>
      </c>
      <c r="AR324" s="140">
        <f>IF(AG324="", 0-CPI!$B$15, AG324-CPI!$B$15)</f>
        <v>1.2110000000000001</v>
      </c>
      <c r="AS324" s="1">
        <f>IF(AND(AR324&gt;0, _xlfn.XLOOKUP($AM324, Discretionaries!$A$2:'Discretionaries'!$A$150, Discretionaries!$B$2:'Discretionaries'!$B$150)), (1+CPI!$B$15)*$N324, "")</f>
        <v>20780</v>
      </c>
      <c r="AT324" s="1">
        <f>IF(AND(AR324&gt;0, _xlfn.XLOOKUP($AM324, Discretionaries!$A$2:'Discretionaries'!$A$150, Discretionaries!$B$2:'Discretionaries'!$B$150)),AS324-$Q324,"")</f>
        <v>-24220</v>
      </c>
    </row>
    <row r="325" spans="1:46" x14ac:dyDescent="0.3">
      <c r="A325" t="s">
        <v>431</v>
      </c>
      <c r="B325" t="str">
        <f t="shared" si="125"/>
        <v>23</v>
      </c>
      <c r="C325" t="s">
        <v>432</v>
      </c>
      <c r="D325" t="str">
        <f t="shared" si="126"/>
        <v>22</v>
      </c>
      <c r="E325" t="s">
        <v>30</v>
      </c>
      <c r="F325" s="139" t="s">
        <v>33</v>
      </c>
      <c r="G325" t="s">
        <v>34</v>
      </c>
      <c r="H325" s="156">
        <v>15000</v>
      </c>
      <c r="I325" s="156">
        <v>30821.48</v>
      </c>
      <c r="J325" s="156">
        <v>15000</v>
      </c>
      <c r="K325" s="156">
        <v>19432.919999999998</v>
      </c>
      <c r="L325" s="156">
        <v>15000</v>
      </c>
      <c r="M325" s="156">
        <v>59575.31</v>
      </c>
      <c r="N325" s="156">
        <v>22000</v>
      </c>
      <c r="O325" s="156">
        <v>30000</v>
      </c>
      <c r="P325" s="156">
        <v>30000</v>
      </c>
      <c r="Q325" s="156">
        <v>30000</v>
      </c>
      <c r="R325" s="156">
        <v>22000</v>
      </c>
      <c r="S325" s="156">
        <f t="shared" si="127"/>
        <v>8000</v>
      </c>
      <c r="T325" s="156">
        <f t="shared" si="128"/>
        <v>8000</v>
      </c>
      <c r="U325" s="140">
        <f t="shared" si="129"/>
        <v>0.36363636363636365</v>
      </c>
      <c r="V325" s="140">
        <f t="shared" si="130"/>
        <v>1.0547653333333333</v>
      </c>
      <c r="W325" s="140">
        <f t="shared" si="131"/>
        <v>0.2955279999999999</v>
      </c>
      <c r="X325" s="140">
        <f t="shared" si="132"/>
        <v>2.9716873333333331</v>
      </c>
      <c r="Y325" s="140">
        <f t="shared" si="133"/>
        <v>0</v>
      </c>
      <c r="Z325" s="140">
        <f t="shared" si="134"/>
        <v>-0.36950075077510885</v>
      </c>
      <c r="AA325" s="140">
        <f t="shared" si="135"/>
        <v>0</v>
      </c>
      <c r="AB325" s="140">
        <f t="shared" si="136"/>
        <v>2.0656900764270119</v>
      </c>
      <c r="AC325" s="140">
        <f t="shared" si="137"/>
        <v>0.46666666666666667</v>
      </c>
      <c r="AD325" s="140">
        <f t="shared" si="138"/>
        <v>0.46666666666666667</v>
      </c>
      <c r="AE325" s="140">
        <f t="shared" si="139"/>
        <v>0.36363636363636365</v>
      </c>
      <c r="AF325" s="140">
        <f t="shared" si="140"/>
        <v>0.36363636363636365</v>
      </c>
      <c r="AG325" s="140">
        <f t="shared" si="141"/>
        <v>0.36363636363636365</v>
      </c>
      <c r="AH325" s="140">
        <f t="shared" si="142"/>
        <v>0</v>
      </c>
      <c r="AI325" s="140">
        <f t="shared" si="143"/>
        <v>1</v>
      </c>
      <c r="AJ325" s="140">
        <f t="shared" si="144"/>
        <v>1</v>
      </c>
      <c r="AK325" s="140">
        <f t="shared" si="145"/>
        <v>1</v>
      </c>
      <c r="AL325" s="140">
        <f t="shared" si="146"/>
        <v>0.46666666666666667</v>
      </c>
      <c r="AM325" t="str">
        <f t="shared" si="147"/>
        <v>4680-000: Dept. expense Supplies</v>
      </c>
      <c r="AN325" s="140">
        <f t="shared" si="148"/>
        <v>0.15555555555555556</v>
      </c>
      <c r="AO325" s="140">
        <f t="shared" si="149"/>
        <v>0.20808080808080809</v>
      </c>
      <c r="AP325" s="1">
        <f>IF(AND(AO325&gt;0, _xlfn.XLOOKUP($AM325, Discretionaries!$A$2:'Discretionaries'!$A$150, Discretionaries!$B$2:'Discretionaries'!$B$150)), (1+AN325)*$N325, "")</f>
        <v>25422.222222222219</v>
      </c>
      <c r="AQ325" s="1">
        <f>IF(AND(AO325&gt;0, _xlfn.XLOOKUP($AM325, Discretionaries!$A$2:'Discretionaries'!$A$150, Discretionaries!$B$2:'Discretionaries'!$B$150)),AP325-$Q325,"")</f>
        <v>-4577.777777777781</v>
      </c>
      <c r="AR325" s="140">
        <f>IF(AG325="", 0-CPI!$B$15, AG325-CPI!$B$15)</f>
        <v>0.32463636363636367</v>
      </c>
      <c r="AS325" s="1">
        <f>IF(AND(AR325&gt;0, _xlfn.XLOOKUP($AM325, Discretionaries!$A$2:'Discretionaries'!$A$150, Discretionaries!$B$2:'Discretionaries'!$B$150)), (1+CPI!$B$15)*$N325, "")</f>
        <v>22858</v>
      </c>
      <c r="AT325" s="1">
        <f>IF(AND(AR325&gt;0, _xlfn.XLOOKUP($AM325, Discretionaries!$A$2:'Discretionaries'!$A$150, Discretionaries!$B$2:'Discretionaries'!$B$150)),AS325-$Q325,"")</f>
        <v>-7142</v>
      </c>
    </row>
    <row r="326" spans="1:46" x14ac:dyDescent="0.3">
      <c r="A326" t="s">
        <v>431</v>
      </c>
      <c r="B326" t="str">
        <f t="shared" si="125"/>
        <v>23</v>
      </c>
      <c r="C326" t="s">
        <v>433</v>
      </c>
      <c r="D326" t="str">
        <f t="shared" si="126"/>
        <v>23</v>
      </c>
      <c r="E326" t="s">
        <v>11</v>
      </c>
      <c r="F326" s="139" t="s">
        <v>35</v>
      </c>
      <c r="G326" t="s">
        <v>36</v>
      </c>
      <c r="H326" s="156">
        <v>102320</v>
      </c>
      <c r="I326" s="156">
        <v>100634.34</v>
      </c>
      <c r="J326" s="156">
        <v>102435</v>
      </c>
      <c r="K326" s="156">
        <v>102439.18</v>
      </c>
      <c r="L326" s="156">
        <v>106476</v>
      </c>
      <c r="M326" s="156">
        <v>101275.98</v>
      </c>
      <c r="N326" s="156">
        <v>107233</v>
      </c>
      <c r="O326" s="156">
        <v>114422</v>
      </c>
      <c r="P326" s="156">
        <v>114422</v>
      </c>
      <c r="Q326" s="156">
        <v>114422</v>
      </c>
      <c r="R326" s="156">
        <v>114422</v>
      </c>
      <c r="S326" s="156">
        <f t="shared" si="127"/>
        <v>7189</v>
      </c>
      <c r="T326" s="156">
        <f t="shared" si="128"/>
        <v>0</v>
      </c>
      <c r="U326" s="140">
        <f t="shared" si="129"/>
        <v>6.7040929564592983E-2</v>
      </c>
      <c r="V326" s="140">
        <f t="shared" si="130"/>
        <v>-1.6474394057857736E-2</v>
      </c>
      <c r="W326" s="140">
        <f t="shared" si="131"/>
        <v>4.0806365011890615E-5</v>
      </c>
      <c r="X326" s="140">
        <f t="shared" si="132"/>
        <v>-4.8837484503550133E-2</v>
      </c>
      <c r="Y326" s="140">
        <f t="shared" si="133"/>
        <v>1.1239249413604378E-3</v>
      </c>
      <c r="Z326" s="140">
        <f t="shared" si="134"/>
        <v>1.7934633446197359E-2</v>
      </c>
      <c r="AA326" s="140">
        <f t="shared" si="135"/>
        <v>3.9449406940986968E-2</v>
      </c>
      <c r="AB326" s="140">
        <f t="shared" si="136"/>
        <v>-1.1355030370215744E-2</v>
      </c>
      <c r="AC326" s="140">
        <f t="shared" si="137"/>
        <v>7.1095833802922725E-3</v>
      </c>
      <c r="AD326" s="140">
        <f t="shared" si="138"/>
        <v>4.8016028146989839E-2</v>
      </c>
      <c r="AE326" s="140">
        <f t="shared" si="139"/>
        <v>6.7040929564592983E-2</v>
      </c>
      <c r="AF326" s="140">
        <f t="shared" si="140"/>
        <v>6.7040929564592983E-2</v>
      </c>
      <c r="AG326" s="140">
        <f t="shared" si="141"/>
        <v>6.7040929564592983E-2</v>
      </c>
      <c r="AH326" s="140">
        <f t="shared" si="142"/>
        <v>6.7040929564592983E-2</v>
      </c>
      <c r="AI326" s="140">
        <f t="shared" si="143"/>
        <v>0.11827599687255669</v>
      </c>
      <c r="AJ326" s="140">
        <f t="shared" si="144"/>
        <v>0.11827599687255669</v>
      </c>
      <c r="AK326" s="140">
        <f t="shared" si="145"/>
        <v>0.11827599687255669</v>
      </c>
      <c r="AL326" s="140">
        <f t="shared" si="146"/>
        <v>0.11827599687255669</v>
      </c>
      <c r="AM326" t="str">
        <f t="shared" si="147"/>
        <v>4110-000: Regular Salaries</v>
      </c>
      <c r="AN326" s="140">
        <f t="shared" si="148"/>
        <v>1.5894305087546561E-2</v>
      </c>
      <c r="AO326" s="140">
        <f t="shared" si="149"/>
        <v>5.1146624477046418E-2</v>
      </c>
      <c r="AP326" s="1" t="str">
        <f>IF(AND(AO326&gt;0, _xlfn.XLOOKUP($AM326, Discretionaries!$A$2:'Discretionaries'!$A$150, Discretionaries!$B$2:'Discretionaries'!$B$150)), (1+AN326)*$N326, "")</f>
        <v/>
      </c>
      <c r="AQ326" s="1" t="str">
        <f>IF(AND(AO326&gt;0, _xlfn.XLOOKUP($AM326, Discretionaries!$A$2:'Discretionaries'!$A$150, Discretionaries!$B$2:'Discretionaries'!$B$150)),AP326-$Q326,"")</f>
        <v/>
      </c>
      <c r="AR326" s="140">
        <f>IF(AG326="", 0-CPI!$B$15, AG326-CPI!$B$15)</f>
        <v>2.804092956459299E-2</v>
      </c>
      <c r="AS326" s="1" t="str">
        <f>IF(AND(AR326&gt;0, _xlfn.XLOOKUP($AM326, Discretionaries!$A$2:'Discretionaries'!$A$150, Discretionaries!$B$2:'Discretionaries'!$B$150)), (1+CPI!$B$15)*$N326, "")</f>
        <v/>
      </c>
      <c r="AT326" s="1" t="str">
        <f>IF(AND(AR326&gt;0, _xlfn.XLOOKUP($AM326, Discretionaries!$A$2:'Discretionaries'!$A$150, Discretionaries!$B$2:'Discretionaries'!$B$150)),AS326-$Q326,"")</f>
        <v/>
      </c>
    </row>
    <row r="327" spans="1:46" x14ac:dyDescent="0.3">
      <c r="A327" t="s">
        <v>431</v>
      </c>
      <c r="B327" t="str">
        <f t="shared" si="125"/>
        <v>23</v>
      </c>
      <c r="C327" t="s">
        <v>433</v>
      </c>
      <c r="D327" t="str">
        <f t="shared" si="126"/>
        <v>23</v>
      </c>
      <c r="E327" t="s">
        <v>11</v>
      </c>
      <c r="F327" s="139" t="s">
        <v>39</v>
      </c>
      <c r="G327" t="s">
        <v>40</v>
      </c>
      <c r="H327" s="156">
        <v>2951</v>
      </c>
      <c r="I327" s="156">
        <v>7527.7</v>
      </c>
      <c r="J327" s="156">
        <v>3418</v>
      </c>
      <c r="K327" s="156">
        <v>6636.53</v>
      </c>
      <c r="L327" s="156">
        <v>4411</v>
      </c>
      <c r="M327" s="156">
        <v>4756.26</v>
      </c>
      <c r="N327" s="156">
        <v>6545</v>
      </c>
      <c r="O327" s="156">
        <v>6545</v>
      </c>
      <c r="P327" s="156">
        <v>6545</v>
      </c>
      <c r="Q327" s="156">
        <v>6545</v>
      </c>
      <c r="R327" s="156">
        <v>6545</v>
      </c>
      <c r="S327" s="156">
        <f t="shared" si="127"/>
        <v>0</v>
      </c>
      <c r="T327" s="156">
        <f t="shared" si="128"/>
        <v>0</v>
      </c>
      <c r="U327" s="140">
        <f t="shared" si="129"/>
        <v>0</v>
      </c>
      <c r="V327" s="140">
        <f t="shared" si="130"/>
        <v>1.5508980006777362</v>
      </c>
      <c r="W327" s="140">
        <f t="shared" si="131"/>
        <v>0.94164131070801627</v>
      </c>
      <c r="X327" s="140">
        <f t="shared" si="132"/>
        <v>7.8272500566764949E-2</v>
      </c>
      <c r="Y327" s="140">
        <f t="shared" si="133"/>
        <v>0.15825144018976617</v>
      </c>
      <c r="Z327" s="140">
        <f t="shared" si="134"/>
        <v>-0.11838542981255896</v>
      </c>
      <c r="AA327" s="140">
        <f t="shared" si="135"/>
        <v>0.29052077238150964</v>
      </c>
      <c r="AB327" s="140">
        <f t="shared" si="136"/>
        <v>-0.28332125372747496</v>
      </c>
      <c r="AC327" s="140">
        <f t="shared" si="137"/>
        <v>0.48379052369077308</v>
      </c>
      <c r="AD327" s="140">
        <f t="shared" si="138"/>
        <v>1.2178922399186716</v>
      </c>
      <c r="AE327" s="140">
        <f t="shared" si="139"/>
        <v>0</v>
      </c>
      <c r="AF327" s="140">
        <f t="shared" si="140"/>
        <v>0</v>
      </c>
      <c r="AG327" s="140">
        <f t="shared" si="141"/>
        <v>0</v>
      </c>
      <c r="AH327" s="140">
        <f t="shared" si="142"/>
        <v>0</v>
      </c>
      <c r="AI327" s="140">
        <f t="shared" si="143"/>
        <v>1.2178922399186716</v>
      </c>
      <c r="AJ327" s="140">
        <f t="shared" si="144"/>
        <v>1.2178922399186716</v>
      </c>
      <c r="AK327" s="140">
        <f t="shared" si="145"/>
        <v>1.2178922399186716</v>
      </c>
      <c r="AL327" s="140">
        <f t="shared" si="146"/>
        <v>1.2178922399186716</v>
      </c>
      <c r="AM327" t="str">
        <f t="shared" si="147"/>
        <v>4140-000: Overtime Salaries</v>
      </c>
      <c r="AN327" s="140">
        <f t="shared" si="148"/>
        <v>0.31085424542068296</v>
      </c>
      <c r="AO327" s="140">
        <f t="shared" si="149"/>
        <v>-0.31085424542068296</v>
      </c>
      <c r="AP327" s="1" t="str">
        <f>IF(AND(AO327&gt;0, _xlfn.XLOOKUP($AM327, Discretionaries!$A$2:'Discretionaries'!$A$150, Discretionaries!$B$2:'Discretionaries'!$B$150)), (1+AN327)*$N327, "")</f>
        <v/>
      </c>
      <c r="AQ327" s="1" t="str">
        <f>IF(AND(AO327&gt;0, _xlfn.XLOOKUP($AM327, Discretionaries!$A$2:'Discretionaries'!$A$150, Discretionaries!$B$2:'Discretionaries'!$B$150)),AP327-$Q327,"")</f>
        <v/>
      </c>
      <c r="AR327" s="140">
        <f>IF(AG327="", 0-CPI!$B$15, AG327-CPI!$B$15)</f>
        <v>-3.8999999999999993E-2</v>
      </c>
      <c r="AS327" s="1" t="str">
        <f>IF(AND(AR327&gt;0, _xlfn.XLOOKUP($AM327, Discretionaries!$A$2:'Discretionaries'!$A$150, Discretionaries!$B$2:'Discretionaries'!$B$150)), (1+CPI!$B$15)*$N327, "")</f>
        <v/>
      </c>
      <c r="AT327" s="1" t="str">
        <f>IF(AND(AR327&gt;0, _xlfn.XLOOKUP($AM327, Discretionaries!$A$2:'Discretionaries'!$A$150, Discretionaries!$B$2:'Discretionaries'!$B$150)),AS327-$Q327,"")</f>
        <v/>
      </c>
    </row>
    <row r="328" spans="1:46" x14ac:dyDescent="0.3">
      <c r="A328" t="s">
        <v>431</v>
      </c>
      <c r="B328" t="str">
        <f t="shared" si="125"/>
        <v>23</v>
      </c>
      <c r="C328" t="s">
        <v>433</v>
      </c>
      <c r="D328" t="str">
        <f t="shared" si="126"/>
        <v>23</v>
      </c>
      <c r="E328" t="s">
        <v>11</v>
      </c>
      <c r="F328" s="139" t="s">
        <v>240</v>
      </c>
      <c r="G328" t="s">
        <v>283</v>
      </c>
      <c r="H328" s="156">
        <v>0</v>
      </c>
      <c r="I328" s="156">
        <v>0</v>
      </c>
      <c r="J328" s="156">
        <v>0</v>
      </c>
      <c r="K328" s="156">
        <v>0</v>
      </c>
      <c r="L328" s="156">
        <v>0</v>
      </c>
      <c r="M328" s="156">
        <v>390.24</v>
      </c>
      <c r="N328" s="156">
        <v>0</v>
      </c>
      <c r="S328" s="156">
        <f t="shared" si="127"/>
        <v>0</v>
      </c>
      <c r="T328" s="156">
        <f t="shared" si="128"/>
        <v>0</v>
      </c>
      <c r="U328" s="140" t="str">
        <f t="shared" si="129"/>
        <v/>
      </c>
      <c r="V328" s="140" t="str">
        <f t="shared" si="130"/>
        <v/>
      </c>
      <c r="W328" s="140" t="str">
        <f t="shared" si="131"/>
        <v/>
      </c>
      <c r="X328" s="140" t="str">
        <f t="shared" si="132"/>
        <v/>
      </c>
      <c r="Y328" s="140" t="str">
        <f t="shared" si="133"/>
        <v/>
      </c>
      <c r="Z328" s="140" t="str">
        <f t="shared" si="134"/>
        <v/>
      </c>
      <c r="AA328" s="140" t="str">
        <f t="shared" si="135"/>
        <v/>
      </c>
      <c r="AB328" s="140" t="str">
        <f t="shared" si="136"/>
        <v/>
      </c>
      <c r="AC328" s="140" t="str">
        <f t="shared" si="137"/>
        <v/>
      </c>
      <c r="AD328" s="140" t="str">
        <f t="shared" si="138"/>
        <v/>
      </c>
      <c r="AE328" s="140" t="str">
        <f t="shared" si="139"/>
        <v/>
      </c>
      <c r="AF328" s="140" t="str">
        <f t="shared" si="140"/>
        <v/>
      </c>
      <c r="AG328" s="140" t="str">
        <f t="shared" si="141"/>
        <v/>
      </c>
      <c r="AH328" s="140" t="str">
        <f t="shared" si="142"/>
        <v/>
      </c>
      <c r="AI328" s="140" t="str">
        <f t="shared" si="143"/>
        <v/>
      </c>
      <c r="AJ328" s="140" t="str">
        <f t="shared" si="144"/>
        <v/>
      </c>
      <c r="AK328" s="140" t="str">
        <f t="shared" si="145"/>
        <v/>
      </c>
      <c r="AL328" s="140" t="str">
        <f t="shared" si="146"/>
        <v/>
      </c>
      <c r="AM328" t="str">
        <f t="shared" si="147"/>
        <v>4193-000: Holiday Salaries</v>
      </c>
      <c r="AN328" s="140">
        <f t="shared" si="148"/>
        <v>0</v>
      </c>
      <c r="AO328" s="140">
        <f t="shared" si="149"/>
        <v>0</v>
      </c>
      <c r="AP328" s="1" t="str">
        <f>IF(AND(AO328&gt;0, _xlfn.XLOOKUP($AM328, Discretionaries!$A$2:'Discretionaries'!$A$150, Discretionaries!$B$2:'Discretionaries'!$B$150)), (1+AN328)*$N328, "")</f>
        <v/>
      </c>
      <c r="AQ328" s="1" t="str">
        <f>IF(AND(AO328&gt;0, _xlfn.XLOOKUP($AM328, Discretionaries!$A$2:'Discretionaries'!$A$150, Discretionaries!$B$2:'Discretionaries'!$B$150)),AP328-$Q328,"")</f>
        <v/>
      </c>
      <c r="AR328" s="140">
        <f>IF(AG328="", 0-CPI!$B$15, AG328-CPI!$B$15)</f>
        <v>-3.8999999999999993E-2</v>
      </c>
      <c r="AS328" s="1" t="str">
        <f>IF(AND(AR328&gt;0, _xlfn.XLOOKUP($AM328, Discretionaries!$A$2:'Discretionaries'!$A$150, Discretionaries!$B$2:'Discretionaries'!$B$150)), (1+CPI!$B$15)*$N328, "")</f>
        <v/>
      </c>
      <c r="AT328" s="1" t="str">
        <f>IF(AND(AR328&gt;0, _xlfn.XLOOKUP($AM328, Discretionaries!$A$2:'Discretionaries'!$A$150, Discretionaries!$B$2:'Discretionaries'!$B$150)),AS328-$Q328,"")</f>
        <v/>
      </c>
    </row>
    <row r="329" spans="1:46" x14ac:dyDescent="0.3">
      <c r="A329" t="s">
        <v>431</v>
      </c>
      <c r="B329" t="str">
        <f t="shared" si="125"/>
        <v>23</v>
      </c>
      <c r="C329" t="s">
        <v>433</v>
      </c>
      <c r="D329" t="str">
        <f t="shared" si="126"/>
        <v>23</v>
      </c>
      <c r="E329" t="s">
        <v>14</v>
      </c>
      <c r="F329" s="139" t="s">
        <v>15</v>
      </c>
      <c r="G329" t="s">
        <v>16</v>
      </c>
      <c r="H329" s="156">
        <v>6527</v>
      </c>
      <c r="I329" s="156">
        <v>6399.45</v>
      </c>
      <c r="J329" s="156">
        <v>6563</v>
      </c>
      <c r="K329" s="156">
        <v>6423.1</v>
      </c>
      <c r="L329" s="156">
        <v>6875</v>
      </c>
      <c r="M329" s="156">
        <v>6396.16</v>
      </c>
      <c r="N329" s="156">
        <v>7055</v>
      </c>
      <c r="O329" s="156">
        <v>7500</v>
      </c>
      <c r="P329" s="156">
        <v>7500</v>
      </c>
      <c r="Q329" s="156">
        <v>7500</v>
      </c>
      <c r="R329" s="156">
        <v>7500</v>
      </c>
      <c r="S329" s="156">
        <f t="shared" si="127"/>
        <v>445</v>
      </c>
      <c r="T329" s="156">
        <f t="shared" si="128"/>
        <v>0</v>
      </c>
      <c r="U329" s="140">
        <f t="shared" si="129"/>
        <v>6.3075832742735649E-2</v>
      </c>
      <c r="V329" s="140">
        <f t="shared" si="130"/>
        <v>-1.9541902865022245E-2</v>
      </c>
      <c r="W329" s="140">
        <f t="shared" si="131"/>
        <v>-2.131647112600939E-2</v>
      </c>
      <c r="X329" s="140">
        <f t="shared" si="132"/>
        <v>-6.964945454545457E-2</v>
      </c>
      <c r="Y329" s="140">
        <f t="shared" si="133"/>
        <v>5.5155507890301825E-3</v>
      </c>
      <c r="Z329" s="140">
        <f t="shared" si="134"/>
        <v>3.6956300932112205E-3</v>
      </c>
      <c r="AA329" s="140">
        <f t="shared" si="135"/>
        <v>4.7539235105896693E-2</v>
      </c>
      <c r="AB329" s="140">
        <f t="shared" si="136"/>
        <v>-4.1942364278931528E-3</v>
      </c>
      <c r="AC329" s="140">
        <f t="shared" si="137"/>
        <v>2.6181818181818181E-2</v>
      </c>
      <c r="AD329" s="140">
        <f t="shared" si="138"/>
        <v>8.0894744905776014E-2</v>
      </c>
      <c r="AE329" s="140">
        <f t="shared" si="139"/>
        <v>6.3075832742735649E-2</v>
      </c>
      <c r="AF329" s="140">
        <f t="shared" si="140"/>
        <v>6.3075832742735649E-2</v>
      </c>
      <c r="AG329" s="140">
        <f t="shared" si="141"/>
        <v>6.3075832742735649E-2</v>
      </c>
      <c r="AH329" s="140">
        <f t="shared" si="142"/>
        <v>6.3075832742735649E-2</v>
      </c>
      <c r="AI329" s="140">
        <f t="shared" si="143"/>
        <v>0.14907308104795464</v>
      </c>
      <c r="AJ329" s="140">
        <f t="shared" si="144"/>
        <v>0.14907308104795464</v>
      </c>
      <c r="AK329" s="140">
        <f t="shared" si="145"/>
        <v>0.14907308104795464</v>
      </c>
      <c r="AL329" s="140">
        <f t="shared" si="146"/>
        <v>0.14907308104795464</v>
      </c>
      <c r="AM329" t="str">
        <f t="shared" si="147"/>
        <v>4220-000: FICA Benefits</v>
      </c>
      <c r="AN329" s="140">
        <f t="shared" si="148"/>
        <v>2.6412201358915019E-2</v>
      </c>
      <c r="AO329" s="140">
        <f t="shared" si="149"/>
        <v>3.666363138382063E-2</v>
      </c>
      <c r="AP329" s="1" t="str">
        <f>IF(AND(AO329&gt;0, _xlfn.XLOOKUP($AM329, Discretionaries!$A$2:'Discretionaries'!$A$150, Discretionaries!$B$2:'Discretionaries'!$B$150)), (1+AN329)*$N329, "")</f>
        <v/>
      </c>
      <c r="AQ329" s="1" t="str">
        <f>IF(AND(AO329&gt;0, _xlfn.XLOOKUP($AM329, Discretionaries!$A$2:'Discretionaries'!$A$150, Discretionaries!$B$2:'Discretionaries'!$B$150)),AP329-$Q329,"")</f>
        <v/>
      </c>
      <c r="AR329" s="140">
        <f>IF(AG329="", 0-CPI!$B$15, AG329-CPI!$B$15)</f>
        <v>2.4075832742735656E-2</v>
      </c>
      <c r="AS329" s="1" t="str">
        <f>IF(AND(AR329&gt;0, _xlfn.XLOOKUP($AM329, Discretionaries!$A$2:'Discretionaries'!$A$150, Discretionaries!$B$2:'Discretionaries'!$B$150)), (1+CPI!$B$15)*$N329, "")</f>
        <v/>
      </c>
      <c r="AT329" s="1" t="str">
        <f>IF(AND(AR329&gt;0, _xlfn.XLOOKUP($AM329, Discretionaries!$A$2:'Discretionaries'!$A$150, Discretionaries!$B$2:'Discretionaries'!$B$150)),AS329-$Q329,"")</f>
        <v/>
      </c>
    </row>
    <row r="330" spans="1:46" x14ac:dyDescent="0.3">
      <c r="A330" t="s">
        <v>431</v>
      </c>
      <c r="B330" t="str">
        <f t="shared" si="125"/>
        <v>23</v>
      </c>
      <c r="C330" t="s">
        <v>433</v>
      </c>
      <c r="D330" t="str">
        <f t="shared" si="126"/>
        <v>23</v>
      </c>
      <c r="E330" t="s">
        <v>14</v>
      </c>
      <c r="F330" s="139" t="s">
        <v>17</v>
      </c>
      <c r="G330" t="s">
        <v>18</v>
      </c>
      <c r="H330" s="156">
        <v>1527</v>
      </c>
      <c r="I330" s="156">
        <v>1496.63</v>
      </c>
      <c r="J330" s="156">
        <v>1535</v>
      </c>
      <c r="K330" s="156">
        <v>1502.18</v>
      </c>
      <c r="L330" s="156">
        <v>1608</v>
      </c>
      <c r="M330" s="156">
        <v>1495.88</v>
      </c>
      <c r="N330" s="156">
        <v>1650</v>
      </c>
      <c r="O330" s="156">
        <v>1755</v>
      </c>
      <c r="P330" s="156">
        <v>1755</v>
      </c>
      <c r="Q330" s="156">
        <v>1755</v>
      </c>
      <c r="R330" s="156">
        <v>1755</v>
      </c>
      <c r="S330" s="156">
        <f t="shared" si="127"/>
        <v>105</v>
      </c>
      <c r="T330" s="156">
        <f t="shared" si="128"/>
        <v>0</v>
      </c>
      <c r="U330" s="140">
        <f t="shared" si="129"/>
        <v>6.363636363636363E-2</v>
      </c>
      <c r="V330" s="140">
        <f t="shared" si="130"/>
        <v>-1.988867059593968E-2</v>
      </c>
      <c r="W330" s="140">
        <f t="shared" si="131"/>
        <v>-2.1381107491856635E-2</v>
      </c>
      <c r="X330" s="140">
        <f t="shared" si="132"/>
        <v>-6.9726368159203911E-2</v>
      </c>
      <c r="Y330" s="140">
        <f t="shared" si="133"/>
        <v>5.2390307793058286E-3</v>
      </c>
      <c r="Z330" s="140">
        <f t="shared" si="134"/>
        <v>3.7083313845105029E-3</v>
      </c>
      <c r="AA330" s="140">
        <f t="shared" si="135"/>
        <v>4.7557003257328992E-2</v>
      </c>
      <c r="AB330" s="140">
        <f t="shared" si="136"/>
        <v>-4.1939048582726136E-3</v>
      </c>
      <c r="AC330" s="140">
        <f t="shared" si="137"/>
        <v>2.6119402985074626E-2</v>
      </c>
      <c r="AD330" s="140">
        <f t="shared" si="138"/>
        <v>8.0550098231827114E-2</v>
      </c>
      <c r="AE330" s="140">
        <f t="shared" si="139"/>
        <v>6.363636363636363E-2</v>
      </c>
      <c r="AF330" s="140">
        <f t="shared" si="140"/>
        <v>6.363636363636363E-2</v>
      </c>
      <c r="AG330" s="140">
        <f t="shared" si="141"/>
        <v>6.363636363636363E-2</v>
      </c>
      <c r="AH330" s="140">
        <f t="shared" si="142"/>
        <v>6.363636363636363E-2</v>
      </c>
      <c r="AI330" s="140">
        <f t="shared" si="143"/>
        <v>0.14931237721021612</v>
      </c>
      <c r="AJ330" s="140">
        <f t="shared" si="144"/>
        <v>0.14931237721021612</v>
      </c>
      <c r="AK330" s="140">
        <f t="shared" si="145"/>
        <v>0.14931237721021612</v>
      </c>
      <c r="AL330" s="140">
        <f t="shared" si="146"/>
        <v>0.14931237721021612</v>
      </c>
      <c r="AM330" t="str">
        <f t="shared" si="147"/>
        <v>4225-000: Medicare Benefits</v>
      </c>
      <c r="AN330" s="140">
        <f t="shared" si="148"/>
        <v>2.6305145673903147E-2</v>
      </c>
      <c r="AO330" s="140">
        <f t="shared" si="149"/>
        <v>3.7331217962460486E-2</v>
      </c>
      <c r="AP330" s="1" t="str">
        <f>IF(AND(AO330&gt;0, _xlfn.XLOOKUP($AM330, Discretionaries!$A$2:'Discretionaries'!$A$150, Discretionaries!$B$2:'Discretionaries'!$B$150)), (1+AN330)*$N330, "")</f>
        <v/>
      </c>
      <c r="AQ330" s="1" t="str">
        <f>IF(AND(AO330&gt;0, _xlfn.XLOOKUP($AM330, Discretionaries!$A$2:'Discretionaries'!$A$150, Discretionaries!$B$2:'Discretionaries'!$B$150)),AP330-$Q330,"")</f>
        <v/>
      </c>
      <c r="AR330" s="140">
        <f>IF(AG330="", 0-CPI!$B$15, AG330-CPI!$B$15)</f>
        <v>2.4636363636363637E-2</v>
      </c>
      <c r="AS330" s="1" t="str">
        <f>IF(AND(AR330&gt;0, _xlfn.XLOOKUP($AM330, Discretionaries!$A$2:'Discretionaries'!$A$150, Discretionaries!$B$2:'Discretionaries'!$B$150)), (1+CPI!$B$15)*$N330, "")</f>
        <v/>
      </c>
      <c r="AT330" s="1" t="str">
        <f>IF(AND(AR330&gt;0, _xlfn.XLOOKUP($AM330, Discretionaries!$A$2:'Discretionaries'!$A$150, Discretionaries!$B$2:'Discretionaries'!$B$150)),AS330-$Q330,"")</f>
        <v/>
      </c>
    </row>
    <row r="331" spans="1:46" x14ac:dyDescent="0.3">
      <c r="A331" t="s">
        <v>431</v>
      </c>
      <c r="B331" t="str">
        <f t="shared" si="125"/>
        <v>23</v>
      </c>
      <c r="C331" t="s">
        <v>433</v>
      </c>
      <c r="D331" t="str">
        <f t="shared" si="126"/>
        <v>23</v>
      </c>
      <c r="E331" t="s">
        <v>14</v>
      </c>
      <c r="F331" s="139" t="s">
        <v>43</v>
      </c>
      <c r="G331" t="s">
        <v>44</v>
      </c>
      <c r="H331" s="156">
        <v>15360</v>
      </c>
      <c r="I331" s="156">
        <v>15176.74</v>
      </c>
      <c r="J331" s="156">
        <v>14322</v>
      </c>
      <c r="K331" s="156">
        <v>14723.87</v>
      </c>
      <c r="L331" s="156">
        <v>15003</v>
      </c>
      <c r="M331" s="156">
        <v>14793.64</v>
      </c>
      <c r="N331" s="156">
        <v>14507</v>
      </c>
      <c r="O331" s="156">
        <v>15424</v>
      </c>
      <c r="P331" s="156">
        <v>15424</v>
      </c>
      <c r="Q331" s="156">
        <v>15424</v>
      </c>
      <c r="R331" s="156">
        <v>15424</v>
      </c>
      <c r="S331" s="156">
        <f t="shared" si="127"/>
        <v>917</v>
      </c>
      <c r="T331" s="156">
        <f t="shared" si="128"/>
        <v>0</v>
      </c>
      <c r="U331" s="140">
        <f t="shared" si="129"/>
        <v>6.3210863720962296E-2</v>
      </c>
      <c r="V331" s="140">
        <f t="shared" si="130"/>
        <v>-1.1930989583333348E-2</v>
      </c>
      <c r="W331" s="140">
        <f t="shared" si="131"/>
        <v>2.8059628543499568E-2</v>
      </c>
      <c r="X331" s="140">
        <f t="shared" si="132"/>
        <v>-1.3954542424848403E-2</v>
      </c>
      <c r="Y331" s="140">
        <f t="shared" si="133"/>
        <v>-6.7578125000000003E-2</v>
      </c>
      <c r="Z331" s="140">
        <f t="shared" si="134"/>
        <v>-2.9839741604586953E-2</v>
      </c>
      <c r="AA331" s="140">
        <f t="shared" si="135"/>
        <v>4.7549224968579808E-2</v>
      </c>
      <c r="AB331" s="140">
        <f t="shared" si="136"/>
        <v>4.7385639780844722E-3</v>
      </c>
      <c r="AC331" s="140">
        <f t="shared" si="137"/>
        <v>-3.306005465573552E-2</v>
      </c>
      <c r="AD331" s="140">
        <f t="shared" si="138"/>
        <v>-5.5533854166666667E-2</v>
      </c>
      <c r="AE331" s="140">
        <f t="shared" si="139"/>
        <v>6.3210863720962296E-2</v>
      </c>
      <c r="AF331" s="140">
        <f t="shared" si="140"/>
        <v>6.3210863720962296E-2</v>
      </c>
      <c r="AG331" s="140">
        <f t="shared" si="141"/>
        <v>6.3210863720962296E-2</v>
      </c>
      <c r="AH331" s="140">
        <f t="shared" si="142"/>
        <v>6.3210863720962296E-2</v>
      </c>
      <c r="AI331" s="140">
        <f t="shared" si="143"/>
        <v>4.1666666666666666E-3</v>
      </c>
      <c r="AJ331" s="140">
        <f t="shared" si="144"/>
        <v>4.1666666666666666E-3</v>
      </c>
      <c r="AK331" s="140">
        <f t="shared" si="145"/>
        <v>4.1666666666666666E-3</v>
      </c>
      <c r="AL331" s="140">
        <f t="shared" si="146"/>
        <v>4.1666666666666666E-3</v>
      </c>
      <c r="AM331" t="str">
        <f t="shared" si="147"/>
        <v>4230-000: Retirement Benefits</v>
      </c>
      <c r="AN331" s="140">
        <f t="shared" si="148"/>
        <v>-1.7696318229051905E-2</v>
      </c>
      <c r="AO331" s="140">
        <f t="shared" si="149"/>
        <v>8.0907181950014201E-2</v>
      </c>
      <c r="AP331" s="1" t="str">
        <f>IF(AND(AO331&gt;0, _xlfn.XLOOKUP($AM331, Discretionaries!$A$2:'Discretionaries'!$A$150, Discretionaries!$B$2:'Discretionaries'!$B$150)), (1+AN331)*$N331, "")</f>
        <v/>
      </c>
      <c r="AQ331" s="1" t="str">
        <f>IF(AND(AO331&gt;0, _xlfn.XLOOKUP($AM331, Discretionaries!$A$2:'Discretionaries'!$A$150, Discretionaries!$B$2:'Discretionaries'!$B$150)),AP331-$Q331,"")</f>
        <v/>
      </c>
      <c r="AR331" s="140">
        <f>IF(AG331="", 0-CPI!$B$15, AG331-CPI!$B$15)</f>
        <v>2.4210863720962303E-2</v>
      </c>
      <c r="AS331" s="1" t="str">
        <f>IF(AND(AR331&gt;0, _xlfn.XLOOKUP($AM331, Discretionaries!$A$2:'Discretionaries'!$A$150, Discretionaries!$B$2:'Discretionaries'!$B$150)), (1+CPI!$B$15)*$N331, "")</f>
        <v/>
      </c>
      <c r="AT331" s="1" t="str">
        <f>IF(AND(AR331&gt;0, _xlfn.XLOOKUP($AM331, Discretionaries!$A$2:'Discretionaries'!$A$150, Discretionaries!$B$2:'Discretionaries'!$B$150)),AS331-$Q331,"")</f>
        <v/>
      </c>
    </row>
    <row r="332" spans="1:46" x14ac:dyDescent="0.3">
      <c r="A332" t="s">
        <v>431</v>
      </c>
      <c r="B332" t="str">
        <f t="shared" si="125"/>
        <v>23</v>
      </c>
      <c r="C332" t="s">
        <v>433</v>
      </c>
      <c r="D332" t="str">
        <f t="shared" si="126"/>
        <v>23</v>
      </c>
      <c r="E332" t="s">
        <v>14</v>
      </c>
      <c r="F332" s="139" t="s">
        <v>19</v>
      </c>
      <c r="G332" t="s">
        <v>20</v>
      </c>
      <c r="H332" s="156">
        <v>322</v>
      </c>
      <c r="I332" s="156">
        <v>306.52999999999997</v>
      </c>
      <c r="J332" s="156">
        <v>341</v>
      </c>
      <c r="K332" s="156">
        <v>362.88</v>
      </c>
      <c r="L332" s="156">
        <v>407</v>
      </c>
      <c r="M332" s="156">
        <v>406.65</v>
      </c>
      <c r="N332" s="156">
        <v>480</v>
      </c>
      <c r="O332" s="156">
        <v>473</v>
      </c>
      <c r="P332" s="156">
        <v>473</v>
      </c>
      <c r="Q332" s="156">
        <v>473</v>
      </c>
      <c r="R332" s="156">
        <v>473</v>
      </c>
      <c r="S332" s="156">
        <f t="shared" si="127"/>
        <v>-7</v>
      </c>
      <c r="T332" s="156">
        <f t="shared" si="128"/>
        <v>0</v>
      </c>
      <c r="U332" s="140">
        <f t="shared" si="129"/>
        <v>-1.4583333333333334E-2</v>
      </c>
      <c r="V332" s="140">
        <f t="shared" si="130"/>
        <v>-4.8043478260869653E-2</v>
      </c>
      <c r="W332" s="140">
        <f t="shared" si="131"/>
        <v>6.4164222873900278E-2</v>
      </c>
      <c r="X332" s="140">
        <f t="shared" si="132"/>
        <v>-8.5995085995091577E-4</v>
      </c>
      <c r="Y332" s="140">
        <f t="shared" si="133"/>
        <v>5.9006211180124224E-2</v>
      </c>
      <c r="Z332" s="140">
        <f t="shared" si="134"/>
        <v>0.18383192509705421</v>
      </c>
      <c r="AA332" s="140">
        <f t="shared" si="135"/>
        <v>0.19354838709677419</v>
      </c>
      <c r="AB332" s="140">
        <f t="shared" si="136"/>
        <v>0.12061838624338619</v>
      </c>
      <c r="AC332" s="140">
        <f t="shared" si="137"/>
        <v>0.17936117936117937</v>
      </c>
      <c r="AD332" s="140">
        <f t="shared" si="138"/>
        <v>0.49068322981366458</v>
      </c>
      <c r="AE332" s="140">
        <f t="shared" si="139"/>
        <v>-1.4583333333333334E-2</v>
      </c>
      <c r="AF332" s="140">
        <f t="shared" si="140"/>
        <v>-1.4583333333333334E-2</v>
      </c>
      <c r="AG332" s="140">
        <f t="shared" si="141"/>
        <v>-1.4583333333333334E-2</v>
      </c>
      <c r="AH332" s="140">
        <f t="shared" si="142"/>
        <v>-1.4583333333333334E-2</v>
      </c>
      <c r="AI332" s="140">
        <f t="shared" si="143"/>
        <v>0.46894409937888198</v>
      </c>
      <c r="AJ332" s="140">
        <f t="shared" si="144"/>
        <v>0.46894409937888198</v>
      </c>
      <c r="AK332" s="140">
        <f t="shared" si="145"/>
        <v>0.46894409937888198</v>
      </c>
      <c r="AL332" s="140">
        <f t="shared" si="146"/>
        <v>0.46894409937888198</v>
      </c>
      <c r="AM332" t="str">
        <f t="shared" si="147"/>
        <v>4260-000: Workers' comp Benefits</v>
      </c>
      <c r="AN332" s="140">
        <f t="shared" si="148"/>
        <v>0.14397192587935925</v>
      </c>
      <c r="AO332" s="140">
        <f t="shared" si="149"/>
        <v>-0.15855525921269259</v>
      </c>
      <c r="AP332" s="1" t="str">
        <f>IF(AND(AO332&gt;0, _xlfn.XLOOKUP($AM332, Discretionaries!$A$2:'Discretionaries'!$A$150, Discretionaries!$B$2:'Discretionaries'!$B$150)), (1+AN332)*$N332, "")</f>
        <v/>
      </c>
      <c r="AQ332" s="1" t="str">
        <f>IF(AND(AO332&gt;0, _xlfn.XLOOKUP($AM332, Discretionaries!$A$2:'Discretionaries'!$A$150, Discretionaries!$B$2:'Discretionaries'!$B$150)),AP332-$Q332,"")</f>
        <v/>
      </c>
      <c r="AR332" s="140">
        <f>IF(AG332="", 0-CPI!$B$15, AG332-CPI!$B$15)</f>
        <v>-5.358333333333333E-2</v>
      </c>
      <c r="AS332" s="1" t="str">
        <f>IF(AND(AR332&gt;0, _xlfn.XLOOKUP($AM332, Discretionaries!$A$2:'Discretionaries'!$A$150, Discretionaries!$B$2:'Discretionaries'!$B$150)), (1+CPI!$B$15)*$N332, "")</f>
        <v/>
      </c>
      <c r="AT332" s="1" t="str">
        <f>IF(AND(AR332&gt;0, _xlfn.XLOOKUP($AM332, Discretionaries!$A$2:'Discretionaries'!$A$150, Discretionaries!$B$2:'Discretionaries'!$B$150)),AS332-$Q332,"")</f>
        <v/>
      </c>
    </row>
    <row r="333" spans="1:46" x14ac:dyDescent="0.3">
      <c r="A333" t="s">
        <v>431</v>
      </c>
      <c r="B333" t="str">
        <f t="shared" si="125"/>
        <v>23</v>
      </c>
      <c r="C333" t="s">
        <v>433</v>
      </c>
      <c r="D333" t="str">
        <f t="shared" si="126"/>
        <v>23</v>
      </c>
      <c r="E333" t="s">
        <v>21</v>
      </c>
      <c r="F333" s="139" t="s">
        <v>131</v>
      </c>
      <c r="G333" t="s">
        <v>132</v>
      </c>
      <c r="H333" s="156">
        <v>1200</v>
      </c>
      <c r="I333" s="156">
        <v>505</v>
      </c>
      <c r="J333" s="156">
        <v>1200</v>
      </c>
      <c r="K333" s="156">
        <v>891.99</v>
      </c>
      <c r="L333" s="156">
        <v>750</v>
      </c>
      <c r="M333" s="156">
        <v>1074.47</v>
      </c>
      <c r="N333" s="156">
        <v>750</v>
      </c>
      <c r="O333" s="156">
        <v>750</v>
      </c>
      <c r="P333" s="156">
        <v>750</v>
      </c>
      <c r="Q333" s="156">
        <v>750</v>
      </c>
      <c r="R333" s="156">
        <v>750</v>
      </c>
      <c r="S333" s="156">
        <f t="shared" si="127"/>
        <v>0</v>
      </c>
      <c r="T333" s="156">
        <f t="shared" si="128"/>
        <v>0</v>
      </c>
      <c r="U333" s="140">
        <f t="shared" si="129"/>
        <v>0</v>
      </c>
      <c r="V333" s="140">
        <f t="shared" si="130"/>
        <v>-0.57916666666666672</v>
      </c>
      <c r="W333" s="140">
        <f t="shared" si="131"/>
        <v>-0.25667499999999999</v>
      </c>
      <c r="X333" s="140">
        <f t="shared" si="132"/>
        <v>0.43262666666666671</v>
      </c>
      <c r="Y333" s="140">
        <f t="shared" si="133"/>
        <v>0</v>
      </c>
      <c r="Z333" s="140">
        <f t="shared" si="134"/>
        <v>0.76631683168316833</v>
      </c>
      <c r="AA333" s="140">
        <f t="shared" si="135"/>
        <v>-0.375</v>
      </c>
      <c r="AB333" s="140">
        <f t="shared" si="136"/>
        <v>0.20457628448749426</v>
      </c>
      <c r="AC333" s="140">
        <f t="shared" si="137"/>
        <v>0</v>
      </c>
      <c r="AD333" s="140">
        <f t="shared" si="138"/>
        <v>-0.375</v>
      </c>
      <c r="AE333" s="140">
        <f t="shared" si="139"/>
        <v>0</v>
      </c>
      <c r="AF333" s="140">
        <f t="shared" si="140"/>
        <v>0</v>
      </c>
      <c r="AG333" s="140">
        <f t="shared" si="141"/>
        <v>0</v>
      </c>
      <c r="AH333" s="140">
        <f t="shared" si="142"/>
        <v>0</v>
      </c>
      <c r="AI333" s="140">
        <f t="shared" si="143"/>
        <v>-0.375</v>
      </c>
      <c r="AJ333" s="140">
        <f t="shared" si="144"/>
        <v>-0.375</v>
      </c>
      <c r="AK333" s="140">
        <f t="shared" si="145"/>
        <v>-0.375</v>
      </c>
      <c r="AL333" s="140">
        <f t="shared" si="146"/>
        <v>-0.375</v>
      </c>
      <c r="AM333" t="str">
        <f t="shared" si="147"/>
        <v>4241-000: Training Benefits</v>
      </c>
      <c r="AN333" s="140">
        <f t="shared" si="148"/>
        <v>-0.125</v>
      </c>
      <c r="AO333" s="140">
        <f t="shared" si="149"/>
        <v>0.125</v>
      </c>
      <c r="AP333" s="1" t="str">
        <f>IF(AND(AO333&gt;0, _xlfn.XLOOKUP($AM333, Discretionaries!$A$2:'Discretionaries'!$A$150, Discretionaries!$B$2:'Discretionaries'!$B$150)), (1+AN333)*$N333, "")</f>
        <v/>
      </c>
      <c r="AQ333" s="1" t="str">
        <f>IF(AND(AO333&gt;0, _xlfn.XLOOKUP($AM333, Discretionaries!$A$2:'Discretionaries'!$A$150, Discretionaries!$B$2:'Discretionaries'!$B$150)),AP333-$Q333,"")</f>
        <v/>
      </c>
      <c r="AR333" s="140">
        <f>IF(AG333="", 0-CPI!$B$15, AG333-CPI!$B$15)</f>
        <v>-3.8999999999999993E-2</v>
      </c>
      <c r="AS333" s="1" t="str">
        <f>IF(AND(AR333&gt;0, _xlfn.XLOOKUP($AM333, Discretionaries!$A$2:'Discretionaries'!$A$150, Discretionaries!$B$2:'Discretionaries'!$B$150)), (1+CPI!$B$15)*$N333, "")</f>
        <v/>
      </c>
      <c r="AT333" s="1" t="str">
        <f>IF(AND(AR333&gt;0, _xlfn.XLOOKUP($AM333, Discretionaries!$A$2:'Discretionaries'!$A$150, Discretionaries!$B$2:'Discretionaries'!$B$150)),AS333-$Q333,"")</f>
        <v/>
      </c>
    </row>
    <row r="334" spans="1:46" x14ac:dyDescent="0.3">
      <c r="A334" t="s">
        <v>431</v>
      </c>
      <c r="B334" t="str">
        <f t="shared" si="125"/>
        <v>23</v>
      </c>
      <c r="C334" t="s">
        <v>433</v>
      </c>
      <c r="D334" t="str">
        <f t="shared" si="126"/>
        <v>23</v>
      </c>
      <c r="E334" t="s">
        <v>133</v>
      </c>
      <c r="F334" s="139" t="s">
        <v>134</v>
      </c>
      <c r="G334" t="s">
        <v>135</v>
      </c>
      <c r="H334" s="156">
        <v>800</v>
      </c>
      <c r="I334" s="156">
        <v>800</v>
      </c>
      <c r="J334" s="156">
        <v>800</v>
      </c>
      <c r="K334" s="156">
        <v>544</v>
      </c>
      <c r="L334" s="156">
        <v>800</v>
      </c>
      <c r="M334" s="156">
        <v>800</v>
      </c>
      <c r="N334" s="156">
        <v>800</v>
      </c>
      <c r="O334" s="156">
        <v>800</v>
      </c>
      <c r="P334" s="156">
        <v>800</v>
      </c>
      <c r="Q334" s="156">
        <v>800</v>
      </c>
      <c r="R334" s="156">
        <v>800</v>
      </c>
      <c r="S334" s="156">
        <f t="shared" si="127"/>
        <v>0</v>
      </c>
      <c r="T334" s="156">
        <f t="shared" si="128"/>
        <v>0</v>
      </c>
      <c r="U334" s="140">
        <f t="shared" si="129"/>
        <v>0</v>
      </c>
      <c r="V334" s="140">
        <f t="shared" si="130"/>
        <v>0</v>
      </c>
      <c r="W334" s="140">
        <f t="shared" si="131"/>
        <v>-0.32</v>
      </c>
      <c r="X334" s="140">
        <f t="shared" si="132"/>
        <v>0</v>
      </c>
      <c r="Y334" s="140">
        <f t="shared" si="133"/>
        <v>0</v>
      </c>
      <c r="Z334" s="140">
        <f t="shared" si="134"/>
        <v>-0.32</v>
      </c>
      <c r="AA334" s="140">
        <f t="shared" si="135"/>
        <v>0</v>
      </c>
      <c r="AB334" s="140">
        <f t="shared" si="136"/>
        <v>0.47058823529411764</v>
      </c>
      <c r="AC334" s="140">
        <f t="shared" si="137"/>
        <v>0</v>
      </c>
      <c r="AD334" s="140">
        <f t="shared" si="138"/>
        <v>0</v>
      </c>
      <c r="AE334" s="140">
        <f t="shared" si="139"/>
        <v>0</v>
      </c>
      <c r="AF334" s="140">
        <f t="shared" si="140"/>
        <v>0</v>
      </c>
      <c r="AG334" s="140">
        <f t="shared" si="141"/>
        <v>0</v>
      </c>
      <c r="AH334" s="140">
        <f t="shared" si="142"/>
        <v>0</v>
      </c>
      <c r="AI334" s="140">
        <f t="shared" si="143"/>
        <v>0</v>
      </c>
      <c r="AJ334" s="140">
        <f t="shared" si="144"/>
        <v>0</v>
      </c>
      <c r="AK334" s="140">
        <f t="shared" si="145"/>
        <v>0</v>
      </c>
      <c r="AL334" s="140">
        <f t="shared" si="146"/>
        <v>0</v>
      </c>
      <c r="AM334" t="str">
        <f t="shared" si="147"/>
        <v>4490-000: Clothing allowance Services</v>
      </c>
      <c r="AN334" s="140">
        <f t="shared" si="148"/>
        <v>0</v>
      </c>
      <c r="AO334" s="140">
        <f t="shared" si="149"/>
        <v>0</v>
      </c>
      <c r="AP334" s="1" t="str">
        <f>IF(AND(AO334&gt;0, _xlfn.XLOOKUP($AM334, Discretionaries!$A$2:'Discretionaries'!$A$150, Discretionaries!$B$2:'Discretionaries'!$B$150)), (1+AN334)*$N334, "")</f>
        <v/>
      </c>
      <c r="AQ334" s="1" t="str">
        <f>IF(AND(AO334&gt;0, _xlfn.XLOOKUP($AM334, Discretionaries!$A$2:'Discretionaries'!$A$150, Discretionaries!$B$2:'Discretionaries'!$B$150)),AP334-$Q334,"")</f>
        <v/>
      </c>
      <c r="AR334" s="140">
        <f>IF(AG334="", 0-CPI!$B$15, AG334-CPI!$B$15)</f>
        <v>-3.8999999999999993E-2</v>
      </c>
      <c r="AS334" s="1" t="str">
        <f>IF(AND(AR334&gt;0, _xlfn.XLOOKUP($AM334, Discretionaries!$A$2:'Discretionaries'!$A$150, Discretionaries!$B$2:'Discretionaries'!$B$150)), (1+CPI!$B$15)*$N334, "")</f>
        <v/>
      </c>
      <c r="AT334" s="1" t="str">
        <f>IF(AND(AR334&gt;0, _xlfn.XLOOKUP($AM334, Discretionaries!$A$2:'Discretionaries'!$A$150, Discretionaries!$B$2:'Discretionaries'!$B$150)),AS334-$Q334,"")</f>
        <v/>
      </c>
    </row>
    <row r="335" spans="1:46" x14ac:dyDescent="0.3">
      <c r="A335" t="s">
        <v>431</v>
      </c>
      <c r="B335" t="str">
        <f t="shared" si="125"/>
        <v>23</v>
      </c>
      <c r="C335" t="s">
        <v>433</v>
      </c>
      <c r="D335" t="str">
        <f t="shared" si="126"/>
        <v>23</v>
      </c>
      <c r="E335" t="s">
        <v>45</v>
      </c>
      <c r="F335" s="139" t="s">
        <v>46</v>
      </c>
      <c r="G335" t="s">
        <v>47</v>
      </c>
      <c r="H335" s="156">
        <v>2000</v>
      </c>
      <c r="I335" s="156">
        <v>976.49</v>
      </c>
      <c r="J335" s="156">
        <v>2000</v>
      </c>
      <c r="K335" s="156">
        <v>998.57</v>
      </c>
      <c r="L335" s="156">
        <v>2000</v>
      </c>
      <c r="M335" s="156">
        <v>1548.69</v>
      </c>
      <c r="N335" s="156">
        <v>2000</v>
      </c>
      <c r="O335" s="156">
        <v>2000</v>
      </c>
      <c r="P335" s="156">
        <v>2000</v>
      </c>
      <c r="Q335" s="156">
        <v>2000</v>
      </c>
      <c r="R335" s="156">
        <v>2000</v>
      </c>
      <c r="S335" s="156">
        <f t="shared" si="127"/>
        <v>0</v>
      </c>
      <c r="T335" s="156">
        <f t="shared" si="128"/>
        <v>0</v>
      </c>
      <c r="U335" s="140">
        <f t="shared" si="129"/>
        <v>0</v>
      </c>
      <c r="V335" s="140">
        <f t="shared" si="130"/>
        <v>-0.51175499999999996</v>
      </c>
      <c r="W335" s="140">
        <f t="shared" si="131"/>
        <v>-0.50071500000000002</v>
      </c>
      <c r="X335" s="140">
        <f t="shared" si="132"/>
        <v>-0.22565499999999997</v>
      </c>
      <c r="Y335" s="140">
        <f t="shared" si="133"/>
        <v>0</v>
      </c>
      <c r="Z335" s="140">
        <f t="shared" si="134"/>
        <v>2.2611598685086422E-2</v>
      </c>
      <c r="AA335" s="140">
        <f t="shared" si="135"/>
        <v>0</v>
      </c>
      <c r="AB335" s="140">
        <f t="shared" si="136"/>
        <v>0.55090779815135638</v>
      </c>
      <c r="AC335" s="140">
        <f t="shared" si="137"/>
        <v>0</v>
      </c>
      <c r="AD335" s="140">
        <f t="shared" si="138"/>
        <v>0</v>
      </c>
      <c r="AE335" s="140">
        <f t="shared" si="139"/>
        <v>0</v>
      </c>
      <c r="AF335" s="140">
        <f t="shared" si="140"/>
        <v>0</v>
      </c>
      <c r="AG335" s="140">
        <f t="shared" si="141"/>
        <v>0</v>
      </c>
      <c r="AH335" s="140">
        <f t="shared" si="142"/>
        <v>0</v>
      </c>
      <c r="AI335" s="140">
        <f t="shared" si="143"/>
        <v>0</v>
      </c>
      <c r="AJ335" s="140">
        <f t="shared" si="144"/>
        <v>0</v>
      </c>
      <c r="AK335" s="140">
        <f t="shared" si="145"/>
        <v>0</v>
      </c>
      <c r="AL335" s="140">
        <f t="shared" si="146"/>
        <v>0</v>
      </c>
      <c r="AM335" t="str">
        <f t="shared" si="147"/>
        <v>4560-000: Dues &amp; subs Services</v>
      </c>
      <c r="AN335" s="140">
        <f t="shared" si="148"/>
        <v>0</v>
      </c>
      <c r="AO335" s="140">
        <f t="shared" si="149"/>
        <v>0</v>
      </c>
      <c r="AP335" s="1" t="str">
        <f>IF(AND(AO335&gt;0, _xlfn.XLOOKUP($AM335, Discretionaries!$A$2:'Discretionaries'!$A$150, Discretionaries!$B$2:'Discretionaries'!$B$150)), (1+AN335)*$N335, "")</f>
        <v/>
      </c>
      <c r="AQ335" s="1" t="str">
        <f>IF(AND(AO335&gt;0, _xlfn.XLOOKUP($AM335, Discretionaries!$A$2:'Discretionaries'!$A$150, Discretionaries!$B$2:'Discretionaries'!$B$150)),AP335-$Q335,"")</f>
        <v/>
      </c>
      <c r="AR335" s="140">
        <f>IF(AG335="", 0-CPI!$B$15, AG335-CPI!$B$15)</f>
        <v>-3.8999999999999993E-2</v>
      </c>
      <c r="AS335" s="1" t="str">
        <f>IF(AND(AR335&gt;0, _xlfn.XLOOKUP($AM335, Discretionaries!$A$2:'Discretionaries'!$A$150, Discretionaries!$B$2:'Discretionaries'!$B$150)), (1+CPI!$B$15)*$N335, "")</f>
        <v/>
      </c>
      <c r="AT335" s="1" t="str">
        <f>IF(AND(AR335&gt;0, _xlfn.XLOOKUP($AM335, Discretionaries!$A$2:'Discretionaries'!$A$150, Discretionaries!$B$2:'Discretionaries'!$B$150)),AS335-$Q335,"")</f>
        <v/>
      </c>
    </row>
    <row r="336" spans="1:46" x14ac:dyDescent="0.3">
      <c r="A336" t="s">
        <v>431</v>
      </c>
      <c r="B336" t="str">
        <f t="shared" si="125"/>
        <v>23</v>
      </c>
      <c r="C336" t="s">
        <v>433</v>
      </c>
      <c r="D336" t="str">
        <f t="shared" si="126"/>
        <v>23</v>
      </c>
      <c r="E336" t="s">
        <v>30</v>
      </c>
      <c r="F336" s="139" t="s">
        <v>33</v>
      </c>
      <c r="G336" t="s">
        <v>34</v>
      </c>
      <c r="H336" s="156">
        <v>26000</v>
      </c>
      <c r="I336" s="156">
        <v>26780.09</v>
      </c>
      <c r="J336" s="156">
        <v>26000</v>
      </c>
      <c r="K336" s="156">
        <v>26521.78</v>
      </c>
      <c r="L336" s="156">
        <v>26000</v>
      </c>
      <c r="M336" s="156">
        <v>26519.87</v>
      </c>
      <c r="N336" s="156">
        <v>3000</v>
      </c>
      <c r="O336" s="156">
        <v>2500</v>
      </c>
      <c r="P336" s="156">
        <v>2500</v>
      </c>
      <c r="Q336" s="156">
        <v>2500</v>
      </c>
      <c r="R336" s="156">
        <v>3000</v>
      </c>
      <c r="S336" s="156">
        <f t="shared" si="127"/>
        <v>-500</v>
      </c>
      <c r="T336" s="156">
        <f t="shared" si="128"/>
        <v>-500</v>
      </c>
      <c r="U336" s="140">
        <f t="shared" si="129"/>
        <v>-0.16666666666666666</v>
      </c>
      <c r="V336" s="140">
        <f t="shared" si="130"/>
        <v>3.0003461538461545E-2</v>
      </c>
      <c r="W336" s="140">
        <f t="shared" si="131"/>
        <v>2.0068461538461493E-2</v>
      </c>
      <c r="X336" s="140">
        <f t="shared" si="132"/>
        <v>1.9994999999999961E-2</v>
      </c>
      <c r="Y336" s="140">
        <f t="shared" si="133"/>
        <v>0</v>
      </c>
      <c r="Z336" s="140">
        <f t="shared" si="134"/>
        <v>-9.6455986518343036E-3</v>
      </c>
      <c r="AA336" s="140">
        <f t="shared" si="135"/>
        <v>0</v>
      </c>
      <c r="AB336" s="140">
        <f t="shared" si="136"/>
        <v>-7.2016282466706786E-5</v>
      </c>
      <c r="AC336" s="140">
        <f t="shared" si="137"/>
        <v>-0.88461538461538458</v>
      </c>
      <c r="AD336" s="140">
        <f t="shared" si="138"/>
        <v>-0.88461538461538458</v>
      </c>
      <c r="AE336" s="140">
        <f t="shared" si="139"/>
        <v>-0.16666666666666666</v>
      </c>
      <c r="AF336" s="140">
        <f t="shared" si="140"/>
        <v>-0.16666666666666666</v>
      </c>
      <c r="AG336" s="140">
        <f t="shared" si="141"/>
        <v>-0.16666666666666666</v>
      </c>
      <c r="AH336" s="140">
        <f t="shared" si="142"/>
        <v>0</v>
      </c>
      <c r="AI336" s="140">
        <f t="shared" si="143"/>
        <v>-0.90384615384615385</v>
      </c>
      <c r="AJ336" s="140">
        <f t="shared" si="144"/>
        <v>-0.90384615384615385</v>
      </c>
      <c r="AK336" s="140">
        <f t="shared" si="145"/>
        <v>-0.90384615384615385</v>
      </c>
      <c r="AL336" s="140">
        <f t="shared" si="146"/>
        <v>-0.88461538461538458</v>
      </c>
      <c r="AM336" t="str">
        <f t="shared" si="147"/>
        <v>4680-000: Dept. expense Supplies</v>
      </c>
      <c r="AN336" s="140">
        <f t="shared" si="148"/>
        <v>-0.29487179487179488</v>
      </c>
      <c r="AO336" s="140">
        <f t="shared" si="149"/>
        <v>0.12820512820512822</v>
      </c>
      <c r="AP336" s="1">
        <f>IF(AND(AO336&gt;0, _xlfn.XLOOKUP($AM336, Discretionaries!$A$2:'Discretionaries'!$A$150, Discretionaries!$B$2:'Discretionaries'!$B$150)), (1+AN336)*$N336, "")</f>
        <v>2115.3846153846152</v>
      </c>
      <c r="AQ336" s="1">
        <f>IF(AND(AO336&gt;0, _xlfn.XLOOKUP($AM336, Discretionaries!$A$2:'Discretionaries'!$A$150, Discretionaries!$B$2:'Discretionaries'!$B$150)),AP336-$Q336,"")</f>
        <v>-384.61538461538476</v>
      </c>
      <c r="AR336" s="140">
        <f>IF(AG336="", 0-CPI!$B$15, AG336-CPI!$B$15)</f>
        <v>-0.20566666666666666</v>
      </c>
      <c r="AS336" s="1" t="str">
        <f>IF(AND(AR336&gt;0, _xlfn.XLOOKUP($AM336, Discretionaries!$A$2:'Discretionaries'!$A$150, Discretionaries!$B$2:'Discretionaries'!$B$150)), (1+CPI!$B$15)*$N336, "")</f>
        <v/>
      </c>
      <c r="AT336" s="1" t="str">
        <f>IF(AND(AR336&gt;0, _xlfn.XLOOKUP($AM336, Discretionaries!$A$2:'Discretionaries'!$A$150, Discretionaries!$B$2:'Discretionaries'!$B$150)),AS336-$Q336,"")</f>
        <v/>
      </c>
    </row>
    <row r="337" spans="1:46" x14ac:dyDescent="0.3">
      <c r="A337" t="s">
        <v>431</v>
      </c>
      <c r="B337" t="str">
        <f t="shared" si="125"/>
        <v>23</v>
      </c>
      <c r="C337" t="s">
        <v>434</v>
      </c>
      <c r="D337" t="str">
        <f t="shared" si="126"/>
        <v>24</v>
      </c>
      <c r="E337" t="s">
        <v>11</v>
      </c>
      <c r="F337" s="139" t="s">
        <v>35</v>
      </c>
      <c r="G337" t="s">
        <v>36</v>
      </c>
      <c r="H337" s="156">
        <v>267229</v>
      </c>
      <c r="I337" s="156">
        <v>207881</v>
      </c>
      <c r="J337" s="156">
        <v>261018</v>
      </c>
      <c r="K337" s="156">
        <v>246881.6</v>
      </c>
      <c r="L337" s="156">
        <v>271468</v>
      </c>
      <c r="M337" s="156">
        <v>252715.51</v>
      </c>
      <c r="N337" s="156">
        <v>269399</v>
      </c>
      <c r="O337" s="156">
        <v>272082</v>
      </c>
      <c r="P337" s="156">
        <v>272082</v>
      </c>
      <c r="Q337" s="156">
        <v>272082</v>
      </c>
      <c r="R337" s="156">
        <v>272082</v>
      </c>
      <c r="S337" s="156">
        <f t="shared" si="127"/>
        <v>2683</v>
      </c>
      <c r="T337" s="156">
        <f t="shared" si="128"/>
        <v>0</v>
      </c>
      <c r="U337" s="140">
        <f t="shared" si="129"/>
        <v>9.9592054907405008E-3</v>
      </c>
      <c r="V337" s="140">
        <f t="shared" si="130"/>
        <v>-0.22208667472467433</v>
      </c>
      <c r="W337" s="140">
        <f t="shared" si="131"/>
        <v>-5.4158717023347028E-2</v>
      </c>
      <c r="X337" s="140">
        <f t="shared" si="132"/>
        <v>-6.9078086551637732E-2</v>
      </c>
      <c r="Y337" s="140">
        <f t="shared" si="133"/>
        <v>-2.3242237930763503E-2</v>
      </c>
      <c r="Z337" s="140">
        <f t="shared" si="134"/>
        <v>0.18761021930816191</v>
      </c>
      <c r="AA337" s="140">
        <f t="shared" si="135"/>
        <v>4.0035553103617373E-2</v>
      </c>
      <c r="AB337" s="140">
        <f t="shared" si="136"/>
        <v>2.363039610890404E-2</v>
      </c>
      <c r="AC337" s="140">
        <f t="shared" si="137"/>
        <v>-7.6215244522374647E-3</v>
      </c>
      <c r="AD337" s="140">
        <f t="shared" si="138"/>
        <v>8.1203761567793919E-3</v>
      </c>
      <c r="AE337" s="140">
        <f t="shared" si="139"/>
        <v>9.9592054907405008E-3</v>
      </c>
      <c r="AF337" s="140">
        <f t="shared" si="140"/>
        <v>9.9592054907405008E-3</v>
      </c>
      <c r="AG337" s="140">
        <f t="shared" si="141"/>
        <v>9.9592054907405008E-3</v>
      </c>
      <c r="AH337" s="140">
        <f t="shared" si="142"/>
        <v>9.9592054907405008E-3</v>
      </c>
      <c r="AI337" s="140">
        <f t="shared" si="143"/>
        <v>1.8160454142327368E-2</v>
      </c>
      <c r="AJ337" s="140">
        <f t="shared" si="144"/>
        <v>1.8160454142327368E-2</v>
      </c>
      <c r="AK337" s="140">
        <f t="shared" si="145"/>
        <v>1.8160454142327368E-2</v>
      </c>
      <c r="AL337" s="140">
        <f t="shared" si="146"/>
        <v>1.8160454142327368E-2</v>
      </c>
      <c r="AM337" t="str">
        <f t="shared" si="147"/>
        <v>4110-000: Regular Salaries</v>
      </c>
      <c r="AN337" s="140">
        <f t="shared" si="148"/>
        <v>3.0572635735388021E-3</v>
      </c>
      <c r="AO337" s="140">
        <f t="shared" si="149"/>
        <v>6.9019419172016983E-3</v>
      </c>
      <c r="AP337" s="1" t="str">
        <f>IF(AND(AO337&gt;0, _xlfn.XLOOKUP($AM337, Discretionaries!$A$2:'Discretionaries'!$A$150, Discretionaries!$B$2:'Discretionaries'!$B$150)), (1+AN337)*$N337, "")</f>
        <v/>
      </c>
      <c r="AQ337" s="1" t="str">
        <f>IF(AND(AO337&gt;0, _xlfn.XLOOKUP($AM337, Discretionaries!$A$2:'Discretionaries'!$A$150, Discretionaries!$B$2:'Discretionaries'!$B$150)),AP337-$Q337,"")</f>
        <v/>
      </c>
      <c r="AR337" s="140">
        <f>IF(AG337="", 0-CPI!$B$15, AG337-CPI!$B$15)</f>
        <v>-2.904079450925949E-2</v>
      </c>
      <c r="AS337" s="1" t="str">
        <f>IF(AND(AR337&gt;0, _xlfn.XLOOKUP($AM337, Discretionaries!$A$2:'Discretionaries'!$A$150, Discretionaries!$B$2:'Discretionaries'!$B$150)), (1+CPI!$B$15)*$N337, "")</f>
        <v/>
      </c>
      <c r="AT337" s="1" t="str">
        <f>IF(AND(AR337&gt;0, _xlfn.XLOOKUP($AM337, Discretionaries!$A$2:'Discretionaries'!$A$150, Discretionaries!$B$2:'Discretionaries'!$B$150)),AS337-$Q337,"")</f>
        <v/>
      </c>
    </row>
    <row r="338" spans="1:46" x14ac:dyDescent="0.3">
      <c r="A338" t="s">
        <v>431</v>
      </c>
      <c r="B338" t="str">
        <f t="shared" si="125"/>
        <v>23</v>
      </c>
      <c r="C338" t="s">
        <v>434</v>
      </c>
      <c r="D338" t="str">
        <f t="shared" si="126"/>
        <v>24</v>
      </c>
      <c r="E338" t="s">
        <v>11</v>
      </c>
      <c r="F338" s="139" t="s">
        <v>37</v>
      </c>
      <c r="G338" t="s">
        <v>38</v>
      </c>
      <c r="H338" s="156">
        <v>20000</v>
      </c>
      <c r="I338" s="156">
        <v>21818.6</v>
      </c>
      <c r="J338" s="156">
        <v>25000</v>
      </c>
      <c r="K338" s="156">
        <v>0</v>
      </c>
      <c r="L338" s="156">
        <v>25000</v>
      </c>
      <c r="M338" s="156">
        <v>358.56</v>
      </c>
      <c r="N338" s="156">
        <v>25000</v>
      </c>
      <c r="O338" s="156">
        <v>25000</v>
      </c>
      <c r="P338" s="156">
        <v>25000</v>
      </c>
      <c r="Q338" s="156">
        <v>25000</v>
      </c>
      <c r="R338" s="156">
        <v>25000</v>
      </c>
      <c r="S338" s="156">
        <f t="shared" si="127"/>
        <v>0</v>
      </c>
      <c r="T338" s="156">
        <f t="shared" si="128"/>
        <v>0</v>
      </c>
      <c r="U338" s="140">
        <f t="shared" si="129"/>
        <v>0</v>
      </c>
      <c r="V338" s="140">
        <f t="shared" si="130"/>
        <v>9.0929999999999928E-2</v>
      </c>
      <c r="W338" s="140">
        <f t="shared" si="131"/>
        <v>-1</v>
      </c>
      <c r="X338" s="140">
        <f t="shared" si="132"/>
        <v>-0.98565759999999991</v>
      </c>
      <c r="Y338" s="140">
        <f t="shared" si="133"/>
        <v>0.25</v>
      </c>
      <c r="Z338" s="140">
        <f t="shared" si="134"/>
        <v>-1</v>
      </c>
      <c r="AA338" s="140">
        <f t="shared" si="135"/>
        <v>0</v>
      </c>
      <c r="AB338" s="140" t="str">
        <f t="shared" si="136"/>
        <v/>
      </c>
      <c r="AC338" s="140">
        <f t="shared" si="137"/>
        <v>0</v>
      </c>
      <c r="AD338" s="140">
        <f t="shared" si="138"/>
        <v>0.25</v>
      </c>
      <c r="AE338" s="140">
        <f t="shared" si="139"/>
        <v>0</v>
      </c>
      <c r="AF338" s="140">
        <f t="shared" si="140"/>
        <v>0</v>
      </c>
      <c r="AG338" s="140">
        <f t="shared" si="141"/>
        <v>0</v>
      </c>
      <c r="AH338" s="140">
        <f t="shared" si="142"/>
        <v>0</v>
      </c>
      <c r="AI338" s="140">
        <f t="shared" si="143"/>
        <v>0.25</v>
      </c>
      <c r="AJ338" s="140">
        <f t="shared" si="144"/>
        <v>0.25</v>
      </c>
      <c r="AK338" s="140">
        <f t="shared" si="145"/>
        <v>0.25</v>
      </c>
      <c r="AL338" s="140">
        <f t="shared" si="146"/>
        <v>0.25</v>
      </c>
      <c r="AM338" t="str">
        <f t="shared" si="147"/>
        <v>4120-000: Part-time Salaries</v>
      </c>
      <c r="AN338" s="140">
        <f t="shared" si="148"/>
        <v>8.3333333333333329E-2</v>
      </c>
      <c r="AO338" s="140">
        <f t="shared" si="149"/>
        <v>-8.3333333333333329E-2</v>
      </c>
      <c r="AP338" s="1" t="str">
        <f>IF(AND(AO338&gt;0, _xlfn.XLOOKUP($AM338, Discretionaries!$A$2:'Discretionaries'!$A$150, Discretionaries!$B$2:'Discretionaries'!$B$150)), (1+AN338)*$N338, "")</f>
        <v/>
      </c>
      <c r="AQ338" s="1" t="str">
        <f>IF(AND(AO338&gt;0, _xlfn.XLOOKUP($AM338, Discretionaries!$A$2:'Discretionaries'!$A$150, Discretionaries!$B$2:'Discretionaries'!$B$150)),AP338-$Q338,"")</f>
        <v/>
      </c>
      <c r="AR338" s="140">
        <f>IF(AG338="", 0-CPI!$B$15, AG338-CPI!$B$15)</f>
        <v>-3.8999999999999993E-2</v>
      </c>
      <c r="AS338" s="1" t="str">
        <f>IF(AND(AR338&gt;0, _xlfn.XLOOKUP($AM338, Discretionaries!$A$2:'Discretionaries'!$A$150, Discretionaries!$B$2:'Discretionaries'!$B$150)), (1+CPI!$B$15)*$N338, "")</f>
        <v/>
      </c>
      <c r="AT338" s="1" t="str">
        <f>IF(AND(AR338&gt;0, _xlfn.XLOOKUP($AM338, Discretionaries!$A$2:'Discretionaries'!$A$150, Discretionaries!$B$2:'Discretionaries'!$B$150)),AS338-$Q338,"")</f>
        <v/>
      </c>
    </row>
    <row r="339" spans="1:46" x14ac:dyDescent="0.3">
      <c r="A339" t="s">
        <v>431</v>
      </c>
      <c r="B339" t="str">
        <f t="shared" si="125"/>
        <v>23</v>
      </c>
      <c r="C339" t="s">
        <v>434</v>
      </c>
      <c r="D339" t="str">
        <f t="shared" si="126"/>
        <v>24</v>
      </c>
      <c r="E339" t="s">
        <v>11</v>
      </c>
      <c r="F339" s="139" t="s">
        <v>39</v>
      </c>
      <c r="G339" t="s">
        <v>40</v>
      </c>
      <c r="H339" s="156">
        <v>77962</v>
      </c>
      <c r="I339" s="156">
        <v>82137.97</v>
      </c>
      <c r="J339" s="156">
        <v>72397</v>
      </c>
      <c r="K339" s="156">
        <v>73228.679999999993</v>
      </c>
      <c r="L339" s="156">
        <v>73831</v>
      </c>
      <c r="M339" s="156">
        <v>67125.53</v>
      </c>
      <c r="N339" s="156">
        <v>76055</v>
      </c>
      <c r="O339" s="156">
        <v>77154</v>
      </c>
      <c r="P339" s="156">
        <v>77154</v>
      </c>
      <c r="Q339" s="156">
        <v>77154</v>
      </c>
      <c r="R339" s="156">
        <v>76055</v>
      </c>
      <c r="S339" s="156">
        <f t="shared" si="127"/>
        <v>1099</v>
      </c>
      <c r="T339" s="156">
        <f t="shared" si="128"/>
        <v>1099</v>
      </c>
      <c r="U339" s="140">
        <f t="shared" si="129"/>
        <v>1.4450069028992176E-2</v>
      </c>
      <c r="V339" s="140">
        <f t="shared" si="130"/>
        <v>5.3564172289063919E-2</v>
      </c>
      <c r="W339" s="140">
        <f t="shared" si="131"/>
        <v>1.148776883020005E-2</v>
      </c>
      <c r="X339" s="140">
        <f t="shared" si="132"/>
        <v>-9.0821876989340536E-2</v>
      </c>
      <c r="Y339" s="140">
        <f t="shared" si="133"/>
        <v>-7.1380929170621582E-2</v>
      </c>
      <c r="Z339" s="140">
        <f t="shared" si="134"/>
        <v>-0.10846737507635029</v>
      </c>
      <c r="AA339" s="140">
        <f t="shared" si="135"/>
        <v>1.9807450584968991E-2</v>
      </c>
      <c r="AB339" s="140">
        <f t="shared" si="136"/>
        <v>-8.3343711780684768E-2</v>
      </c>
      <c r="AC339" s="140">
        <f t="shared" si="137"/>
        <v>3.0122848126125881E-2</v>
      </c>
      <c r="AD339" s="140">
        <f t="shared" si="138"/>
        <v>-2.4460634668171673E-2</v>
      </c>
      <c r="AE339" s="140">
        <f t="shared" si="139"/>
        <v>1.4450069028992176E-2</v>
      </c>
      <c r="AF339" s="140">
        <f t="shared" si="140"/>
        <v>1.4450069028992176E-2</v>
      </c>
      <c r="AG339" s="140">
        <f t="shared" si="141"/>
        <v>1.4450069028992176E-2</v>
      </c>
      <c r="AH339" s="140">
        <f t="shared" si="142"/>
        <v>0</v>
      </c>
      <c r="AI339" s="140">
        <f t="shared" si="143"/>
        <v>-1.0364023498627537E-2</v>
      </c>
      <c r="AJ339" s="140">
        <f t="shared" si="144"/>
        <v>-1.0364023498627537E-2</v>
      </c>
      <c r="AK339" s="140">
        <f t="shared" si="145"/>
        <v>-1.0364023498627537E-2</v>
      </c>
      <c r="AL339" s="140">
        <f t="shared" si="146"/>
        <v>-2.4460634668171673E-2</v>
      </c>
      <c r="AM339" t="str">
        <f t="shared" si="147"/>
        <v>4140-000: Overtime Salaries</v>
      </c>
      <c r="AN339" s="140">
        <f t="shared" si="148"/>
        <v>-7.1502101531755692E-3</v>
      </c>
      <c r="AO339" s="140">
        <f t="shared" si="149"/>
        <v>2.1600279182167746E-2</v>
      </c>
      <c r="AP339" s="1" t="str">
        <f>IF(AND(AO339&gt;0, _xlfn.XLOOKUP($AM339, Discretionaries!$A$2:'Discretionaries'!$A$150, Discretionaries!$B$2:'Discretionaries'!$B$150)), (1+AN339)*$N339, "")</f>
        <v/>
      </c>
      <c r="AQ339" s="1" t="str">
        <f>IF(AND(AO339&gt;0, _xlfn.XLOOKUP($AM339, Discretionaries!$A$2:'Discretionaries'!$A$150, Discretionaries!$B$2:'Discretionaries'!$B$150)),AP339-$Q339,"")</f>
        <v/>
      </c>
      <c r="AR339" s="140">
        <f>IF(AG339="", 0-CPI!$B$15, AG339-CPI!$B$15)</f>
        <v>-2.4549930971007817E-2</v>
      </c>
      <c r="AS339" s="1" t="str">
        <f>IF(AND(AR339&gt;0, _xlfn.XLOOKUP($AM339, Discretionaries!$A$2:'Discretionaries'!$A$150, Discretionaries!$B$2:'Discretionaries'!$B$150)), (1+CPI!$B$15)*$N339, "")</f>
        <v/>
      </c>
      <c r="AT339" s="1" t="str">
        <f>IF(AND(AR339&gt;0, _xlfn.XLOOKUP($AM339, Discretionaries!$A$2:'Discretionaries'!$A$150, Discretionaries!$B$2:'Discretionaries'!$B$150)),AS339-$Q339,"")</f>
        <v/>
      </c>
    </row>
    <row r="340" spans="1:46" x14ac:dyDescent="0.3">
      <c r="A340" t="s">
        <v>431</v>
      </c>
      <c r="B340" t="str">
        <f t="shared" si="125"/>
        <v>23</v>
      </c>
      <c r="C340" t="s">
        <v>434</v>
      </c>
      <c r="D340" t="str">
        <f t="shared" si="126"/>
        <v>24</v>
      </c>
      <c r="E340" t="s">
        <v>11</v>
      </c>
      <c r="F340" s="139" t="s">
        <v>240</v>
      </c>
      <c r="G340" t="s">
        <v>241</v>
      </c>
      <c r="H340" s="156">
        <v>12124</v>
      </c>
      <c r="I340" s="156">
        <v>8471.6</v>
      </c>
      <c r="J340" s="156">
        <v>11967</v>
      </c>
      <c r="K340" s="156">
        <v>9712.76</v>
      </c>
      <c r="L340" s="156">
        <v>12312</v>
      </c>
      <c r="M340" s="156">
        <v>10680</v>
      </c>
      <c r="N340" s="156">
        <v>12212</v>
      </c>
      <c r="O340" s="156">
        <v>12336</v>
      </c>
      <c r="P340" s="156">
        <v>12336</v>
      </c>
      <c r="Q340" s="156">
        <v>12336</v>
      </c>
      <c r="R340" s="156">
        <v>12336</v>
      </c>
      <c r="S340" s="156">
        <f t="shared" si="127"/>
        <v>124</v>
      </c>
      <c r="T340" s="156">
        <f t="shared" si="128"/>
        <v>0</v>
      </c>
      <c r="U340" s="140">
        <f t="shared" si="129"/>
        <v>1.0153946937438586E-2</v>
      </c>
      <c r="V340" s="140">
        <f t="shared" si="130"/>
        <v>-0.30125371164632131</v>
      </c>
      <c r="W340" s="140">
        <f t="shared" si="131"/>
        <v>-0.18837135455836884</v>
      </c>
      <c r="X340" s="140">
        <f t="shared" si="132"/>
        <v>-0.13255360623781676</v>
      </c>
      <c r="Y340" s="140">
        <f t="shared" si="133"/>
        <v>-1.2949521610029694E-2</v>
      </c>
      <c r="Z340" s="140">
        <f t="shared" si="134"/>
        <v>0.14650833372680483</v>
      </c>
      <c r="AA340" s="140">
        <f t="shared" si="135"/>
        <v>2.8829280521433943E-2</v>
      </c>
      <c r="AB340" s="140">
        <f t="shared" si="136"/>
        <v>9.9584464148192664E-2</v>
      </c>
      <c r="AC340" s="140">
        <f t="shared" si="137"/>
        <v>-8.1221572449642621E-3</v>
      </c>
      <c r="AD340" s="140">
        <f t="shared" si="138"/>
        <v>7.2583305839656878E-3</v>
      </c>
      <c r="AE340" s="140">
        <f t="shared" si="139"/>
        <v>1.0153946937438586E-2</v>
      </c>
      <c r="AF340" s="140">
        <f t="shared" si="140"/>
        <v>1.0153946937438586E-2</v>
      </c>
      <c r="AG340" s="140">
        <f t="shared" si="141"/>
        <v>1.0153946937438586E-2</v>
      </c>
      <c r="AH340" s="140">
        <f t="shared" si="142"/>
        <v>1.0153946937438586E-2</v>
      </c>
      <c r="AI340" s="140">
        <f t="shared" si="143"/>
        <v>1.7485978225008247E-2</v>
      </c>
      <c r="AJ340" s="140">
        <f t="shared" si="144"/>
        <v>1.7485978225008247E-2</v>
      </c>
      <c r="AK340" s="140">
        <f t="shared" si="145"/>
        <v>1.7485978225008247E-2</v>
      </c>
      <c r="AL340" s="140">
        <f t="shared" si="146"/>
        <v>1.7485978225008247E-2</v>
      </c>
      <c r="AM340" t="str">
        <f t="shared" si="147"/>
        <v>4193-000: Holiday Salaries</v>
      </c>
      <c r="AN340" s="140">
        <f t="shared" si="148"/>
        <v>2.585867222146663E-3</v>
      </c>
      <c r="AO340" s="140">
        <f t="shared" si="149"/>
        <v>7.568079715291923E-3</v>
      </c>
      <c r="AP340" s="1" t="str">
        <f>IF(AND(AO340&gt;0, _xlfn.XLOOKUP($AM340, Discretionaries!$A$2:'Discretionaries'!$A$150, Discretionaries!$B$2:'Discretionaries'!$B$150)), (1+AN340)*$N340, "")</f>
        <v/>
      </c>
      <c r="AQ340" s="1" t="str">
        <f>IF(AND(AO340&gt;0, _xlfn.XLOOKUP($AM340, Discretionaries!$A$2:'Discretionaries'!$A$150, Discretionaries!$B$2:'Discretionaries'!$B$150)),AP340-$Q340,"")</f>
        <v/>
      </c>
      <c r="AR340" s="140">
        <f>IF(AG340="", 0-CPI!$B$15, AG340-CPI!$B$15)</f>
        <v>-2.8846053062561407E-2</v>
      </c>
      <c r="AS340" s="1" t="str">
        <f>IF(AND(AR340&gt;0, _xlfn.XLOOKUP($AM340, Discretionaries!$A$2:'Discretionaries'!$A$150, Discretionaries!$B$2:'Discretionaries'!$B$150)), (1+CPI!$B$15)*$N340, "")</f>
        <v/>
      </c>
      <c r="AT340" s="1" t="str">
        <f>IF(AND(AR340&gt;0, _xlfn.XLOOKUP($AM340, Discretionaries!$A$2:'Discretionaries'!$A$150, Discretionaries!$B$2:'Discretionaries'!$B$150)),AS340-$Q340,"")</f>
        <v/>
      </c>
    </row>
    <row r="341" spans="1:46" x14ac:dyDescent="0.3">
      <c r="A341" t="s">
        <v>431</v>
      </c>
      <c r="B341" t="str">
        <f t="shared" si="125"/>
        <v>23</v>
      </c>
      <c r="C341" t="s">
        <v>434</v>
      </c>
      <c r="D341" t="str">
        <f t="shared" si="126"/>
        <v>24</v>
      </c>
      <c r="E341" t="s">
        <v>14</v>
      </c>
      <c r="F341" s="139" t="s">
        <v>15</v>
      </c>
      <c r="G341" t="s">
        <v>16</v>
      </c>
      <c r="H341" s="156">
        <v>23443</v>
      </c>
      <c r="I341" s="156">
        <v>19509.169999999998</v>
      </c>
      <c r="J341" s="156">
        <v>22956</v>
      </c>
      <c r="K341" s="156">
        <v>19421.77</v>
      </c>
      <c r="L341" s="156">
        <v>23722</v>
      </c>
      <c r="M341" s="156">
        <v>19771.98</v>
      </c>
      <c r="N341" s="156">
        <v>23725</v>
      </c>
      <c r="O341" s="156">
        <v>23968</v>
      </c>
      <c r="P341" s="156">
        <v>23968</v>
      </c>
      <c r="Q341" s="156">
        <v>23968</v>
      </c>
      <c r="R341" s="156">
        <v>23900</v>
      </c>
      <c r="S341" s="156">
        <f t="shared" si="127"/>
        <v>243</v>
      </c>
      <c r="T341" s="156">
        <f t="shared" si="128"/>
        <v>68</v>
      </c>
      <c r="U341" s="140">
        <f t="shared" si="129"/>
        <v>1.0242360379346682E-2</v>
      </c>
      <c r="V341" s="140">
        <f t="shared" si="130"/>
        <v>-0.16780403531971172</v>
      </c>
      <c r="W341" s="140">
        <f t="shared" si="131"/>
        <v>-0.15395669977347967</v>
      </c>
      <c r="X341" s="140">
        <f t="shared" si="132"/>
        <v>-0.16651294157322319</v>
      </c>
      <c r="Y341" s="140">
        <f t="shared" si="133"/>
        <v>-2.0773791750202619E-2</v>
      </c>
      <c r="Z341" s="140">
        <f t="shared" si="134"/>
        <v>-4.4799445594045171E-3</v>
      </c>
      <c r="AA341" s="140">
        <f t="shared" si="135"/>
        <v>3.3368182610210836E-2</v>
      </c>
      <c r="AB341" s="140">
        <f t="shared" si="136"/>
        <v>1.8031827171261894E-2</v>
      </c>
      <c r="AC341" s="140">
        <f t="shared" si="137"/>
        <v>1.2646488491695472E-4</v>
      </c>
      <c r="AD341" s="140">
        <f t="shared" si="138"/>
        <v>1.202917715309474E-2</v>
      </c>
      <c r="AE341" s="140">
        <f t="shared" si="139"/>
        <v>1.0242360379346682E-2</v>
      </c>
      <c r="AF341" s="140">
        <f t="shared" si="140"/>
        <v>1.0242360379346682E-2</v>
      </c>
      <c r="AG341" s="140">
        <f t="shared" si="141"/>
        <v>1.0242360379346682E-2</v>
      </c>
      <c r="AH341" s="140">
        <f t="shared" si="142"/>
        <v>7.3761854583772393E-3</v>
      </c>
      <c r="AI341" s="140">
        <f t="shared" si="143"/>
        <v>2.2394744699910422E-2</v>
      </c>
      <c r="AJ341" s="140">
        <f t="shared" si="144"/>
        <v>2.2394744699910422E-2</v>
      </c>
      <c r="AK341" s="140">
        <f t="shared" si="145"/>
        <v>2.2394744699910422E-2</v>
      </c>
      <c r="AL341" s="140">
        <f t="shared" si="146"/>
        <v>1.949409205306488E-2</v>
      </c>
      <c r="AM341" t="str">
        <f t="shared" si="147"/>
        <v>4220-000: FICA Benefits</v>
      </c>
      <c r="AN341" s="140">
        <f t="shared" si="148"/>
        <v>4.2402852483083911E-3</v>
      </c>
      <c r="AO341" s="140">
        <f t="shared" si="149"/>
        <v>6.0020751310382904E-3</v>
      </c>
      <c r="AP341" s="1" t="str">
        <f>IF(AND(AO341&gt;0, _xlfn.XLOOKUP($AM341, Discretionaries!$A$2:'Discretionaries'!$A$150, Discretionaries!$B$2:'Discretionaries'!$B$150)), (1+AN341)*$N341, "")</f>
        <v/>
      </c>
      <c r="AQ341" s="1" t="str">
        <f>IF(AND(AO341&gt;0, _xlfn.XLOOKUP($AM341, Discretionaries!$A$2:'Discretionaries'!$A$150, Discretionaries!$B$2:'Discretionaries'!$B$150)),AP341-$Q341,"")</f>
        <v/>
      </c>
      <c r="AR341" s="140">
        <f>IF(AG341="", 0-CPI!$B$15, AG341-CPI!$B$15)</f>
        <v>-2.8757639620653312E-2</v>
      </c>
      <c r="AS341" s="1" t="str">
        <f>IF(AND(AR341&gt;0, _xlfn.XLOOKUP($AM341, Discretionaries!$A$2:'Discretionaries'!$A$150, Discretionaries!$B$2:'Discretionaries'!$B$150)), (1+CPI!$B$15)*$N341, "")</f>
        <v/>
      </c>
      <c r="AT341" s="1" t="str">
        <f>IF(AND(AR341&gt;0, _xlfn.XLOOKUP($AM341, Discretionaries!$A$2:'Discretionaries'!$A$150, Discretionaries!$B$2:'Discretionaries'!$B$150)),AS341-$Q341,"")</f>
        <v/>
      </c>
    </row>
    <row r="342" spans="1:46" x14ac:dyDescent="0.3">
      <c r="A342" t="s">
        <v>431</v>
      </c>
      <c r="B342" t="str">
        <f t="shared" si="125"/>
        <v>23</v>
      </c>
      <c r="C342" t="s">
        <v>434</v>
      </c>
      <c r="D342" t="str">
        <f t="shared" si="126"/>
        <v>24</v>
      </c>
      <c r="E342" t="s">
        <v>14</v>
      </c>
      <c r="F342" s="139" t="s">
        <v>17</v>
      </c>
      <c r="G342" t="s">
        <v>18</v>
      </c>
      <c r="H342" s="156">
        <v>5483</v>
      </c>
      <c r="I342" s="156">
        <v>4562.67</v>
      </c>
      <c r="J342" s="156">
        <v>5369</v>
      </c>
      <c r="K342" s="156">
        <v>4542.1899999999996</v>
      </c>
      <c r="L342" s="156">
        <v>5548</v>
      </c>
      <c r="M342" s="156">
        <v>4624.09</v>
      </c>
      <c r="N342" s="156">
        <v>5549</v>
      </c>
      <c r="O342" s="156">
        <v>5606</v>
      </c>
      <c r="P342" s="156">
        <v>5606</v>
      </c>
      <c r="Q342" s="156">
        <v>5606</v>
      </c>
      <c r="R342" s="156">
        <v>5590</v>
      </c>
      <c r="S342" s="156">
        <f t="shared" si="127"/>
        <v>57</v>
      </c>
      <c r="T342" s="156">
        <f t="shared" si="128"/>
        <v>16</v>
      </c>
      <c r="U342" s="140">
        <f t="shared" si="129"/>
        <v>1.0272121102901424E-2</v>
      </c>
      <c r="V342" s="140">
        <f t="shared" si="130"/>
        <v>-0.16785154112712017</v>
      </c>
      <c r="W342" s="140">
        <f t="shared" si="131"/>
        <v>-0.15399701992922341</v>
      </c>
      <c r="X342" s="140">
        <f t="shared" si="132"/>
        <v>-0.16653028118240804</v>
      </c>
      <c r="Y342" s="140">
        <f t="shared" si="133"/>
        <v>-2.0791537479482036E-2</v>
      </c>
      <c r="Z342" s="140">
        <f t="shared" si="134"/>
        <v>-4.4885998768266107E-3</v>
      </c>
      <c r="AA342" s="140">
        <f t="shared" si="135"/>
        <v>3.3339541814118086E-2</v>
      </c>
      <c r="AB342" s="140">
        <f t="shared" si="136"/>
        <v>1.803094982816671E-2</v>
      </c>
      <c r="AC342" s="140">
        <f t="shared" si="137"/>
        <v>1.8024513338139869E-4</v>
      </c>
      <c r="AD342" s="140">
        <f t="shared" si="138"/>
        <v>1.203720590917381E-2</v>
      </c>
      <c r="AE342" s="140">
        <f t="shared" si="139"/>
        <v>1.0272121102901424E-2</v>
      </c>
      <c r="AF342" s="140">
        <f t="shared" si="140"/>
        <v>1.0272121102901424E-2</v>
      </c>
      <c r="AG342" s="140">
        <f t="shared" si="141"/>
        <v>1.0272121102901424E-2</v>
      </c>
      <c r="AH342" s="140">
        <f t="shared" si="142"/>
        <v>7.3887186880519009E-3</v>
      </c>
      <c r="AI342" s="140">
        <f t="shared" si="143"/>
        <v>2.2432974648914826E-2</v>
      </c>
      <c r="AJ342" s="140">
        <f t="shared" si="144"/>
        <v>2.2432974648914826E-2</v>
      </c>
      <c r="AK342" s="140">
        <f t="shared" si="145"/>
        <v>2.2432974648914826E-2</v>
      </c>
      <c r="AL342" s="140">
        <f t="shared" si="146"/>
        <v>1.9514864125478752E-2</v>
      </c>
      <c r="AM342" t="str">
        <f t="shared" si="147"/>
        <v>4225-000: Medicare Benefits</v>
      </c>
      <c r="AN342" s="140">
        <f t="shared" si="148"/>
        <v>4.2427498226724827E-3</v>
      </c>
      <c r="AO342" s="140">
        <f t="shared" si="149"/>
        <v>6.0293712802289411E-3</v>
      </c>
      <c r="AP342" s="1" t="str">
        <f>IF(AND(AO342&gt;0, _xlfn.XLOOKUP($AM342, Discretionaries!$A$2:'Discretionaries'!$A$150, Discretionaries!$B$2:'Discretionaries'!$B$150)), (1+AN342)*$N342, "")</f>
        <v/>
      </c>
      <c r="AQ342" s="1" t="str">
        <f>IF(AND(AO342&gt;0, _xlfn.XLOOKUP($AM342, Discretionaries!$A$2:'Discretionaries'!$A$150, Discretionaries!$B$2:'Discretionaries'!$B$150)),AP342-$Q342,"")</f>
        <v/>
      </c>
      <c r="AR342" s="140">
        <f>IF(AG342="", 0-CPI!$B$15, AG342-CPI!$B$15)</f>
        <v>-2.8727878897098567E-2</v>
      </c>
      <c r="AS342" s="1" t="str">
        <f>IF(AND(AR342&gt;0, _xlfn.XLOOKUP($AM342, Discretionaries!$A$2:'Discretionaries'!$A$150, Discretionaries!$B$2:'Discretionaries'!$B$150)), (1+CPI!$B$15)*$N342, "")</f>
        <v/>
      </c>
      <c r="AT342" s="1" t="str">
        <f>IF(AND(AR342&gt;0, _xlfn.XLOOKUP($AM342, Discretionaries!$A$2:'Discretionaries'!$A$150, Discretionaries!$B$2:'Discretionaries'!$B$150)),AS342-$Q342,"")</f>
        <v/>
      </c>
    </row>
    <row r="343" spans="1:46" x14ac:dyDescent="0.3">
      <c r="A343" t="s">
        <v>431</v>
      </c>
      <c r="B343" t="str">
        <f t="shared" si="125"/>
        <v>23</v>
      </c>
      <c r="C343" t="s">
        <v>434</v>
      </c>
      <c r="D343" t="str">
        <f t="shared" si="126"/>
        <v>24</v>
      </c>
      <c r="E343" t="s">
        <v>14</v>
      </c>
      <c r="F343" s="139" t="s">
        <v>43</v>
      </c>
      <c r="G343" t="s">
        <v>44</v>
      </c>
      <c r="H343" s="156">
        <v>65857</v>
      </c>
      <c r="I343" s="156">
        <v>41818.54</v>
      </c>
      <c r="J343" s="156">
        <v>46712</v>
      </c>
      <c r="K343" s="156">
        <v>43944.19</v>
      </c>
      <c r="L343" s="156">
        <v>48385</v>
      </c>
      <c r="M343" s="156">
        <v>44204.97</v>
      </c>
      <c r="N343" s="156">
        <v>45603</v>
      </c>
      <c r="O343" s="156">
        <v>46101</v>
      </c>
      <c r="P343" s="156">
        <v>46101</v>
      </c>
      <c r="Q343" s="156">
        <v>46101</v>
      </c>
      <c r="R343" s="156">
        <v>45961</v>
      </c>
      <c r="S343" s="156">
        <f t="shared" si="127"/>
        <v>498</v>
      </c>
      <c r="T343" s="156">
        <f t="shared" si="128"/>
        <v>140</v>
      </c>
      <c r="U343" s="140">
        <f t="shared" si="129"/>
        <v>1.0920334188540227E-2</v>
      </c>
      <c r="V343" s="140">
        <f t="shared" si="130"/>
        <v>-0.36500994579163942</v>
      </c>
      <c r="W343" s="140">
        <f t="shared" si="131"/>
        <v>-5.9252654564137648E-2</v>
      </c>
      <c r="X343" s="140">
        <f t="shared" si="132"/>
        <v>-8.6391030277978689E-2</v>
      </c>
      <c r="Y343" s="140">
        <f t="shared" si="133"/>
        <v>-0.29070561975188669</v>
      </c>
      <c r="Z343" s="140">
        <f t="shared" si="134"/>
        <v>5.0830325496777302E-2</v>
      </c>
      <c r="AA343" s="140">
        <f t="shared" si="135"/>
        <v>3.5815208083575953E-2</v>
      </c>
      <c r="AB343" s="140">
        <f t="shared" si="136"/>
        <v>5.9343453594206379E-3</v>
      </c>
      <c r="AC343" s="140">
        <f t="shared" si="137"/>
        <v>-5.7497158210189109E-2</v>
      </c>
      <c r="AD343" s="140">
        <f t="shared" si="138"/>
        <v>-0.3075451356727455</v>
      </c>
      <c r="AE343" s="140">
        <f t="shared" si="139"/>
        <v>1.0920334188540227E-2</v>
      </c>
      <c r="AF343" s="140">
        <f t="shared" si="140"/>
        <v>1.0920334188540227E-2</v>
      </c>
      <c r="AG343" s="140">
        <f t="shared" si="141"/>
        <v>1.0920334188540227E-2</v>
      </c>
      <c r="AH343" s="140">
        <f t="shared" si="142"/>
        <v>7.8503607218823324E-3</v>
      </c>
      <c r="AI343" s="140">
        <f t="shared" si="143"/>
        <v>-0.29998329714381161</v>
      </c>
      <c r="AJ343" s="140">
        <f t="shared" si="144"/>
        <v>-0.29998329714381161</v>
      </c>
      <c r="AK343" s="140">
        <f t="shared" si="145"/>
        <v>-0.29998329714381161</v>
      </c>
      <c r="AL343" s="140">
        <f t="shared" si="146"/>
        <v>-0.30210911520415445</v>
      </c>
      <c r="AM343" t="str">
        <f t="shared" si="147"/>
        <v>4230-000: Retirement Benefits</v>
      </c>
      <c r="AN343" s="140">
        <f t="shared" si="148"/>
        <v>-0.10412918995949993</v>
      </c>
      <c r="AO343" s="140">
        <f t="shared" si="149"/>
        <v>0.11504952414804016</v>
      </c>
      <c r="AP343" s="1" t="str">
        <f>IF(AND(AO343&gt;0, _xlfn.XLOOKUP($AM343, Discretionaries!$A$2:'Discretionaries'!$A$150, Discretionaries!$B$2:'Discretionaries'!$B$150)), (1+AN343)*$N343, "")</f>
        <v/>
      </c>
      <c r="AQ343" s="1" t="str">
        <f>IF(AND(AO343&gt;0, _xlfn.XLOOKUP($AM343, Discretionaries!$A$2:'Discretionaries'!$A$150, Discretionaries!$B$2:'Discretionaries'!$B$150)),AP343-$Q343,"")</f>
        <v/>
      </c>
      <c r="AR343" s="140">
        <f>IF(AG343="", 0-CPI!$B$15, AG343-CPI!$B$15)</f>
        <v>-2.8079665811459764E-2</v>
      </c>
      <c r="AS343" s="1" t="str">
        <f>IF(AND(AR343&gt;0, _xlfn.XLOOKUP($AM343, Discretionaries!$A$2:'Discretionaries'!$A$150, Discretionaries!$B$2:'Discretionaries'!$B$150)), (1+CPI!$B$15)*$N343, "")</f>
        <v/>
      </c>
      <c r="AT343" s="1" t="str">
        <f>IF(AND(AR343&gt;0, _xlfn.XLOOKUP($AM343, Discretionaries!$A$2:'Discretionaries'!$A$150, Discretionaries!$B$2:'Discretionaries'!$B$150)),AS343-$Q343,"")</f>
        <v/>
      </c>
    </row>
    <row r="344" spans="1:46" x14ac:dyDescent="0.3">
      <c r="A344" t="s">
        <v>431</v>
      </c>
      <c r="B344" t="str">
        <f t="shared" si="125"/>
        <v>23</v>
      </c>
      <c r="C344" t="s">
        <v>434</v>
      </c>
      <c r="D344" t="str">
        <f t="shared" si="126"/>
        <v>24</v>
      </c>
      <c r="E344" t="s">
        <v>14</v>
      </c>
      <c r="F344" s="139" t="s">
        <v>19</v>
      </c>
      <c r="G344" t="s">
        <v>20</v>
      </c>
      <c r="H344" s="156">
        <v>1147</v>
      </c>
      <c r="I344" s="156">
        <v>1094.76</v>
      </c>
      <c r="J344" s="156">
        <v>1216</v>
      </c>
      <c r="K344" s="156">
        <v>1295.99</v>
      </c>
      <c r="L344" s="156">
        <v>1452</v>
      </c>
      <c r="M344" s="156">
        <v>1452.32</v>
      </c>
      <c r="N344" s="156">
        <v>1716</v>
      </c>
      <c r="O344" s="156">
        <v>1690</v>
      </c>
      <c r="P344" s="156">
        <v>1690</v>
      </c>
      <c r="Q344" s="156">
        <v>1690</v>
      </c>
      <c r="R344" s="156">
        <v>1690</v>
      </c>
      <c r="S344" s="156">
        <f t="shared" si="127"/>
        <v>-26</v>
      </c>
      <c r="T344" s="156">
        <f t="shared" si="128"/>
        <v>0</v>
      </c>
      <c r="U344" s="140">
        <f t="shared" si="129"/>
        <v>-1.5151515151515152E-2</v>
      </c>
      <c r="V344" s="140">
        <f t="shared" si="130"/>
        <v>-4.5544899738448136E-2</v>
      </c>
      <c r="W344" s="140">
        <f t="shared" si="131"/>
        <v>6.5781250000000013E-2</v>
      </c>
      <c r="X344" s="140">
        <f t="shared" si="132"/>
        <v>2.2038567493108563E-4</v>
      </c>
      <c r="Y344" s="140">
        <f t="shared" si="133"/>
        <v>6.015693112467306E-2</v>
      </c>
      <c r="Z344" s="140">
        <f t="shared" si="134"/>
        <v>0.18381197705433155</v>
      </c>
      <c r="AA344" s="140">
        <f t="shared" si="135"/>
        <v>0.19407894736842105</v>
      </c>
      <c r="AB344" s="140">
        <f t="shared" si="136"/>
        <v>0.12062593075563849</v>
      </c>
      <c r="AC344" s="140">
        <f t="shared" si="137"/>
        <v>0.18181818181818182</v>
      </c>
      <c r="AD344" s="140">
        <f t="shared" si="138"/>
        <v>0.49607672188317348</v>
      </c>
      <c r="AE344" s="140">
        <f t="shared" si="139"/>
        <v>-1.5151515151515152E-2</v>
      </c>
      <c r="AF344" s="140">
        <f t="shared" si="140"/>
        <v>-1.5151515151515152E-2</v>
      </c>
      <c r="AG344" s="140">
        <f t="shared" si="141"/>
        <v>-1.5151515151515152E-2</v>
      </c>
      <c r="AH344" s="140">
        <f t="shared" si="142"/>
        <v>-1.5151515151515152E-2</v>
      </c>
      <c r="AI344" s="140">
        <f t="shared" si="143"/>
        <v>0.47340889276373149</v>
      </c>
      <c r="AJ344" s="140">
        <f t="shared" si="144"/>
        <v>0.47340889276373149</v>
      </c>
      <c r="AK344" s="140">
        <f t="shared" si="145"/>
        <v>0.47340889276373149</v>
      </c>
      <c r="AL344" s="140">
        <f t="shared" si="146"/>
        <v>0.47340889276373149</v>
      </c>
      <c r="AM344" t="str">
        <f t="shared" si="147"/>
        <v>4260-000: Workers' comp Benefits</v>
      </c>
      <c r="AN344" s="140">
        <f t="shared" si="148"/>
        <v>0.14535135343709196</v>
      </c>
      <c r="AO344" s="140">
        <f t="shared" si="149"/>
        <v>-0.16050286858860713</v>
      </c>
      <c r="AP344" s="1" t="str">
        <f>IF(AND(AO344&gt;0, _xlfn.XLOOKUP($AM344, Discretionaries!$A$2:'Discretionaries'!$A$150, Discretionaries!$B$2:'Discretionaries'!$B$150)), (1+AN344)*$N344, "")</f>
        <v/>
      </c>
      <c r="AQ344" s="1" t="str">
        <f>IF(AND(AO344&gt;0, _xlfn.XLOOKUP($AM344, Discretionaries!$A$2:'Discretionaries'!$A$150, Discretionaries!$B$2:'Discretionaries'!$B$150)),AP344-$Q344,"")</f>
        <v/>
      </c>
      <c r="AR344" s="140">
        <f>IF(AG344="", 0-CPI!$B$15, AG344-CPI!$B$15)</f>
        <v>-5.4151515151515145E-2</v>
      </c>
      <c r="AS344" s="1" t="str">
        <f>IF(AND(AR344&gt;0, _xlfn.XLOOKUP($AM344, Discretionaries!$A$2:'Discretionaries'!$A$150, Discretionaries!$B$2:'Discretionaries'!$B$150)), (1+CPI!$B$15)*$N344, "")</f>
        <v/>
      </c>
      <c r="AT344" s="1" t="str">
        <f>IF(AND(AR344&gt;0, _xlfn.XLOOKUP($AM344, Discretionaries!$A$2:'Discretionaries'!$A$150, Discretionaries!$B$2:'Discretionaries'!$B$150)),AS344-$Q344,"")</f>
        <v/>
      </c>
    </row>
    <row r="345" spans="1:46" x14ac:dyDescent="0.3">
      <c r="A345" t="s">
        <v>431</v>
      </c>
      <c r="B345" t="str">
        <f t="shared" si="125"/>
        <v>23</v>
      </c>
      <c r="C345" t="s">
        <v>434</v>
      </c>
      <c r="D345" t="str">
        <f t="shared" si="126"/>
        <v>24</v>
      </c>
      <c r="E345" t="s">
        <v>21</v>
      </c>
      <c r="F345" s="139" t="s">
        <v>131</v>
      </c>
      <c r="G345" t="s">
        <v>132</v>
      </c>
      <c r="H345" s="156">
        <v>3000</v>
      </c>
      <c r="I345" s="156">
        <v>0</v>
      </c>
      <c r="J345" s="156">
        <v>3000</v>
      </c>
      <c r="K345" s="156">
        <v>1931</v>
      </c>
      <c r="L345" s="156">
        <v>3000</v>
      </c>
      <c r="M345" s="156">
        <v>3831</v>
      </c>
      <c r="N345" s="156">
        <v>3000</v>
      </c>
      <c r="O345" s="156">
        <v>7000</v>
      </c>
      <c r="P345" s="156">
        <v>7000</v>
      </c>
      <c r="Q345" s="156">
        <v>7000</v>
      </c>
      <c r="R345" s="156">
        <v>3000</v>
      </c>
      <c r="S345" s="156">
        <f t="shared" si="127"/>
        <v>4000</v>
      </c>
      <c r="T345" s="156">
        <f t="shared" si="128"/>
        <v>4000</v>
      </c>
      <c r="U345" s="140">
        <f t="shared" si="129"/>
        <v>1.3333333333333333</v>
      </c>
      <c r="V345" s="140">
        <f t="shared" si="130"/>
        <v>-1</v>
      </c>
      <c r="W345" s="140">
        <f t="shared" si="131"/>
        <v>-0.35633333333333334</v>
      </c>
      <c r="X345" s="140">
        <f t="shared" si="132"/>
        <v>0.27700000000000002</v>
      </c>
      <c r="Y345" s="140">
        <f t="shared" si="133"/>
        <v>0</v>
      </c>
      <c r="Z345" s="140" t="str">
        <f t="shared" si="134"/>
        <v/>
      </c>
      <c r="AA345" s="140">
        <f t="shared" si="135"/>
        <v>0</v>
      </c>
      <c r="AB345" s="140">
        <f t="shared" si="136"/>
        <v>0.98394614189539098</v>
      </c>
      <c r="AC345" s="140">
        <f t="shared" si="137"/>
        <v>0</v>
      </c>
      <c r="AD345" s="140">
        <f t="shared" si="138"/>
        <v>0</v>
      </c>
      <c r="AE345" s="140">
        <f t="shared" si="139"/>
        <v>1.3333333333333333</v>
      </c>
      <c r="AF345" s="140">
        <f t="shared" si="140"/>
        <v>1.3333333333333333</v>
      </c>
      <c r="AG345" s="140">
        <f t="shared" si="141"/>
        <v>1.3333333333333333</v>
      </c>
      <c r="AH345" s="140">
        <f t="shared" si="142"/>
        <v>0</v>
      </c>
      <c r="AI345" s="140">
        <f t="shared" si="143"/>
        <v>1.3333333333333333</v>
      </c>
      <c r="AJ345" s="140">
        <f t="shared" si="144"/>
        <v>1.3333333333333333</v>
      </c>
      <c r="AK345" s="140">
        <f t="shared" si="145"/>
        <v>1.3333333333333333</v>
      </c>
      <c r="AL345" s="140">
        <f t="shared" si="146"/>
        <v>0</v>
      </c>
      <c r="AM345" t="str">
        <f t="shared" si="147"/>
        <v>4241-000: Training Benefits</v>
      </c>
      <c r="AN345" s="140">
        <f t="shared" si="148"/>
        <v>0</v>
      </c>
      <c r="AO345" s="140">
        <f t="shared" si="149"/>
        <v>1.3333333333333333</v>
      </c>
      <c r="AP345" s="1" t="str">
        <f>IF(AND(AO345&gt;0, _xlfn.XLOOKUP($AM345, Discretionaries!$A$2:'Discretionaries'!$A$150, Discretionaries!$B$2:'Discretionaries'!$B$150)), (1+AN345)*$N345, "")</f>
        <v/>
      </c>
      <c r="AQ345" s="1" t="str">
        <f>IF(AND(AO345&gt;0, _xlfn.XLOOKUP($AM345, Discretionaries!$A$2:'Discretionaries'!$A$150, Discretionaries!$B$2:'Discretionaries'!$B$150)),AP345-$Q345,"")</f>
        <v/>
      </c>
      <c r="AR345" s="140">
        <f>IF(AG345="", 0-CPI!$B$15, AG345-CPI!$B$15)</f>
        <v>1.2943333333333333</v>
      </c>
      <c r="AS345" s="1" t="str">
        <f>IF(AND(AR345&gt;0, _xlfn.XLOOKUP($AM345, Discretionaries!$A$2:'Discretionaries'!$A$150, Discretionaries!$B$2:'Discretionaries'!$B$150)), (1+CPI!$B$15)*$N345, "")</f>
        <v/>
      </c>
      <c r="AT345" s="1" t="str">
        <f>IF(AND(AR345&gt;0, _xlfn.XLOOKUP($AM345, Discretionaries!$A$2:'Discretionaries'!$A$150, Discretionaries!$B$2:'Discretionaries'!$B$150)),AS345-$Q345,"")</f>
        <v/>
      </c>
    </row>
    <row r="346" spans="1:46" x14ac:dyDescent="0.3">
      <c r="A346" t="s">
        <v>431</v>
      </c>
      <c r="B346" t="str">
        <f t="shared" si="125"/>
        <v>23</v>
      </c>
      <c r="C346" t="s">
        <v>434</v>
      </c>
      <c r="D346" t="str">
        <f t="shared" si="126"/>
        <v>24</v>
      </c>
      <c r="E346" t="s">
        <v>21</v>
      </c>
      <c r="F346" s="139" t="s">
        <v>111</v>
      </c>
      <c r="G346" t="s">
        <v>112</v>
      </c>
      <c r="H346" s="156">
        <v>0</v>
      </c>
      <c r="J346" s="156">
        <v>21800</v>
      </c>
      <c r="K346" s="156">
        <v>21684.94</v>
      </c>
      <c r="L346" s="156">
        <v>21800</v>
      </c>
      <c r="M346" s="156">
        <v>22335.56</v>
      </c>
      <c r="N346" s="156">
        <v>24000</v>
      </c>
      <c r="O346" s="156">
        <v>27200</v>
      </c>
      <c r="P346" s="156">
        <v>27200</v>
      </c>
      <c r="Q346" s="156">
        <v>27200</v>
      </c>
      <c r="R346" s="156">
        <v>27200</v>
      </c>
      <c r="S346" s="156">
        <f t="shared" si="127"/>
        <v>3200</v>
      </c>
      <c r="T346" s="156">
        <f t="shared" si="128"/>
        <v>0</v>
      </c>
      <c r="U346" s="140">
        <f t="shared" si="129"/>
        <v>0.13333333333333333</v>
      </c>
      <c r="V346" s="140" t="str">
        <f t="shared" si="130"/>
        <v/>
      </c>
      <c r="W346" s="140">
        <f t="shared" si="131"/>
        <v>-5.2779816513762066E-3</v>
      </c>
      <c r="X346" s="140">
        <f t="shared" si="132"/>
        <v>2.456697247706428E-2</v>
      </c>
      <c r="Y346" s="140" t="str">
        <f t="shared" si="133"/>
        <v/>
      </c>
      <c r="Z346" s="140" t="str">
        <f t="shared" si="134"/>
        <v/>
      </c>
      <c r="AA346" s="140">
        <f t="shared" si="135"/>
        <v>0</v>
      </c>
      <c r="AB346" s="140">
        <f t="shared" si="136"/>
        <v>3.000331105366225E-2</v>
      </c>
      <c r="AC346" s="140">
        <f t="shared" si="137"/>
        <v>0.10091743119266056</v>
      </c>
      <c r="AD346" s="140" t="str">
        <f t="shared" si="138"/>
        <v/>
      </c>
      <c r="AE346" s="140">
        <f t="shared" si="139"/>
        <v>0.13333333333333333</v>
      </c>
      <c r="AF346" s="140">
        <f t="shared" si="140"/>
        <v>0.13333333333333333</v>
      </c>
      <c r="AG346" s="140">
        <f t="shared" si="141"/>
        <v>0.13333333333333333</v>
      </c>
      <c r="AH346" s="140">
        <f t="shared" si="142"/>
        <v>0.13333333333333333</v>
      </c>
      <c r="AI346" s="140" t="str">
        <f t="shared" si="143"/>
        <v/>
      </c>
      <c r="AJ346" s="140" t="str">
        <f t="shared" si="144"/>
        <v/>
      </c>
      <c r="AK346" s="140" t="str">
        <f t="shared" si="145"/>
        <v/>
      </c>
      <c r="AL346" s="140" t="str">
        <f t="shared" si="146"/>
        <v/>
      </c>
      <c r="AM346" t="str">
        <f t="shared" si="147"/>
        <v>4440-000: Rental and leases Services</v>
      </c>
      <c r="AN346" s="140">
        <f t="shared" si="148"/>
        <v>5.0458715596330278E-2</v>
      </c>
      <c r="AO346" s="140">
        <f t="shared" si="149"/>
        <v>8.2874617737003053E-2</v>
      </c>
      <c r="AP346" s="1">
        <f>IF(AND(AO346&gt;0, _xlfn.XLOOKUP($AM346, Discretionaries!$A$2:'Discretionaries'!$A$150, Discretionaries!$B$2:'Discretionaries'!$B$150)), (1+AN346)*$N346, "")</f>
        <v>25211.009174311926</v>
      </c>
      <c r="AQ346" s="1">
        <f>IF(AND(AO346&gt;0, _xlfn.XLOOKUP($AM346, Discretionaries!$A$2:'Discretionaries'!$A$150, Discretionaries!$B$2:'Discretionaries'!$B$150)),AP346-$Q346,"")</f>
        <v>-1988.9908256880735</v>
      </c>
      <c r="AR346" s="140">
        <f>IF(AG346="", 0-CPI!$B$15, AG346-CPI!$B$15)</f>
        <v>9.4333333333333338E-2</v>
      </c>
      <c r="AS346" s="1">
        <f>IF(AND(AR346&gt;0, _xlfn.XLOOKUP($AM346, Discretionaries!$A$2:'Discretionaries'!$A$150, Discretionaries!$B$2:'Discretionaries'!$B$150)), (1+CPI!$B$15)*$N346, "")</f>
        <v>24935.999999999996</v>
      </c>
      <c r="AT346" s="1">
        <f>IF(AND(AR346&gt;0, _xlfn.XLOOKUP($AM346, Discretionaries!$A$2:'Discretionaries'!$A$150, Discretionaries!$B$2:'Discretionaries'!$B$150)),AS346-$Q346,"")</f>
        <v>-2264.0000000000036</v>
      </c>
    </row>
    <row r="347" spans="1:46" x14ac:dyDescent="0.3">
      <c r="A347" t="s">
        <v>431</v>
      </c>
      <c r="B347" t="str">
        <f t="shared" si="125"/>
        <v>23</v>
      </c>
      <c r="C347" t="s">
        <v>434</v>
      </c>
      <c r="D347" t="str">
        <f t="shared" si="126"/>
        <v>24</v>
      </c>
      <c r="E347" t="s">
        <v>133</v>
      </c>
      <c r="F347" s="139" t="s">
        <v>134</v>
      </c>
      <c r="G347" t="s">
        <v>135</v>
      </c>
      <c r="H347" s="156">
        <v>4000</v>
      </c>
      <c r="I347" s="156">
        <v>2933.33</v>
      </c>
      <c r="J347" s="156">
        <v>4000</v>
      </c>
      <c r="K347" s="156">
        <v>368.99</v>
      </c>
      <c r="L347" s="156">
        <v>4000</v>
      </c>
      <c r="M347" s="156">
        <v>3200</v>
      </c>
      <c r="N347" s="156">
        <v>4000</v>
      </c>
      <c r="O347" s="156">
        <v>4000</v>
      </c>
      <c r="P347" s="156">
        <v>4000</v>
      </c>
      <c r="Q347" s="156">
        <v>4000</v>
      </c>
      <c r="R347" s="156">
        <v>4000</v>
      </c>
      <c r="S347" s="156">
        <f t="shared" si="127"/>
        <v>0</v>
      </c>
      <c r="T347" s="156">
        <f t="shared" si="128"/>
        <v>0</v>
      </c>
      <c r="U347" s="140">
        <f t="shared" si="129"/>
        <v>0</v>
      </c>
      <c r="V347" s="140">
        <f t="shared" si="130"/>
        <v>-0.2666675</v>
      </c>
      <c r="W347" s="140">
        <f t="shared" si="131"/>
        <v>-0.90775250000000007</v>
      </c>
      <c r="X347" s="140">
        <f t="shared" si="132"/>
        <v>-0.2</v>
      </c>
      <c r="Y347" s="140">
        <f t="shared" si="133"/>
        <v>0</v>
      </c>
      <c r="Z347" s="140">
        <f t="shared" si="134"/>
        <v>-0.874207811599786</v>
      </c>
      <c r="AA347" s="140">
        <f t="shared" si="135"/>
        <v>0</v>
      </c>
      <c r="AB347" s="140">
        <f t="shared" si="136"/>
        <v>7.6723217431366706</v>
      </c>
      <c r="AC347" s="140">
        <f t="shared" si="137"/>
        <v>0</v>
      </c>
      <c r="AD347" s="140">
        <f t="shared" si="138"/>
        <v>0</v>
      </c>
      <c r="AE347" s="140">
        <f t="shared" si="139"/>
        <v>0</v>
      </c>
      <c r="AF347" s="140">
        <f t="shared" si="140"/>
        <v>0</v>
      </c>
      <c r="AG347" s="140">
        <f t="shared" si="141"/>
        <v>0</v>
      </c>
      <c r="AH347" s="140">
        <f t="shared" si="142"/>
        <v>0</v>
      </c>
      <c r="AI347" s="140">
        <f t="shared" si="143"/>
        <v>0</v>
      </c>
      <c r="AJ347" s="140">
        <f t="shared" si="144"/>
        <v>0</v>
      </c>
      <c r="AK347" s="140">
        <f t="shared" si="145"/>
        <v>0</v>
      </c>
      <c r="AL347" s="140">
        <f t="shared" si="146"/>
        <v>0</v>
      </c>
      <c r="AM347" t="str">
        <f t="shared" si="147"/>
        <v>4490-000: Clothing allowance Services</v>
      </c>
      <c r="AN347" s="140">
        <f t="shared" si="148"/>
        <v>0</v>
      </c>
      <c r="AO347" s="140">
        <f t="shared" si="149"/>
        <v>0</v>
      </c>
      <c r="AP347" s="1" t="str">
        <f>IF(AND(AO347&gt;0, _xlfn.XLOOKUP($AM347, Discretionaries!$A$2:'Discretionaries'!$A$150, Discretionaries!$B$2:'Discretionaries'!$B$150)), (1+AN347)*$N347, "")</f>
        <v/>
      </c>
      <c r="AQ347" s="1" t="str">
        <f>IF(AND(AO347&gt;0, _xlfn.XLOOKUP($AM347, Discretionaries!$A$2:'Discretionaries'!$A$150, Discretionaries!$B$2:'Discretionaries'!$B$150)),AP347-$Q347,"")</f>
        <v/>
      </c>
      <c r="AR347" s="140">
        <f>IF(AG347="", 0-CPI!$B$15, AG347-CPI!$B$15)</f>
        <v>-3.8999999999999993E-2</v>
      </c>
      <c r="AS347" s="1" t="str">
        <f>IF(AND(AR347&gt;0, _xlfn.XLOOKUP($AM347, Discretionaries!$A$2:'Discretionaries'!$A$150, Discretionaries!$B$2:'Discretionaries'!$B$150)), (1+CPI!$B$15)*$N347, "")</f>
        <v/>
      </c>
      <c r="AT347" s="1" t="str">
        <f>IF(AND(AR347&gt;0, _xlfn.XLOOKUP($AM347, Discretionaries!$A$2:'Discretionaries'!$A$150, Discretionaries!$B$2:'Discretionaries'!$B$150)),AS347-$Q347,"")</f>
        <v/>
      </c>
    </row>
    <row r="348" spans="1:46" x14ac:dyDescent="0.3">
      <c r="A348" t="s">
        <v>431</v>
      </c>
      <c r="B348" t="str">
        <f t="shared" si="125"/>
        <v>23</v>
      </c>
      <c r="C348" t="s">
        <v>434</v>
      </c>
      <c r="D348" t="str">
        <f t="shared" si="126"/>
        <v>24</v>
      </c>
      <c r="E348" t="s">
        <v>30</v>
      </c>
      <c r="F348" s="139" t="s">
        <v>137</v>
      </c>
      <c r="G348" t="s">
        <v>138</v>
      </c>
      <c r="H348" s="156">
        <v>12000</v>
      </c>
      <c r="I348" s="156">
        <v>9274.17</v>
      </c>
      <c r="J348" s="156">
        <v>12000</v>
      </c>
      <c r="K348" s="156">
        <v>6365.48</v>
      </c>
      <c r="L348" s="156">
        <v>12000</v>
      </c>
      <c r="M348" s="156">
        <v>40994.769999999997</v>
      </c>
      <c r="N348" s="156">
        <v>17800</v>
      </c>
      <c r="O348" s="156">
        <v>17800</v>
      </c>
      <c r="P348" s="156">
        <v>17800</v>
      </c>
      <c r="Q348" s="156">
        <v>17800</v>
      </c>
      <c r="R348" s="156">
        <v>17800</v>
      </c>
      <c r="S348" s="156">
        <f t="shared" si="127"/>
        <v>0</v>
      </c>
      <c r="T348" s="156">
        <f t="shared" si="128"/>
        <v>0</v>
      </c>
      <c r="U348" s="140">
        <f t="shared" si="129"/>
        <v>0</v>
      </c>
      <c r="V348" s="140">
        <f t="shared" si="130"/>
        <v>-0.22715250000000001</v>
      </c>
      <c r="W348" s="140">
        <f t="shared" si="131"/>
        <v>-0.46954333333333337</v>
      </c>
      <c r="X348" s="140">
        <f t="shared" si="132"/>
        <v>2.4162308333333331</v>
      </c>
      <c r="Y348" s="140">
        <f t="shared" si="133"/>
        <v>0</v>
      </c>
      <c r="Z348" s="140">
        <f t="shared" si="134"/>
        <v>-0.31363345722582187</v>
      </c>
      <c r="AA348" s="140">
        <f t="shared" si="135"/>
        <v>0</v>
      </c>
      <c r="AB348" s="140">
        <f t="shared" si="136"/>
        <v>5.4401694766144884</v>
      </c>
      <c r="AC348" s="140">
        <f t="shared" si="137"/>
        <v>0.48333333333333334</v>
      </c>
      <c r="AD348" s="140">
        <f t="shared" si="138"/>
        <v>0.48333333333333334</v>
      </c>
      <c r="AE348" s="140">
        <f t="shared" si="139"/>
        <v>0</v>
      </c>
      <c r="AF348" s="140">
        <f t="shared" si="140"/>
        <v>0</v>
      </c>
      <c r="AG348" s="140">
        <f t="shared" si="141"/>
        <v>0</v>
      </c>
      <c r="AH348" s="140">
        <f t="shared" si="142"/>
        <v>0</v>
      </c>
      <c r="AI348" s="140">
        <f t="shared" si="143"/>
        <v>0.48333333333333334</v>
      </c>
      <c r="AJ348" s="140">
        <f t="shared" si="144"/>
        <v>0.48333333333333334</v>
      </c>
      <c r="AK348" s="140">
        <f t="shared" si="145"/>
        <v>0.48333333333333334</v>
      </c>
      <c r="AL348" s="140">
        <f t="shared" si="146"/>
        <v>0.48333333333333334</v>
      </c>
      <c r="AM348" t="str">
        <f t="shared" si="147"/>
        <v>4630-000: Maint &amp; repairs Supplies</v>
      </c>
      <c r="AN348" s="140">
        <f t="shared" si="148"/>
        <v>0.16111111111111112</v>
      </c>
      <c r="AO348" s="140">
        <f t="shared" si="149"/>
        <v>-0.16111111111111112</v>
      </c>
      <c r="AP348" s="1" t="str">
        <f>IF(AND(AO348&gt;0, _xlfn.XLOOKUP($AM348, Discretionaries!$A$2:'Discretionaries'!$A$150, Discretionaries!$B$2:'Discretionaries'!$B$150)), (1+AN348)*$N348, "")</f>
        <v/>
      </c>
      <c r="AQ348" s="1" t="str">
        <f>IF(AND(AO348&gt;0, _xlfn.XLOOKUP($AM348, Discretionaries!$A$2:'Discretionaries'!$A$150, Discretionaries!$B$2:'Discretionaries'!$B$150)),AP348-$Q348,"")</f>
        <v/>
      </c>
      <c r="AR348" s="140">
        <f>IF(AG348="", 0-CPI!$B$15, AG348-CPI!$B$15)</f>
        <v>-3.8999999999999993E-2</v>
      </c>
      <c r="AS348" s="1" t="str">
        <f>IF(AND(AR348&gt;0, _xlfn.XLOOKUP($AM348, Discretionaries!$A$2:'Discretionaries'!$A$150, Discretionaries!$B$2:'Discretionaries'!$B$150)), (1+CPI!$B$15)*$N348, "")</f>
        <v/>
      </c>
      <c r="AT348" s="1" t="str">
        <f>IF(AND(AR348&gt;0, _xlfn.XLOOKUP($AM348, Discretionaries!$A$2:'Discretionaries'!$A$150, Discretionaries!$B$2:'Discretionaries'!$B$150)),AS348-$Q348,"")</f>
        <v/>
      </c>
    </row>
    <row r="349" spans="1:46" x14ac:dyDescent="0.3">
      <c r="A349" t="s">
        <v>431</v>
      </c>
      <c r="B349" t="str">
        <f t="shared" si="125"/>
        <v>23</v>
      </c>
      <c r="C349" t="s">
        <v>434</v>
      </c>
      <c r="D349" t="str">
        <f t="shared" si="126"/>
        <v>24</v>
      </c>
      <c r="E349" t="s">
        <v>54</v>
      </c>
      <c r="F349" s="139" t="s">
        <v>114</v>
      </c>
      <c r="G349" t="s">
        <v>115</v>
      </c>
      <c r="H349" s="156">
        <v>29368</v>
      </c>
      <c r="I349" s="156">
        <v>31817.53</v>
      </c>
      <c r="J349" s="156">
        <v>29368</v>
      </c>
      <c r="K349" s="156">
        <v>30633.599999999999</v>
      </c>
      <c r="L349" s="156">
        <v>29368</v>
      </c>
      <c r="M349" s="156">
        <v>109955.25</v>
      </c>
      <c r="N349" s="156">
        <v>29368</v>
      </c>
      <c r="O349" s="156">
        <v>44500</v>
      </c>
      <c r="P349" s="156">
        <v>44500</v>
      </c>
      <c r="Q349" s="156">
        <v>44500</v>
      </c>
      <c r="R349" s="156">
        <v>29368</v>
      </c>
      <c r="S349" s="156">
        <f t="shared" si="127"/>
        <v>15132</v>
      </c>
      <c r="T349" s="156">
        <f t="shared" si="128"/>
        <v>15132</v>
      </c>
      <c r="U349" s="140">
        <f t="shared" si="129"/>
        <v>0.51525469899210019</v>
      </c>
      <c r="V349" s="140">
        <f t="shared" si="130"/>
        <v>8.3408131299373425E-2</v>
      </c>
      <c r="W349" s="140">
        <f t="shared" si="131"/>
        <v>4.3094524652683146E-2</v>
      </c>
      <c r="X349" s="140">
        <f t="shared" si="132"/>
        <v>2.744049645873059</v>
      </c>
      <c r="Y349" s="140">
        <f t="shared" si="133"/>
        <v>0</v>
      </c>
      <c r="Z349" s="140">
        <f t="shared" si="134"/>
        <v>-3.7209990844669596E-2</v>
      </c>
      <c r="AA349" s="140">
        <f t="shared" si="135"/>
        <v>0</v>
      </c>
      <c r="AB349" s="140">
        <f t="shared" si="136"/>
        <v>2.5893675571921029</v>
      </c>
      <c r="AC349" s="140">
        <f t="shared" si="137"/>
        <v>0</v>
      </c>
      <c r="AD349" s="140">
        <f t="shared" si="138"/>
        <v>0</v>
      </c>
      <c r="AE349" s="140">
        <f t="shared" si="139"/>
        <v>0.51525469899210019</v>
      </c>
      <c r="AF349" s="140">
        <f t="shared" si="140"/>
        <v>0.51525469899210019</v>
      </c>
      <c r="AG349" s="140">
        <f t="shared" si="141"/>
        <v>0.51525469899210019</v>
      </c>
      <c r="AH349" s="140">
        <f t="shared" si="142"/>
        <v>0</v>
      </c>
      <c r="AI349" s="140">
        <f t="shared" si="143"/>
        <v>0.51525469899210019</v>
      </c>
      <c r="AJ349" s="140">
        <f t="shared" si="144"/>
        <v>0.51525469899210019</v>
      </c>
      <c r="AK349" s="140">
        <f t="shared" si="145"/>
        <v>0.51525469899210019</v>
      </c>
      <c r="AL349" s="140">
        <f t="shared" si="146"/>
        <v>0</v>
      </c>
      <c r="AM349" t="str">
        <f t="shared" si="147"/>
        <v>4740-000: Mach &amp; equip Property</v>
      </c>
      <c r="AN349" s="140">
        <f t="shared" si="148"/>
        <v>0</v>
      </c>
      <c r="AO349" s="140">
        <f t="shared" si="149"/>
        <v>0.51525469899210019</v>
      </c>
      <c r="AP349" s="1">
        <f>IF(AND(AO349&gt;0, _xlfn.XLOOKUP($AM349, Discretionaries!$A$2:'Discretionaries'!$A$150, Discretionaries!$B$2:'Discretionaries'!$B$150)), (1+AN349)*$N349, "")</f>
        <v>29368</v>
      </c>
      <c r="AQ349" s="1">
        <f>IF(AND(AO349&gt;0, _xlfn.XLOOKUP($AM349, Discretionaries!$A$2:'Discretionaries'!$A$150, Discretionaries!$B$2:'Discretionaries'!$B$150)),AP349-$Q349,"")</f>
        <v>-15132</v>
      </c>
      <c r="AR349" s="140">
        <f>IF(AG349="", 0-CPI!$B$15, AG349-CPI!$B$15)</f>
        <v>0.47625469899210021</v>
      </c>
      <c r="AS349" s="1">
        <f>IF(AND(AR349&gt;0, _xlfn.XLOOKUP($AM349, Discretionaries!$A$2:'Discretionaries'!$A$150, Discretionaries!$B$2:'Discretionaries'!$B$150)), (1+CPI!$B$15)*$N349, "")</f>
        <v>30513.351999999999</v>
      </c>
      <c r="AT349" s="1">
        <f>IF(AND(AR349&gt;0, _xlfn.XLOOKUP($AM349, Discretionaries!$A$2:'Discretionaries'!$A$150, Discretionaries!$B$2:'Discretionaries'!$B$150)),AS349-$Q349,"")</f>
        <v>-13986.648000000001</v>
      </c>
    </row>
    <row r="350" spans="1:46" x14ac:dyDescent="0.3">
      <c r="A350" t="s">
        <v>431</v>
      </c>
      <c r="B350" t="str">
        <f t="shared" si="125"/>
        <v>23</v>
      </c>
      <c r="C350" t="s">
        <v>435</v>
      </c>
      <c r="D350" t="str">
        <f t="shared" si="126"/>
        <v>25</v>
      </c>
      <c r="E350" t="s">
        <v>30</v>
      </c>
      <c r="F350" s="139" t="s">
        <v>290</v>
      </c>
      <c r="G350" t="s">
        <v>291</v>
      </c>
      <c r="H350" s="156">
        <v>1000</v>
      </c>
      <c r="I350" s="156">
        <v>2420.44</v>
      </c>
      <c r="J350" s="156">
        <v>1000</v>
      </c>
      <c r="K350" s="156">
        <v>386.01</v>
      </c>
      <c r="L350" s="156">
        <v>1000</v>
      </c>
      <c r="M350" s="156">
        <v>1081.54</v>
      </c>
      <c r="N350" s="156">
        <v>1000</v>
      </c>
      <c r="O350" s="156">
        <v>1000</v>
      </c>
      <c r="P350" s="156">
        <v>1000</v>
      </c>
      <c r="Q350" s="156">
        <v>1000</v>
      </c>
      <c r="R350" s="156">
        <v>1000</v>
      </c>
      <c r="S350" s="156">
        <f t="shared" si="127"/>
        <v>0</v>
      </c>
      <c r="T350" s="156">
        <f t="shared" si="128"/>
        <v>0</v>
      </c>
      <c r="U350" s="140">
        <f t="shared" si="129"/>
        <v>0</v>
      </c>
      <c r="V350" s="140">
        <f t="shared" si="130"/>
        <v>1.4204400000000001</v>
      </c>
      <c r="W350" s="140">
        <f t="shared" si="131"/>
        <v>-0.61399000000000004</v>
      </c>
      <c r="X350" s="140">
        <f t="shared" si="132"/>
        <v>8.153999999999996E-2</v>
      </c>
      <c r="Y350" s="140">
        <f t="shared" si="133"/>
        <v>0</v>
      </c>
      <c r="Z350" s="140">
        <f t="shared" si="134"/>
        <v>-0.84052073176777775</v>
      </c>
      <c r="AA350" s="140">
        <f t="shared" si="135"/>
        <v>0</v>
      </c>
      <c r="AB350" s="140">
        <f t="shared" si="136"/>
        <v>1.8018445118002124</v>
      </c>
      <c r="AC350" s="140">
        <f t="shared" si="137"/>
        <v>0</v>
      </c>
      <c r="AD350" s="140">
        <f t="shared" si="138"/>
        <v>0</v>
      </c>
      <c r="AE350" s="140">
        <f t="shared" si="139"/>
        <v>0</v>
      </c>
      <c r="AF350" s="140">
        <f t="shared" si="140"/>
        <v>0</v>
      </c>
      <c r="AG350" s="140">
        <f t="shared" si="141"/>
        <v>0</v>
      </c>
      <c r="AH350" s="140">
        <f t="shared" si="142"/>
        <v>0</v>
      </c>
      <c r="AI350" s="140">
        <f t="shared" si="143"/>
        <v>0</v>
      </c>
      <c r="AJ350" s="140">
        <f t="shared" si="144"/>
        <v>0</v>
      </c>
      <c r="AK350" s="140">
        <f t="shared" si="145"/>
        <v>0</v>
      </c>
      <c r="AL350" s="140">
        <f t="shared" si="146"/>
        <v>0</v>
      </c>
      <c r="AM350" t="str">
        <f t="shared" si="147"/>
        <v>4614-000: Civil defense exp Supplies</v>
      </c>
      <c r="AN350" s="140">
        <f t="shared" si="148"/>
        <v>0</v>
      </c>
      <c r="AO350" s="140">
        <f t="shared" si="149"/>
        <v>0</v>
      </c>
      <c r="AP350" s="1" t="str">
        <f>IF(AND(AO350&gt;0, _xlfn.XLOOKUP($AM350, Discretionaries!$A$2:'Discretionaries'!$A$150, Discretionaries!$B$2:'Discretionaries'!$B$150)), (1+AN350)*$N350, "")</f>
        <v/>
      </c>
      <c r="AQ350" s="1" t="str">
        <f>IF(AND(AO350&gt;0, _xlfn.XLOOKUP($AM350, Discretionaries!$A$2:'Discretionaries'!$A$150, Discretionaries!$B$2:'Discretionaries'!$B$150)),AP350-$Q350,"")</f>
        <v/>
      </c>
      <c r="AR350" s="140">
        <f>IF(AG350="", 0-CPI!$B$15, AG350-CPI!$B$15)</f>
        <v>-3.8999999999999993E-2</v>
      </c>
      <c r="AS350" s="1" t="str">
        <f>IF(AND(AR350&gt;0, _xlfn.XLOOKUP($AM350, Discretionaries!$A$2:'Discretionaries'!$A$150, Discretionaries!$B$2:'Discretionaries'!$B$150)), (1+CPI!$B$15)*$N350, "")</f>
        <v/>
      </c>
      <c r="AT350" s="1" t="str">
        <f>IF(AND(AR350&gt;0, _xlfn.XLOOKUP($AM350, Discretionaries!$A$2:'Discretionaries'!$A$150, Discretionaries!$B$2:'Discretionaries'!$B$150)),AS350-$Q350,"")</f>
        <v/>
      </c>
    </row>
    <row r="351" spans="1:46" x14ac:dyDescent="0.3">
      <c r="A351" t="s">
        <v>431</v>
      </c>
      <c r="B351" t="str">
        <f t="shared" si="125"/>
        <v>23</v>
      </c>
      <c r="C351" t="s">
        <v>435</v>
      </c>
      <c r="D351" t="str">
        <f t="shared" si="126"/>
        <v>25</v>
      </c>
      <c r="E351" t="s">
        <v>30</v>
      </c>
      <c r="F351" s="139" t="s">
        <v>292</v>
      </c>
      <c r="G351" t="s">
        <v>293</v>
      </c>
      <c r="H351" s="156">
        <v>0</v>
      </c>
      <c r="I351" s="156">
        <v>0</v>
      </c>
      <c r="J351" s="156">
        <v>0</v>
      </c>
      <c r="K351" s="156">
        <v>0</v>
      </c>
      <c r="L351" s="156">
        <v>0</v>
      </c>
      <c r="M351" s="156">
        <v>0</v>
      </c>
      <c r="N351" s="156">
        <v>0</v>
      </c>
      <c r="O351" s="156">
        <v>0</v>
      </c>
      <c r="P351" s="156">
        <v>0</v>
      </c>
      <c r="Q351" s="156">
        <v>0</v>
      </c>
      <c r="R351" s="156">
        <v>0</v>
      </c>
      <c r="S351" s="156">
        <f t="shared" si="127"/>
        <v>0</v>
      </c>
      <c r="T351" s="156">
        <f t="shared" si="128"/>
        <v>0</v>
      </c>
      <c r="U351" s="140" t="str">
        <f t="shared" si="129"/>
        <v/>
      </c>
      <c r="V351" s="140" t="str">
        <f t="shared" si="130"/>
        <v/>
      </c>
      <c r="W351" s="140" t="str">
        <f t="shared" si="131"/>
        <v/>
      </c>
      <c r="X351" s="140" t="str">
        <f t="shared" si="132"/>
        <v/>
      </c>
      <c r="Y351" s="140" t="str">
        <f t="shared" si="133"/>
        <v/>
      </c>
      <c r="Z351" s="140" t="str">
        <f t="shared" si="134"/>
        <v/>
      </c>
      <c r="AA351" s="140" t="str">
        <f t="shared" si="135"/>
        <v/>
      </c>
      <c r="AB351" s="140" t="str">
        <f t="shared" si="136"/>
        <v/>
      </c>
      <c r="AC351" s="140" t="str">
        <f t="shared" si="137"/>
        <v/>
      </c>
      <c r="AD351" s="140" t="str">
        <f t="shared" si="138"/>
        <v/>
      </c>
      <c r="AE351" s="140" t="str">
        <f t="shared" si="139"/>
        <v/>
      </c>
      <c r="AF351" s="140" t="str">
        <f t="shared" si="140"/>
        <v/>
      </c>
      <c r="AG351" s="140" t="str">
        <f t="shared" si="141"/>
        <v/>
      </c>
      <c r="AH351" s="140" t="str">
        <f t="shared" si="142"/>
        <v/>
      </c>
      <c r="AI351" s="140" t="str">
        <f t="shared" si="143"/>
        <v/>
      </c>
      <c r="AJ351" s="140" t="str">
        <f t="shared" si="144"/>
        <v/>
      </c>
      <c r="AK351" s="140" t="str">
        <f t="shared" si="145"/>
        <v/>
      </c>
      <c r="AL351" s="140" t="str">
        <f t="shared" si="146"/>
        <v/>
      </c>
      <c r="AM351" t="str">
        <f t="shared" si="147"/>
        <v>4615-000: Forest fire exp Supplies</v>
      </c>
      <c r="AN351" s="140">
        <f t="shared" si="148"/>
        <v>0</v>
      </c>
      <c r="AO351" s="140">
        <f t="shared" si="149"/>
        <v>0</v>
      </c>
      <c r="AP351" s="1" t="str">
        <f>IF(AND(AO351&gt;0, _xlfn.XLOOKUP($AM351, Discretionaries!$A$2:'Discretionaries'!$A$150, Discretionaries!$B$2:'Discretionaries'!$B$150)), (1+AN351)*$N351, "")</f>
        <v/>
      </c>
      <c r="AQ351" s="1" t="str">
        <f>IF(AND(AO351&gt;0, _xlfn.XLOOKUP($AM351, Discretionaries!$A$2:'Discretionaries'!$A$150, Discretionaries!$B$2:'Discretionaries'!$B$150)),AP351-$Q351,"")</f>
        <v/>
      </c>
      <c r="AR351" s="140">
        <f>IF(AG351="", 0-CPI!$B$15, AG351-CPI!$B$15)</f>
        <v>-3.8999999999999993E-2</v>
      </c>
      <c r="AS351" s="1" t="str">
        <f>IF(AND(AR351&gt;0, _xlfn.XLOOKUP($AM351, Discretionaries!$A$2:'Discretionaries'!$A$150, Discretionaries!$B$2:'Discretionaries'!$B$150)), (1+CPI!$B$15)*$N351, "")</f>
        <v/>
      </c>
      <c r="AT351" s="1" t="str">
        <f>IF(AND(AR351&gt;0, _xlfn.XLOOKUP($AM351, Discretionaries!$A$2:'Discretionaries'!$A$150, Discretionaries!$B$2:'Discretionaries'!$B$150)),AS351-$Q351,"")</f>
        <v/>
      </c>
    </row>
    <row r="352" spans="1:46" x14ac:dyDescent="0.3">
      <c r="A352" t="s">
        <v>431</v>
      </c>
      <c r="B352" t="str">
        <f t="shared" si="125"/>
        <v>23</v>
      </c>
      <c r="C352" t="s">
        <v>435</v>
      </c>
      <c r="D352" t="str">
        <f t="shared" si="126"/>
        <v>25</v>
      </c>
      <c r="E352" t="s">
        <v>30</v>
      </c>
      <c r="F352" s="139" t="s">
        <v>210</v>
      </c>
      <c r="G352" t="s">
        <v>211</v>
      </c>
      <c r="H352" s="156">
        <v>0</v>
      </c>
      <c r="I352" s="156">
        <v>0</v>
      </c>
      <c r="J352" s="156">
        <v>0</v>
      </c>
      <c r="K352" s="156">
        <v>0</v>
      </c>
      <c r="L352" s="156">
        <v>0</v>
      </c>
      <c r="M352" s="156">
        <v>0</v>
      </c>
      <c r="N352" s="156">
        <v>0</v>
      </c>
      <c r="O352" s="156">
        <v>0</v>
      </c>
      <c r="P352" s="156">
        <v>0</v>
      </c>
      <c r="Q352" s="156">
        <v>0</v>
      </c>
      <c r="R352" s="156">
        <v>0</v>
      </c>
      <c r="S352" s="156">
        <f t="shared" si="127"/>
        <v>0</v>
      </c>
      <c r="T352" s="156">
        <f t="shared" si="128"/>
        <v>0</v>
      </c>
      <c r="U352" s="140" t="str">
        <f t="shared" si="129"/>
        <v/>
      </c>
      <c r="V352" s="140" t="str">
        <f t="shared" si="130"/>
        <v/>
      </c>
      <c r="W352" s="140" t="str">
        <f t="shared" si="131"/>
        <v/>
      </c>
      <c r="X352" s="140" t="str">
        <f t="shared" si="132"/>
        <v/>
      </c>
      <c r="Y352" s="140" t="str">
        <f t="shared" si="133"/>
        <v/>
      </c>
      <c r="Z352" s="140" t="str">
        <f t="shared" si="134"/>
        <v/>
      </c>
      <c r="AA352" s="140" t="str">
        <f t="shared" si="135"/>
        <v/>
      </c>
      <c r="AB352" s="140" t="str">
        <f t="shared" si="136"/>
        <v/>
      </c>
      <c r="AC352" s="140" t="str">
        <f t="shared" si="137"/>
        <v/>
      </c>
      <c r="AD352" s="140" t="str">
        <f t="shared" si="138"/>
        <v/>
      </c>
      <c r="AE352" s="140" t="str">
        <f t="shared" si="139"/>
        <v/>
      </c>
      <c r="AF352" s="140" t="str">
        <f t="shared" si="140"/>
        <v/>
      </c>
      <c r="AG352" s="140" t="str">
        <f t="shared" si="141"/>
        <v/>
      </c>
      <c r="AH352" s="140" t="str">
        <f t="shared" si="142"/>
        <v/>
      </c>
      <c r="AI352" s="140" t="str">
        <f t="shared" si="143"/>
        <v/>
      </c>
      <c r="AJ352" s="140" t="str">
        <f t="shared" si="144"/>
        <v/>
      </c>
      <c r="AK352" s="140" t="str">
        <f t="shared" si="145"/>
        <v/>
      </c>
      <c r="AL352" s="140" t="str">
        <f t="shared" si="146"/>
        <v/>
      </c>
      <c r="AM352" t="str">
        <f t="shared" si="147"/>
        <v>4690-000: Other misc Supplies</v>
      </c>
      <c r="AN352" s="140">
        <f t="shared" si="148"/>
        <v>0</v>
      </c>
      <c r="AO352" s="140">
        <f t="shared" si="149"/>
        <v>0</v>
      </c>
      <c r="AP352" s="1" t="str">
        <f>IF(AND(AO352&gt;0, _xlfn.XLOOKUP($AM352, Discretionaries!$A$2:'Discretionaries'!$A$150, Discretionaries!$B$2:'Discretionaries'!$B$150)), (1+AN352)*$N352, "")</f>
        <v/>
      </c>
      <c r="AQ352" s="1" t="str">
        <f>IF(AND(AO352&gt;0, _xlfn.XLOOKUP($AM352, Discretionaries!$A$2:'Discretionaries'!$A$150, Discretionaries!$B$2:'Discretionaries'!$B$150)),AP352-$Q352,"")</f>
        <v/>
      </c>
      <c r="AR352" s="140">
        <f>IF(AG352="", 0-CPI!$B$15, AG352-CPI!$B$15)</f>
        <v>-3.8999999999999993E-2</v>
      </c>
      <c r="AS352" s="1" t="str">
        <f>IF(AND(AR352&gt;0, _xlfn.XLOOKUP($AM352, Discretionaries!$A$2:'Discretionaries'!$A$150, Discretionaries!$B$2:'Discretionaries'!$B$150)), (1+CPI!$B$15)*$N352, "")</f>
        <v/>
      </c>
      <c r="AT352" s="1" t="str">
        <f>IF(AND(AR352&gt;0, _xlfn.XLOOKUP($AM352, Discretionaries!$A$2:'Discretionaries'!$A$150, Discretionaries!$B$2:'Discretionaries'!$B$150)),AS352-$Q352,"")</f>
        <v/>
      </c>
    </row>
    <row r="353" spans="1:46" x14ac:dyDescent="0.3">
      <c r="A353" t="s">
        <v>436</v>
      </c>
      <c r="B353" t="str">
        <f t="shared" si="125"/>
        <v>24</v>
      </c>
      <c r="C353" t="s">
        <v>408</v>
      </c>
      <c r="D353" t="str">
        <f t="shared" si="126"/>
        <v>00</v>
      </c>
      <c r="E353" t="s">
        <v>11</v>
      </c>
      <c r="F353" s="139" t="s">
        <v>35</v>
      </c>
      <c r="G353" t="s">
        <v>36</v>
      </c>
      <c r="H353" s="156">
        <v>217957</v>
      </c>
      <c r="I353" s="156">
        <v>217601.83</v>
      </c>
      <c r="J353" s="156">
        <v>223760</v>
      </c>
      <c r="K353" s="156">
        <v>213954.38</v>
      </c>
      <c r="L353" s="156">
        <v>232187</v>
      </c>
      <c r="M353" s="156">
        <v>229525.02</v>
      </c>
      <c r="N353" s="156">
        <v>242585</v>
      </c>
      <c r="O353" s="156">
        <v>262608</v>
      </c>
      <c r="P353" s="156">
        <v>262608</v>
      </c>
      <c r="Q353" s="156">
        <v>262608</v>
      </c>
      <c r="R353" s="156">
        <v>262608</v>
      </c>
      <c r="S353" s="156">
        <f t="shared" si="127"/>
        <v>20023</v>
      </c>
      <c r="T353" s="156">
        <f t="shared" si="128"/>
        <v>0</v>
      </c>
      <c r="U353" s="140">
        <f t="shared" si="129"/>
        <v>8.2540140569284992E-2</v>
      </c>
      <c r="V353" s="140">
        <f t="shared" si="130"/>
        <v>-1.629541606830764E-3</v>
      </c>
      <c r="W353" s="140">
        <f t="shared" si="131"/>
        <v>-4.3822041473006772E-2</v>
      </c>
      <c r="X353" s="140">
        <f t="shared" si="132"/>
        <v>-1.1464810691382422E-2</v>
      </c>
      <c r="Y353" s="140">
        <f t="shared" si="133"/>
        <v>2.6624517680092861E-2</v>
      </c>
      <c r="Z353" s="140">
        <f t="shared" si="134"/>
        <v>-1.6762037341321912E-2</v>
      </c>
      <c r="AA353" s="140">
        <f t="shared" si="135"/>
        <v>3.7660886664283161E-2</v>
      </c>
      <c r="AB353" s="140">
        <f t="shared" si="136"/>
        <v>7.2775514107259617E-2</v>
      </c>
      <c r="AC353" s="140">
        <f t="shared" si="137"/>
        <v>4.4782868980606148E-2</v>
      </c>
      <c r="AD353" s="140">
        <f t="shared" si="138"/>
        <v>0.11299476502245856</v>
      </c>
      <c r="AE353" s="140">
        <f t="shared" si="139"/>
        <v>8.2540140569284992E-2</v>
      </c>
      <c r="AF353" s="140">
        <f t="shared" si="140"/>
        <v>8.2540140569284992E-2</v>
      </c>
      <c r="AG353" s="140">
        <f t="shared" si="141"/>
        <v>8.2540140569284992E-2</v>
      </c>
      <c r="AH353" s="140">
        <f t="shared" si="142"/>
        <v>8.2540140569284992E-2</v>
      </c>
      <c r="AI353" s="140">
        <f t="shared" si="143"/>
        <v>0.2048615093802906</v>
      </c>
      <c r="AJ353" s="140">
        <f t="shared" si="144"/>
        <v>0.2048615093802906</v>
      </c>
      <c r="AK353" s="140">
        <f t="shared" si="145"/>
        <v>0.2048615093802906</v>
      </c>
      <c r="AL353" s="140">
        <f t="shared" si="146"/>
        <v>0.2048615093802906</v>
      </c>
      <c r="AM353" t="str">
        <f t="shared" si="147"/>
        <v>4110-000: Regular Salaries</v>
      </c>
      <c r="AN353" s="140">
        <f t="shared" si="148"/>
        <v>3.6356091108327389E-2</v>
      </c>
      <c r="AO353" s="140">
        <f t="shared" si="149"/>
        <v>4.6184049460957603E-2</v>
      </c>
      <c r="AP353" s="1" t="str">
        <f>IF(AND(AO353&gt;0, _xlfn.XLOOKUP($AM353, Discretionaries!$A$2:'Discretionaries'!$A$150, Discretionaries!$B$2:'Discretionaries'!$B$150)), (1+AN353)*$N353, "")</f>
        <v/>
      </c>
      <c r="AQ353" s="1" t="str">
        <f>IF(AND(AO353&gt;0, _xlfn.XLOOKUP($AM353, Discretionaries!$A$2:'Discretionaries'!$A$150, Discretionaries!$B$2:'Discretionaries'!$B$150)),AP353-$Q353,"")</f>
        <v/>
      </c>
      <c r="AR353" s="140">
        <f>IF(AG353="", 0-CPI!$B$15, AG353-CPI!$B$15)</f>
        <v>4.3540140569284999E-2</v>
      </c>
      <c r="AS353" s="1" t="str">
        <f>IF(AND(AR353&gt;0, _xlfn.XLOOKUP($AM353, Discretionaries!$A$2:'Discretionaries'!$A$150, Discretionaries!$B$2:'Discretionaries'!$B$150)), (1+CPI!$B$15)*$N353, "")</f>
        <v/>
      </c>
      <c r="AT353" s="1" t="str">
        <f>IF(AND(AR353&gt;0, _xlfn.XLOOKUP($AM353, Discretionaries!$A$2:'Discretionaries'!$A$150, Discretionaries!$B$2:'Discretionaries'!$B$150)),AS353-$Q353,"")</f>
        <v/>
      </c>
    </row>
    <row r="354" spans="1:46" x14ac:dyDescent="0.3">
      <c r="A354" t="s">
        <v>436</v>
      </c>
      <c r="B354" t="str">
        <f t="shared" si="125"/>
        <v>24</v>
      </c>
      <c r="C354" t="s">
        <v>408</v>
      </c>
      <c r="D354" t="str">
        <f t="shared" si="126"/>
        <v>00</v>
      </c>
      <c r="E354" t="s">
        <v>11</v>
      </c>
      <c r="F354" s="139" t="s">
        <v>37</v>
      </c>
      <c r="G354" t="s">
        <v>38</v>
      </c>
      <c r="H354" s="156">
        <v>81652</v>
      </c>
      <c r="I354" s="156">
        <v>81186.23</v>
      </c>
      <c r="J354" s="156">
        <v>83318</v>
      </c>
      <c r="K354" s="156">
        <v>60855.56</v>
      </c>
      <c r="L354" s="156">
        <v>86295</v>
      </c>
      <c r="M354" s="156">
        <v>58654.63</v>
      </c>
      <c r="N354" s="156">
        <v>102523</v>
      </c>
      <c r="O354" s="156">
        <v>107682</v>
      </c>
      <c r="P354" s="156">
        <v>107682</v>
      </c>
      <c r="Q354" s="156">
        <v>107682</v>
      </c>
      <c r="R354" s="156">
        <v>107682</v>
      </c>
      <c r="S354" s="156">
        <f t="shared" si="127"/>
        <v>5159</v>
      </c>
      <c r="T354" s="156">
        <f t="shared" si="128"/>
        <v>0</v>
      </c>
      <c r="U354" s="140">
        <f t="shared" si="129"/>
        <v>5.0320415906674597E-2</v>
      </c>
      <c r="V354" s="140">
        <f t="shared" si="130"/>
        <v>-5.7043305736540935E-3</v>
      </c>
      <c r="W354" s="140">
        <f t="shared" si="131"/>
        <v>-0.26959888619505989</v>
      </c>
      <c r="X354" s="140">
        <f t="shared" si="132"/>
        <v>-0.32030094443478768</v>
      </c>
      <c r="Y354" s="140">
        <f t="shared" si="133"/>
        <v>2.0403664331553422E-2</v>
      </c>
      <c r="Z354" s="140">
        <f t="shared" si="134"/>
        <v>-0.25042017593377597</v>
      </c>
      <c r="AA354" s="140">
        <f t="shared" si="135"/>
        <v>3.5730574425694328E-2</v>
      </c>
      <c r="AB354" s="140">
        <f t="shared" si="136"/>
        <v>-3.6166457099400619E-2</v>
      </c>
      <c r="AC354" s="140">
        <f t="shared" si="137"/>
        <v>0.18805261023234254</v>
      </c>
      <c r="AD354" s="140">
        <f t="shared" si="138"/>
        <v>0.25560917062656152</v>
      </c>
      <c r="AE354" s="140">
        <f t="shared" si="139"/>
        <v>5.0320415906674597E-2</v>
      </c>
      <c r="AF354" s="140">
        <f t="shared" si="140"/>
        <v>5.0320415906674597E-2</v>
      </c>
      <c r="AG354" s="140">
        <f t="shared" si="141"/>
        <v>5.0320415906674597E-2</v>
      </c>
      <c r="AH354" s="140">
        <f t="shared" si="142"/>
        <v>5.0320415906674597E-2</v>
      </c>
      <c r="AI354" s="140">
        <f t="shared" si="143"/>
        <v>0.31879194630872482</v>
      </c>
      <c r="AJ354" s="140">
        <f t="shared" si="144"/>
        <v>0.31879194630872482</v>
      </c>
      <c r="AK354" s="140">
        <f t="shared" si="145"/>
        <v>0.31879194630872482</v>
      </c>
      <c r="AL354" s="140">
        <f t="shared" si="146"/>
        <v>0.31879194630872482</v>
      </c>
      <c r="AM354" t="str">
        <f t="shared" si="147"/>
        <v>4120-000: Part-time Salaries</v>
      </c>
      <c r="AN354" s="140">
        <f t="shared" si="148"/>
        <v>8.1395616329863432E-2</v>
      </c>
      <c r="AO354" s="140">
        <f t="shared" si="149"/>
        <v>-3.1075200423188835E-2</v>
      </c>
      <c r="AP354" s="1" t="str">
        <f>IF(AND(AO354&gt;0, _xlfn.XLOOKUP($AM354, Discretionaries!$A$2:'Discretionaries'!$A$150, Discretionaries!$B$2:'Discretionaries'!$B$150)), (1+AN354)*$N354, "")</f>
        <v/>
      </c>
      <c r="AQ354" s="1" t="str">
        <f>IF(AND(AO354&gt;0, _xlfn.XLOOKUP($AM354, Discretionaries!$A$2:'Discretionaries'!$A$150, Discretionaries!$B$2:'Discretionaries'!$B$150)),AP354-$Q354,"")</f>
        <v/>
      </c>
      <c r="AR354" s="140">
        <f>IF(AG354="", 0-CPI!$B$15, AG354-CPI!$B$15)</f>
        <v>1.1320415906674604E-2</v>
      </c>
      <c r="AS354" s="1" t="str">
        <f>IF(AND(AR354&gt;0, _xlfn.XLOOKUP($AM354, Discretionaries!$A$2:'Discretionaries'!$A$150, Discretionaries!$B$2:'Discretionaries'!$B$150)), (1+CPI!$B$15)*$N354, "")</f>
        <v/>
      </c>
      <c r="AT354" s="1" t="str">
        <f>IF(AND(AR354&gt;0, _xlfn.XLOOKUP($AM354, Discretionaries!$A$2:'Discretionaries'!$A$150, Discretionaries!$B$2:'Discretionaries'!$B$150)),AS354-$Q354,"")</f>
        <v/>
      </c>
    </row>
    <row r="355" spans="1:46" x14ac:dyDescent="0.3">
      <c r="A355" t="s">
        <v>436</v>
      </c>
      <c r="B355" t="str">
        <f t="shared" si="125"/>
        <v>24</v>
      </c>
      <c r="C355" t="s">
        <v>408</v>
      </c>
      <c r="D355" t="str">
        <f t="shared" si="126"/>
        <v>00</v>
      </c>
      <c r="E355" t="s">
        <v>11</v>
      </c>
      <c r="F355" s="139" t="s">
        <v>39</v>
      </c>
      <c r="G355" t="s">
        <v>40</v>
      </c>
      <c r="H355" s="156">
        <v>7000</v>
      </c>
      <c r="I355" s="156">
        <v>713.97</v>
      </c>
      <c r="J355" s="156">
        <v>7000</v>
      </c>
      <c r="K355" s="156">
        <v>1159.48</v>
      </c>
      <c r="L355" s="156">
        <v>7000</v>
      </c>
      <c r="M355" s="156">
        <v>3522.84</v>
      </c>
      <c r="N355" s="156">
        <v>7000</v>
      </c>
      <c r="O355" s="156">
        <v>7000</v>
      </c>
      <c r="P355" s="156">
        <v>7000</v>
      </c>
      <c r="Q355" s="156">
        <v>7000</v>
      </c>
      <c r="R355" s="156">
        <v>7000</v>
      </c>
      <c r="S355" s="156">
        <f t="shared" si="127"/>
        <v>0</v>
      </c>
      <c r="T355" s="156">
        <f t="shared" si="128"/>
        <v>0</v>
      </c>
      <c r="U355" s="140">
        <f t="shared" si="129"/>
        <v>0</v>
      </c>
      <c r="V355" s="140">
        <f t="shared" si="130"/>
        <v>-0.8980042857142857</v>
      </c>
      <c r="W355" s="140">
        <f t="shared" si="131"/>
        <v>-0.8343600000000001</v>
      </c>
      <c r="X355" s="140">
        <f t="shared" si="132"/>
        <v>-0.49673714285714282</v>
      </c>
      <c r="Y355" s="140">
        <f t="shared" si="133"/>
        <v>0</v>
      </c>
      <c r="Z355" s="140">
        <f t="shared" si="134"/>
        <v>0.62398980349314392</v>
      </c>
      <c r="AA355" s="140">
        <f t="shared" si="135"/>
        <v>0</v>
      </c>
      <c r="AB355" s="140">
        <f t="shared" si="136"/>
        <v>2.038293027909063</v>
      </c>
      <c r="AC355" s="140">
        <f t="shared" si="137"/>
        <v>0</v>
      </c>
      <c r="AD355" s="140">
        <f t="shared" si="138"/>
        <v>0</v>
      </c>
      <c r="AE355" s="140">
        <f t="shared" si="139"/>
        <v>0</v>
      </c>
      <c r="AF355" s="140">
        <f t="shared" si="140"/>
        <v>0</v>
      </c>
      <c r="AG355" s="140">
        <f t="shared" si="141"/>
        <v>0</v>
      </c>
      <c r="AH355" s="140">
        <f t="shared" si="142"/>
        <v>0</v>
      </c>
      <c r="AI355" s="140">
        <f t="shared" si="143"/>
        <v>0</v>
      </c>
      <c r="AJ355" s="140">
        <f t="shared" si="144"/>
        <v>0</v>
      </c>
      <c r="AK355" s="140">
        <f t="shared" si="145"/>
        <v>0</v>
      </c>
      <c r="AL355" s="140">
        <f t="shared" si="146"/>
        <v>0</v>
      </c>
      <c r="AM355" t="str">
        <f t="shared" si="147"/>
        <v>4140-000: Overtime Salaries</v>
      </c>
      <c r="AN355" s="140">
        <f t="shared" si="148"/>
        <v>0</v>
      </c>
      <c r="AO355" s="140">
        <f t="shared" si="149"/>
        <v>0</v>
      </c>
      <c r="AP355" s="1" t="str">
        <f>IF(AND(AO355&gt;0, _xlfn.XLOOKUP($AM355, Discretionaries!$A$2:'Discretionaries'!$A$150, Discretionaries!$B$2:'Discretionaries'!$B$150)), (1+AN355)*$N355, "")</f>
        <v/>
      </c>
      <c r="AQ355" s="1" t="str">
        <f>IF(AND(AO355&gt;0, _xlfn.XLOOKUP($AM355, Discretionaries!$A$2:'Discretionaries'!$A$150, Discretionaries!$B$2:'Discretionaries'!$B$150)),AP355-$Q355,"")</f>
        <v/>
      </c>
      <c r="AR355" s="140">
        <f>IF(AG355="", 0-CPI!$B$15, AG355-CPI!$B$15)</f>
        <v>-3.8999999999999993E-2</v>
      </c>
      <c r="AS355" s="1" t="str">
        <f>IF(AND(AR355&gt;0, _xlfn.XLOOKUP($AM355, Discretionaries!$A$2:'Discretionaries'!$A$150, Discretionaries!$B$2:'Discretionaries'!$B$150)), (1+CPI!$B$15)*$N355, "")</f>
        <v/>
      </c>
      <c r="AT355" s="1" t="str">
        <f>IF(AND(AR355&gt;0, _xlfn.XLOOKUP($AM355, Discretionaries!$A$2:'Discretionaries'!$A$150, Discretionaries!$B$2:'Discretionaries'!$B$150)),AS355-$Q355,"")</f>
        <v/>
      </c>
    </row>
    <row r="356" spans="1:46" x14ac:dyDescent="0.3">
      <c r="A356" t="s">
        <v>436</v>
      </c>
      <c r="B356" t="str">
        <f t="shared" si="125"/>
        <v>24</v>
      </c>
      <c r="C356" t="s">
        <v>408</v>
      </c>
      <c r="D356" t="str">
        <f t="shared" si="126"/>
        <v>00</v>
      </c>
      <c r="E356" t="s">
        <v>14</v>
      </c>
      <c r="F356" s="139" t="s">
        <v>41</v>
      </c>
      <c r="G356" t="s">
        <v>42</v>
      </c>
      <c r="H356" s="156">
        <v>2821</v>
      </c>
      <c r="I356" s="156">
        <v>2522.2800000000002</v>
      </c>
      <c r="J356" s="156">
        <v>2765</v>
      </c>
      <c r="K356" s="156">
        <v>2463.1799999999998</v>
      </c>
      <c r="L356" s="156">
        <v>2794</v>
      </c>
      <c r="M356" s="156">
        <v>2221.2399999999998</v>
      </c>
      <c r="N356" s="156">
        <v>1700</v>
      </c>
      <c r="O356" s="156">
        <v>2187</v>
      </c>
      <c r="P356" s="156">
        <v>2187</v>
      </c>
      <c r="Q356" s="156">
        <v>2187</v>
      </c>
      <c r="R356" s="156">
        <v>2187</v>
      </c>
      <c r="S356" s="156">
        <f t="shared" si="127"/>
        <v>487</v>
      </c>
      <c r="T356" s="156">
        <f t="shared" si="128"/>
        <v>0</v>
      </c>
      <c r="U356" s="140">
        <f t="shared" si="129"/>
        <v>0.28647058823529414</v>
      </c>
      <c r="V356" s="140">
        <f t="shared" si="130"/>
        <v>-0.10589152782701163</v>
      </c>
      <c r="W356" s="140">
        <f t="shared" si="131"/>
        <v>-0.10915732368896931</v>
      </c>
      <c r="X356" s="140">
        <f t="shared" si="132"/>
        <v>-0.20499642090193279</v>
      </c>
      <c r="Y356" s="140">
        <f t="shared" si="133"/>
        <v>-1.9851116625310174E-2</v>
      </c>
      <c r="Z356" s="140">
        <f t="shared" si="134"/>
        <v>-2.3431181312146297E-2</v>
      </c>
      <c r="AA356" s="140">
        <f t="shared" si="135"/>
        <v>1.0488245931283906E-2</v>
      </c>
      <c r="AB356" s="140">
        <f t="shared" si="136"/>
        <v>-9.8222622788427999E-2</v>
      </c>
      <c r="AC356" s="140">
        <f t="shared" si="137"/>
        <v>-0.39155332856120256</v>
      </c>
      <c r="AD356" s="140">
        <f t="shared" si="138"/>
        <v>-0.39737681673165542</v>
      </c>
      <c r="AE356" s="140">
        <f t="shared" si="139"/>
        <v>0.28647058823529414</v>
      </c>
      <c r="AF356" s="140">
        <f t="shared" si="140"/>
        <v>0.28647058823529414</v>
      </c>
      <c r="AG356" s="140">
        <f t="shared" si="141"/>
        <v>0.28647058823529414</v>
      </c>
      <c r="AH356" s="140">
        <f t="shared" si="142"/>
        <v>0.28647058823529414</v>
      </c>
      <c r="AI356" s="140">
        <f t="shared" si="143"/>
        <v>-0.22474299893654731</v>
      </c>
      <c r="AJ356" s="140">
        <f t="shared" si="144"/>
        <v>-0.22474299893654731</v>
      </c>
      <c r="AK356" s="140">
        <f t="shared" si="145"/>
        <v>-0.22474299893654731</v>
      </c>
      <c r="AL356" s="140">
        <f t="shared" si="146"/>
        <v>-0.22474299893654731</v>
      </c>
      <c r="AM356" t="str">
        <f t="shared" si="147"/>
        <v>4215-000: STD, LTD, &amp; Life Benefits</v>
      </c>
      <c r="AN356" s="140">
        <f t="shared" si="148"/>
        <v>-0.13363873308507626</v>
      </c>
      <c r="AO356" s="140">
        <f t="shared" si="149"/>
        <v>0.42010932132037038</v>
      </c>
      <c r="AP356" s="1" t="str">
        <f>IF(AND(AO356&gt;0, _xlfn.XLOOKUP($AM356, Discretionaries!$A$2:'Discretionaries'!$A$150, Discretionaries!$B$2:'Discretionaries'!$B$150)), (1+AN356)*$N356, "")</f>
        <v/>
      </c>
      <c r="AQ356" s="1" t="str">
        <f>IF(AND(AO356&gt;0, _xlfn.XLOOKUP($AM356, Discretionaries!$A$2:'Discretionaries'!$A$150, Discretionaries!$B$2:'Discretionaries'!$B$150)),AP356-$Q356,"")</f>
        <v/>
      </c>
      <c r="AR356" s="140">
        <f>IF(AG356="", 0-CPI!$B$15, AG356-CPI!$B$15)</f>
        <v>0.24747058823529416</v>
      </c>
      <c r="AS356" s="1" t="str">
        <f>IF(AND(AR356&gt;0, _xlfn.XLOOKUP($AM356, Discretionaries!$A$2:'Discretionaries'!$A$150, Discretionaries!$B$2:'Discretionaries'!$B$150)), (1+CPI!$B$15)*$N356, "")</f>
        <v/>
      </c>
      <c r="AT356" s="1" t="str">
        <f>IF(AND(AR356&gt;0, _xlfn.XLOOKUP($AM356, Discretionaries!$A$2:'Discretionaries'!$A$150, Discretionaries!$B$2:'Discretionaries'!$B$150)),AS356-$Q356,"")</f>
        <v/>
      </c>
    </row>
    <row r="357" spans="1:46" x14ac:dyDescent="0.3">
      <c r="A357" t="s">
        <v>436</v>
      </c>
      <c r="B357" t="str">
        <f t="shared" si="125"/>
        <v>24</v>
      </c>
      <c r="C357" t="s">
        <v>408</v>
      </c>
      <c r="D357" t="str">
        <f t="shared" si="126"/>
        <v>00</v>
      </c>
      <c r="E357" t="s">
        <v>14</v>
      </c>
      <c r="F357" s="139" t="s">
        <v>15</v>
      </c>
      <c r="G357" t="s">
        <v>16</v>
      </c>
      <c r="H357" s="156">
        <v>20070</v>
      </c>
      <c r="I357" s="156">
        <v>17155.689999999999</v>
      </c>
      <c r="J357" s="156">
        <v>19010</v>
      </c>
      <c r="K357" s="156">
        <v>17760.82</v>
      </c>
      <c r="L357" s="156">
        <v>20180</v>
      </c>
      <c r="M357" s="156">
        <v>17626</v>
      </c>
      <c r="N357" s="156">
        <v>21834</v>
      </c>
      <c r="O357" s="156">
        <v>23392</v>
      </c>
      <c r="P357" s="156">
        <v>23392</v>
      </c>
      <c r="Q357" s="156">
        <v>23392</v>
      </c>
      <c r="R357" s="156">
        <v>23392</v>
      </c>
      <c r="S357" s="156">
        <f t="shared" si="127"/>
        <v>1558</v>
      </c>
      <c r="T357" s="156">
        <f t="shared" si="128"/>
        <v>0</v>
      </c>
      <c r="U357" s="140">
        <f t="shared" si="129"/>
        <v>7.1356599798479442E-2</v>
      </c>
      <c r="V357" s="140">
        <f t="shared" si="130"/>
        <v>-0.14520727453911317</v>
      </c>
      <c r="W357" s="140">
        <f t="shared" si="131"/>
        <v>-6.5711730668069457E-2</v>
      </c>
      <c r="X357" s="140">
        <f t="shared" si="132"/>
        <v>-0.12656095143706642</v>
      </c>
      <c r="Y357" s="140">
        <f t="shared" si="133"/>
        <v>-5.2815146985550572E-2</v>
      </c>
      <c r="Z357" s="140">
        <f t="shared" si="134"/>
        <v>3.5272845335862391E-2</v>
      </c>
      <c r="AA357" s="140">
        <f t="shared" si="135"/>
        <v>6.1546554445028934E-2</v>
      </c>
      <c r="AB357" s="140">
        <f t="shared" si="136"/>
        <v>-7.5908657370549167E-3</v>
      </c>
      <c r="AC357" s="140">
        <f t="shared" si="137"/>
        <v>8.1962338949454899E-2</v>
      </c>
      <c r="AD357" s="140">
        <f t="shared" si="138"/>
        <v>8.7892376681614356E-2</v>
      </c>
      <c r="AE357" s="140">
        <f t="shared" si="139"/>
        <v>7.1356599798479442E-2</v>
      </c>
      <c r="AF357" s="140">
        <f t="shared" si="140"/>
        <v>7.1356599798479442E-2</v>
      </c>
      <c r="AG357" s="140">
        <f t="shared" si="141"/>
        <v>7.1356599798479442E-2</v>
      </c>
      <c r="AH357" s="140">
        <f t="shared" si="142"/>
        <v>7.1356599798479442E-2</v>
      </c>
      <c r="AI357" s="140">
        <f t="shared" si="143"/>
        <v>0.16552067762830094</v>
      </c>
      <c r="AJ357" s="140">
        <f t="shared" si="144"/>
        <v>0.16552067762830094</v>
      </c>
      <c r="AK357" s="140">
        <f t="shared" si="145"/>
        <v>0.16552067762830094</v>
      </c>
      <c r="AL357" s="140">
        <f t="shared" si="146"/>
        <v>0.16552067762830094</v>
      </c>
      <c r="AM357" t="str">
        <f t="shared" si="147"/>
        <v>4220-000: FICA Benefits</v>
      </c>
      <c r="AN357" s="140">
        <f t="shared" si="148"/>
        <v>3.0231248802977756E-2</v>
      </c>
      <c r="AO357" s="140">
        <f t="shared" si="149"/>
        <v>4.1125350995501686E-2</v>
      </c>
      <c r="AP357" s="1" t="str">
        <f>IF(AND(AO357&gt;0, _xlfn.XLOOKUP($AM357, Discretionaries!$A$2:'Discretionaries'!$A$150, Discretionaries!$B$2:'Discretionaries'!$B$150)), (1+AN357)*$N357, "")</f>
        <v/>
      </c>
      <c r="AQ357" s="1" t="str">
        <f>IF(AND(AO357&gt;0, _xlfn.XLOOKUP($AM357, Discretionaries!$A$2:'Discretionaries'!$A$150, Discretionaries!$B$2:'Discretionaries'!$B$150)),AP357-$Q357,"")</f>
        <v/>
      </c>
      <c r="AR357" s="140">
        <f>IF(AG357="", 0-CPI!$B$15, AG357-CPI!$B$15)</f>
        <v>3.2356599798479449E-2</v>
      </c>
      <c r="AS357" s="1" t="str">
        <f>IF(AND(AR357&gt;0, _xlfn.XLOOKUP($AM357, Discretionaries!$A$2:'Discretionaries'!$A$150, Discretionaries!$B$2:'Discretionaries'!$B$150)), (1+CPI!$B$15)*$N357, "")</f>
        <v/>
      </c>
      <c r="AT357" s="1" t="str">
        <f>IF(AND(AR357&gt;0, _xlfn.XLOOKUP($AM357, Discretionaries!$A$2:'Discretionaries'!$A$150, Discretionaries!$B$2:'Discretionaries'!$B$150)),AS357-$Q357,"")</f>
        <v/>
      </c>
    </row>
    <row r="358" spans="1:46" x14ac:dyDescent="0.3">
      <c r="A358" t="s">
        <v>436</v>
      </c>
      <c r="B358" t="str">
        <f t="shared" si="125"/>
        <v>24</v>
      </c>
      <c r="C358" t="s">
        <v>408</v>
      </c>
      <c r="D358" t="str">
        <f t="shared" si="126"/>
        <v>00</v>
      </c>
      <c r="E358" t="s">
        <v>14</v>
      </c>
      <c r="F358" s="139" t="s">
        <v>17</v>
      </c>
      <c r="G358" t="s">
        <v>18</v>
      </c>
      <c r="H358" s="156">
        <v>4694</v>
      </c>
      <c r="I358" s="156">
        <v>4012.24</v>
      </c>
      <c r="J358" s="156">
        <v>4446</v>
      </c>
      <c r="K358" s="156">
        <v>4153.72</v>
      </c>
      <c r="L358" s="156">
        <v>4720</v>
      </c>
      <c r="M358" s="156">
        <v>4122.1899999999996</v>
      </c>
      <c r="N358" s="156">
        <v>5107</v>
      </c>
      <c r="O358" s="156">
        <v>5471</v>
      </c>
      <c r="P358" s="156">
        <v>5471</v>
      </c>
      <c r="Q358" s="156">
        <v>5471</v>
      </c>
      <c r="R358" s="156">
        <v>5471</v>
      </c>
      <c r="S358" s="156">
        <f t="shared" si="127"/>
        <v>364</v>
      </c>
      <c r="T358" s="156">
        <f t="shared" si="128"/>
        <v>0</v>
      </c>
      <c r="U358" s="140">
        <f t="shared" si="129"/>
        <v>7.1274720971215982E-2</v>
      </c>
      <c r="V358" s="140">
        <f t="shared" si="130"/>
        <v>-0.14524073285044742</v>
      </c>
      <c r="W358" s="140">
        <f t="shared" si="131"/>
        <v>-6.573999100314884E-2</v>
      </c>
      <c r="X358" s="140">
        <f t="shared" si="132"/>
        <v>-0.12665466101694925</v>
      </c>
      <c r="Y358" s="140">
        <f t="shared" si="133"/>
        <v>-5.2833404345973584E-2</v>
      </c>
      <c r="Z358" s="140">
        <f t="shared" si="134"/>
        <v>3.5262097980180769E-2</v>
      </c>
      <c r="AA358" s="140">
        <f t="shared" si="135"/>
        <v>6.162843004948268E-2</v>
      </c>
      <c r="AB358" s="140">
        <f t="shared" si="136"/>
        <v>-7.5907860905406847E-3</v>
      </c>
      <c r="AC358" s="140">
        <f t="shared" si="137"/>
        <v>8.1991525423728812E-2</v>
      </c>
      <c r="AD358" s="140">
        <f t="shared" si="138"/>
        <v>8.7984661269706013E-2</v>
      </c>
      <c r="AE358" s="140">
        <f t="shared" si="139"/>
        <v>7.1274720971215982E-2</v>
      </c>
      <c r="AF358" s="140">
        <f t="shared" si="140"/>
        <v>7.1274720971215982E-2</v>
      </c>
      <c r="AG358" s="140">
        <f t="shared" si="141"/>
        <v>7.1274720971215982E-2</v>
      </c>
      <c r="AH358" s="140">
        <f t="shared" si="142"/>
        <v>7.1274720971215982E-2</v>
      </c>
      <c r="AI358" s="140">
        <f t="shared" si="143"/>
        <v>0.16553046442266722</v>
      </c>
      <c r="AJ358" s="140">
        <f t="shared" si="144"/>
        <v>0.16553046442266722</v>
      </c>
      <c r="AK358" s="140">
        <f t="shared" si="145"/>
        <v>0.16553046442266722</v>
      </c>
      <c r="AL358" s="140">
        <f t="shared" si="146"/>
        <v>0.16553046442266722</v>
      </c>
      <c r="AM358" t="str">
        <f t="shared" si="147"/>
        <v>4225-000: Medicare Benefits</v>
      </c>
      <c r="AN358" s="140">
        <f t="shared" si="148"/>
        <v>3.0262183709079304E-2</v>
      </c>
      <c r="AO358" s="140">
        <f t="shared" si="149"/>
        <v>4.1012537262136675E-2</v>
      </c>
      <c r="AP358" s="1" t="str">
        <f>IF(AND(AO358&gt;0, _xlfn.XLOOKUP($AM358, Discretionaries!$A$2:'Discretionaries'!$A$150, Discretionaries!$B$2:'Discretionaries'!$B$150)), (1+AN358)*$N358, "")</f>
        <v/>
      </c>
      <c r="AQ358" s="1" t="str">
        <f>IF(AND(AO358&gt;0, _xlfn.XLOOKUP($AM358, Discretionaries!$A$2:'Discretionaries'!$A$150, Discretionaries!$B$2:'Discretionaries'!$B$150)),AP358-$Q358,"")</f>
        <v/>
      </c>
      <c r="AR358" s="140">
        <f>IF(AG358="", 0-CPI!$B$15, AG358-CPI!$B$15)</f>
        <v>3.2274720971215989E-2</v>
      </c>
      <c r="AS358" s="1" t="str">
        <f>IF(AND(AR358&gt;0, _xlfn.XLOOKUP($AM358, Discretionaries!$A$2:'Discretionaries'!$A$150, Discretionaries!$B$2:'Discretionaries'!$B$150)), (1+CPI!$B$15)*$N358, "")</f>
        <v/>
      </c>
      <c r="AT358" s="1" t="str">
        <f>IF(AND(AR358&gt;0, _xlfn.XLOOKUP($AM358, Discretionaries!$A$2:'Discretionaries'!$A$150, Discretionaries!$B$2:'Discretionaries'!$B$150)),AS358-$Q358,"")</f>
        <v/>
      </c>
    </row>
    <row r="359" spans="1:46" x14ac:dyDescent="0.3">
      <c r="A359" t="s">
        <v>436</v>
      </c>
      <c r="B359" t="str">
        <f t="shared" si="125"/>
        <v>24</v>
      </c>
      <c r="C359" t="s">
        <v>408</v>
      </c>
      <c r="D359" t="str">
        <f t="shared" si="126"/>
        <v>00</v>
      </c>
      <c r="E359" t="s">
        <v>14</v>
      </c>
      <c r="F359" s="139" t="s">
        <v>43</v>
      </c>
      <c r="G359" t="s">
        <v>44</v>
      </c>
      <c r="H359" s="156">
        <v>35019</v>
      </c>
      <c r="I359" s="156">
        <v>28884.43</v>
      </c>
      <c r="J359" s="156">
        <v>31629</v>
      </c>
      <c r="K359" s="156">
        <v>31225.24</v>
      </c>
      <c r="L359" s="156">
        <v>32362</v>
      </c>
      <c r="M359" s="156">
        <v>31211.759999999998</v>
      </c>
      <c r="N359" s="156">
        <v>31877</v>
      </c>
      <c r="O359" s="156">
        <v>34430</v>
      </c>
      <c r="P359" s="156">
        <v>34430</v>
      </c>
      <c r="Q359" s="156">
        <v>34430</v>
      </c>
      <c r="R359" s="156">
        <v>34430</v>
      </c>
      <c r="S359" s="156">
        <f t="shared" si="127"/>
        <v>2553</v>
      </c>
      <c r="T359" s="156">
        <f t="shared" si="128"/>
        <v>0</v>
      </c>
      <c r="U359" s="140">
        <f t="shared" si="129"/>
        <v>8.0089092449101229E-2</v>
      </c>
      <c r="V359" s="140">
        <f t="shared" si="130"/>
        <v>-0.17517833176275735</v>
      </c>
      <c r="W359" s="140">
        <f t="shared" si="131"/>
        <v>-1.2765500015808227E-2</v>
      </c>
      <c r="X359" s="140">
        <f t="shared" si="132"/>
        <v>-3.5542920709474124E-2</v>
      </c>
      <c r="Y359" s="140">
        <f t="shared" si="133"/>
        <v>-9.680459179302664E-2</v>
      </c>
      <c r="Z359" s="140">
        <f t="shared" si="134"/>
        <v>8.1040546758236229E-2</v>
      </c>
      <c r="AA359" s="140">
        <f t="shared" si="135"/>
        <v>2.3174934395649563E-2</v>
      </c>
      <c r="AB359" s="140">
        <f t="shared" si="136"/>
        <v>-4.3170204616532011E-4</v>
      </c>
      <c r="AC359" s="140">
        <f t="shared" si="137"/>
        <v>-1.498671281132192E-2</v>
      </c>
      <c r="AD359" s="140">
        <f t="shared" si="138"/>
        <v>-8.9722721950940915E-2</v>
      </c>
      <c r="AE359" s="140">
        <f t="shared" si="139"/>
        <v>8.0089092449101229E-2</v>
      </c>
      <c r="AF359" s="140">
        <f t="shared" si="140"/>
        <v>8.0089092449101229E-2</v>
      </c>
      <c r="AG359" s="140">
        <f t="shared" si="141"/>
        <v>8.0089092449101229E-2</v>
      </c>
      <c r="AH359" s="140">
        <f t="shared" si="142"/>
        <v>8.0089092449101229E-2</v>
      </c>
      <c r="AI359" s="140">
        <f t="shared" si="143"/>
        <v>-1.6819440874953597E-2</v>
      </c>
      <c r="AJ359" s="140">
        <f t="shared" si="144"/>
        <v>-1.6819440874953597E-2</v>
      </c>
      <c r="AK359" s="140">
        <f t="shared" si="145"/>
        <v>-1.6819440874953597E-2</v>
      </c>
      <c r="AL359" s="140">
        <f t="shared" si="146"/>
        <v>-1.6819440874953597E-2</v>
      </c>
      <c r="AM359" t="str">
        <f t="shared" si="147"/>
        <v>4230-000: Retirement Benefits</v>
      </c>
      <c r="AN359" s="140">
        <f t="shared" si="148"/>
        <v>-2.9538790069566334E-2</v>
      </c>
      <c r="AO359" s="140">
        <f t="shared" si="149"/>
        <v>0.10962788251866756</v>
      </c>
      <c r="AP359" s="1" t="str">
        <f>IF(AND(AO359&gt;0, _xlfn.XLOOKUP($AM359, Discretionaries!$A$2:'Discretionaries'!$A$150, Discretionaries!$B$2:'Discretionaries'!$B$150)), (1+AN359)*$N359, "")</f>
        <v/>
      </c>
      <c r="AQ359" s="1" t="str">
        <f>IF(AND(AO359&gt;0, _xlfn.XLOOKUP($AM359, Discretionaries!$A$2:'Discretionaries'!$A$150, Discretionaries!$B$2:'Discretionaries'!$B$150)),AP359-$Q359,"")</f>
        <v/>
      </c>
      <c r="AR359" s="140">
        <f>IF(AG359="", 0-CPI!$B$15, AG359-CPI!$B$15)</f>
        <v>4.1089092449101236E-2</v>
      </c>
      <c r="AS359" s="1" t="str">
        <f>IF(AND(AR359&gt;0, _xlfn.XLOOKUP($AM359, Discretionaries!$A$2:'Discretionaries'!$A$150, Discretionaries!$B$2:'Discretionaries'!$B$150)), (1+CPI!$B$15)*$N359, "")</f>
        <v/>
      </c>
      <c r="AT359" s="1" t="str">
        <f>IF(AND(AR359&gt;0, _xlfn.XLOOKUP($AM359, Discretionaries!$A$2:'Discretionaries'!$A$150, Discretionaries!$B$2:'Discretionaries'!$B$150)),AS359-$Q359,"")</f>
        <v/>
      </c>
    </row>
    <row r="360" spans="1:46" x14ac:dyDescent="0.3">
      <c r="A360" t="s">
        <v>436</v>
      </c>
      <c r="B360" t="str">
        <f t="shared" si="125"/>
        <v>24</v>
      </c>
      <c r="C360" t="s">
        <v>408</v>
      </c>
      <c r="D360" t="str">
        <f t="shared" si="126"/>
        <v>00</v>
      </c>
      <c r="E360" t="s">
        <v>14</v>
      </c>
      <c r="F360" s="139" t="s">
        <v>19</v>
      </c>
      <c r="G360" t="s">
        <v>20</v>
      </c>
      <c r="H360" s="156">
        <v>5636</v>
      </c>
      <c r="I360" s="156">
        <v>3842.75</v>
      </c>
      <c r="J360" s="156">
        <v>5853</v>
      </c>
      <c r="K360" s="156">
        <v>5581.12</v>
      </c>
      <c r="L360" s="156">
        <v>7403</v>
      </c>
      <c r="M360" s="156">
        <v>7402.71</v>
      </c>
      <c r="N360" s="156">
        <v>8747</v>
      </c>
      <c r="O360" s="156">
        <v>8616</v>
      </c>
      <c r="P360" s="156">
        <v>8616</v>
      </c>
      <c r="Q360" s="156">
        <v>8616</v>
      </c>
      <c r="R360" s="156">
        <v>8616</v>
      </c>
      <c r="S360" s="156">
        <f t="shared" si="127"/>
        <v>-131</v>
      </c>
      <c r="T360" s="156">
        <f t="shared" si="128"/>
        <v>0</v>
      </c>
      <c r="U360" s="140">
        <f t="shared" si="129"/>
        <v>-1.497656339316337E-2</v>
      </c>
      <c r="V360" s="140">
        <f t="shared" si="130"/>
        <v>-0.31817778566359117</v>
      </c>
      <c r="W360" s="140">
        <f t="shared" si="131"/>
        <v>-4.6451392448317121E-2</v>
      </c>
      <c r="X360" s="140">
        <f t="shared" si="132"/>
        <v>-3.917330811832549E-5</v>
      </c>
      <c r="Y360" s="140">
        <f t="shared" si="133"/>
        <v>3.8502484031227822E-2</v>
      </c>
      <c r="Z360" s="140">
        <f t="shared" si="134"/>
        <v>0.45237655324962589</v>
      </c>
      <c r="AA360" s="140">
        <f t="shared" si="135"/>
        <v>0.26482145908081328</v>
      </c>
      <c r="AB360" s="140">
        <f t="shared" si="136"/>
        <v>0.32638430995929135</v>
      </c>
      <c r="AC360" s="140">
        <f t="shared" si="137"/>
        <v>0.18154802107253817</v>
      </c>
      <c r="AD360" s="140">
        <f t="shared" si="138"/>
        <v>0.55198722498225694</v>
      </c>
      <c r="AE360" s="140">
        <f t="shared" si="139"/>
        <v>-1.497656339316337E-2</v>
      </c>
      <c r="AF360" s="140">
        <f t="shared" si="140"/>
        <v>-1.497656339316337E-2</v>
      </c>
      <c r="AG360" s="140">
        <f t="shared" si="141"/>
        <v>-1.497656339316337E-2</v>
      </c>
      <c r="AH360" s="140">
        <f t="shared" si="142"/>
        <v>-1.497656339316337E-2</v>
      </c>
      <c r="AI360" s="140">
        <f t="shared" si="143"/>
        <v>0.5287437899219305</v>
      </c>
      <c r="AJ360" s="140">
        <f t="shared" si="144"/>
        <v>0.5287437899219305</v>
      </c>
      <c r="AK360" s="140">
        <f t="shared" si="145"/>
        <v>0.5287437899219305</v>
      </c>
      <c r="AL360" s="140">
        <f t="shared" si="146"/>
        <v>0.5287437899219305</v>
      </c>
      <c r="AM360" t="str">
        <f t="shared" si="147"/>
        <v>4260-000: Workers' comp Benefits</v>
      </c>
      <c r="AN360" s="140">
        <f t="shared" si="148"/>
        <v>0.16162398806152642</v>
      </c>
      <c r="AO360" s="140">
        <f t="shared" si="149"/>
        <v>-0.17660055145468978</v>
      </c>
      <c r="AP360" s="1" t="str">
        <f>IF(AND(AO360&gt;0, _xlfn.XLOOKUP($AM360, Discretionaries!$A$2:'Discretionaries'!$A$150, Discretionaries!$B$2:'Discretionaries'!$B$150)), (1+AN360)*$N360, "")</f>
        <v/>
      </c>
      <c r="AQ360" s="1" t="str">
        <f>IF(AND(AO360&gt;0, _xlfn.XLOOKUP($AM360, Discretionaries!$A$2:'Discretionaries'!$A$150, Discretionaries!$B$2:'Discretionaries'!$B$150)),AP360-$Q360,"")</f>
        <v/>
      </c>
      <c r="AR360" s="140">
        <f>IF(AG360="", 0-CPI!$B$15, AG360-CPI!$B$15)</f>
        <v>-5.3976563393163361E-2</v>
      </c>
      <c r="AS360" s="1" t="str">
        <f>IF(AND(AR360&gt;0, _xlfn.XLOOKUP($AM360, Discretionaries!$A$2:'Discretionaries'!$A$150, Discretionaries!$B$2:'Discretionaries'!$B$150)), (1+CPI!$B$15)*$N360, "")</f>
        <v/>
      </c>
      <c r="AT360" s="1" t="str">
        <f>IF(AND(AR360&gt;0, _xlfn.XLOOKUP($AM360, Discretionaries!$A$2:'Discretionaries'!$A$150, Discretionaries!$B$2:'Discretionaries'!$B$150)),AS360-$Q360,"")</f>
        <v/>
      </c>
    </row>
    <row r="361" spans="1:46" x14ac:dyDescent="0.3">
      <c r="A361" t="s">
        <v>436</v>
      </c>
      <c r="B361" t="str">
        <f t="shared" si="125"/>
        <v>24</v>
      </c>
      <c r="C361" t="s">
        <v>408</v>
      </c>
      <c r="D361" t="str">
        <f t="shared" si="126"/>
        <v>00</v>
      </c>
      <c r="E361" t="s">
        <v>21</v>
      </c>
      <c r="F361" s="139" t="s">
        <v>28</v>
      </c>
      <c r="G361" t="s">
        <v>29</v>
      </c>
      <c r="H361" s="156">
        <v>3500</v>
      </c>
      <c r="I361" s="156">
        <v>277.5</v>
      </c>
      <c r="J361" s="156">
        <v>3500</v>
      </c>
      <c r="K361" s="156">
        <v>1727.41</v>
      </c>
      <c r="L361" s="156">
        <v>2300</v>
      </c>
      <c r="M361" s="156">
        <v>2531.8000000000002</v>
      </c>
      <c r="N361" s="156">
        <v>2300</v>
      </c>
      <c r="O361" s="156">
        <v>2300</v>
      </c>
      <c r="P361" s="156">
        <v>2300</v>
      </c>
      <c r="Q361" s="156">
        <v>2300</v>
      </c>
      <c r="R361" s="156">
        <v>2300</v>
      </c>
      <c r="S361" s="156">
        <f t="shared" si="127"/>
        <v>0</v>
      </c>
      <c r="T361" s="156">
        <f t="shared" si="128"/>
        <v>0</v>
      </c>
      <c r="U361" s="140">
        <f t="shared" si="129"/>
        <v>0</v>
      </c>
      <c r="V361" s="140">
        <f t="shared" si="130"/>
        <v>-0.92071428571428571</v>
      </c>
      <c r="W361" s="140">
        <f t="shared" si="131"/>
        <v>-0.50645428571428575</v>
      </c>
      <c r="X361" s="140">
        <f t="shared" si="132"/>
        <v>0.10078260869565225</v>
      </c>
      <c r="Y361" s="140">
        <f t="shared" si="133"/>
        <v>0</v>
      </c>
      <c r="Z361" s="140">
        <f t="shared" si="134"/>
        <v>5.2249009009009013</v>
      </c>
      <c r="AA361" s="140">
        <f t="shared" si="135"/>
        <v>-0.34285714285714286</v>
      </c>
      <c r="AB361" s="140">
        <f t="shared" si="136"/>
        <v>0.46566246577245707</v>
      </c>
      <c r="AC361" s="140">
        <f t="shared" si="137"/>
        <v>0</v>
      </c>
      <c r="AD361" s="140">
        <f t="shared" si="138"/>
        <v>-0.34285714285714286</v>
      </c>
      <c r="AE361" s="140">
        <f t="shared" si="139"/>
        <v>0</v>
      </c>
      <c r="AF361" s="140">
        <f t="shared" si="140"/>
        <v>0</v>
      </c>
      <c r="AG361" s="140">
        <f t="shared" si="141"/>
        <v>0</v>
      </c>
      <c r="AH361" s="140">
        <f t="shared" si="142"/>
        <v>0</v>
      </c>
      <c r="AI361" s="140">
        <f t="shared" si="143"/>
        <v>-0.34285714285714286</v>
      </c>
      <c r="AJ361" s="140">
        <f t="shared" si="144"/>
        <v>-0.34285714285714286</v>
      </c>
      <c r="AK361" s="140">
        <f t="shared" si="145"/>
        <v>-0.34285714285714286</v>
      </c>
      <c r="AL361" s="140">
        <f t="shared" si="146"/>
        <v>-0.34285714285714286</v>
      </c>
      <c r="AM361" t="str">
        <f t="shared" si="147"/>
        <v>4330-000: MGMT services Services</v>
      </c>
      <c r="AN361" s="140">
        <f t="shared" si="148"/>
        <v>-0.11428571428571428</v>
      </c>
      <c r="AO361" s="140">
        <f t="shared" si="149"/>
        <v>0.11428571428571428</v>
      </c>
      <c r="AP361" s="1">
        <f>IF(AND(AO361&gt;0, _xlfn.XLOOKUP($AM361, Discretionaries!$A$2:'Discretionaries'!$A$150, Discretionaries!$B$2:'Discretionaries'!$B$150)), (1+AN361)*$N361, "")</f>
        <v>2037.1428571428571</v>
      </c>
      <c r="AQ361" s="1">
        <f>IF(AND(AO361&gt;0, _xlfn.XLOOKUP($AM361, Discretionaries!$A$2:'Discretionaries'!$A$150, Discretionaries!$B$2:'Discretionaries'!$B$150)),AP361-$Q361,"")</f>
        <v>-262.85714285714289</v>
      </c>
      <c r="AR361" s="140">
        <f>IF(AG361="", 0-CPI!$B$15, AG361-CPI!$B$15)</f>
        <v>-3.8999999999999993E-2</v>
      </c>
      <c r="AS361" s="1" t="str">
        <f>IF(AND(AR361&gt;0, _xlfn.XLOOKUP($AM361, Discretionaries!$A$2:'Discretionaries'!$A$150, Discretionaries!$B$2:'Discretionaries'!$B$150)), (1+CPI!$B$15)*$N361, "")</f>
        <v/>
      </c>
      <c r="AT361" s="1" t="str">
        <f>IF(AND(AR361&gt;0, _xlfn.XLOOKUP($AM361, Discretionaries!$A$2:'Discretionaries'!$A$150, Discretionaries!$B$2:'Discretionaries'!$B$150)),AS361-$Q361,"")</f>
        <v/>
      </c>
    </row>
    <row r="362" spans="1:46" x14ac:dyDescent="0.3">
      <c r="A362" t="s">
        <v>436</v>
      </c>
      <c r="B362" t="str">
        <f t="shared" si="125"/>
        <v>24</v>
      </c>
      <c r="C362" t="s">
        <v>408</v>
      </c>
      <c r="D362" t="str">
        <f t="shared" si="126"/>
        <v>00</v>
      </c>
      <c r="E362" t="s">
        <v>21</v>
      </c>
      <c r="F362" s="139" t="s">
        <v>144</v>
      </c>
      <c r="G362" t="s">
        <v>145</v>
      </c>
      <c r="H362" s="156">
        <v>1500</v>
      </c>
      <c r="I362" s="156">
        <v>1816.24</v>
      </c>
      <c r="J362" s="156">
        <v>1500</v>
      </c>
      <c r="K362" s="156">
        <v>1095.8499999999999</v>
      </c>
      <c r="L362" s="156">
        <v>1700</v>
      </c>
      <c r="M362" s="156">
        <v>888.53</v>
      </c>
      <c r="N362" s="156">
        <v>1575</v>
      </c>
      <c r="O362" s="156">
        <v>1900</v>
      </c>
      <c r="P362" s="156">
        <v>1900</v>
      </c>
      <c r="Q362" s="156">
        <v>1900</v>
      </c>
      <c r="R362" s="156">
        <v>1575</v>
      </c>
      <c r="S362" s="156">
        <f t="shared" si="127"/>
        <v>325</v>
      </c>
      <c r="T362" s="156">
        <f t="shared" si="128"/>
        <v>325</v>
      </c>
      <c r="U362" s="140">
        <f t="shared" si="129"/>
        <v>0.20634920634920634</v>
      </c>
      <c r="V362" s="140">
        <f t="shared" si="130"/>
        <v>0.21082666666666666</v>
      </c>
      <c r="W362" s="140">
        <f t="shared" si="131"/>
        <v>-0.26943333333333341</v>
      </c>
      <c r="X362" s="140">
        <f t="shared" si="132"/>
        <v>-0.47733529411764708</v>
      </c>
      <c r="Y362" s="140">
        <f t="shared" si="133"/>
        <v>0</v>
      </c>
      <c r="Z362" s="140">
        <f t="shared" si="134"/>
        <v>-0.39663810950094708</v>
      </c>
      <c r="AA362" s="140">
        <f t="shared" si="135"/>
        <v>0.13333333333333333</v>
      </c>
      <c r="AB362" s="140">
        <f t="shared" si="136"/>
        <v>-0.18918647625131171</v>
      </c>
      <c r="AC362" s="140">
        <f t="shared" si="137"/>
        <v>-7.3529411764705885E-2</v>
      </c>
      <c r="AD362" s="140">
        <f t="shared" si="138"/>
        <v>0.05</v>
      </c>
      <c r="AE362" s="140">
        <f t="shared" si="139"/>
        <v>0.20634920634920634</v>
      </c>
      <c r="AF362" s="140">
        <f t="shared" si="140"/>
        <v>0.20634920634920634</v>
      </c>
      <c r="AG362" s="140">
        <f t="shared" si="141"/>
        <v>0.20634920634920634</v>
      </c>
      <c r="AH362" s="140">
        <f t="shared" si="142"/>
        <v>0</v>
      </c>
      <c r="AI362" s="140">
        <f t="shared" si="143"/>
        <v>0.26666666666666666</v>
      </c>
      <c r="AJ362" s="140">
        <f t="shared" si="144"/>
        <v>0.26666666666666666</v>
      </c>
      <c r="AK362" s="140">
        <f t="shared" si="145"/>
        <v>0.26666666666666666</v>
      </c>
      <c r="AL362" s="140">
        <f t="shared" si="146"/>
        <v>0.05</v>
      </c>
      <c r="AM362" t="str">
        <f t="shared" si="147"/>
        <v>4341-000: Telephone Services</v>
      </c>
      <c r="AN362" s="140">
        <f t="shared" si="148"/>
        <v>1.9934640522875816E-2</v>
      </c>
      <c r="AO362" s="140">
        <f t="shared" si="149"/>
        <v>0.18641456582633054</v>
      </c>
      <c r="AP362" s="1">
        <f>IF(AND(AO362&gt;0, _xlfn.XLOOKUP($AM362, Discretionaries!$A$2:'Discretionaries'!$A$150, Discretionaries!$B$2:'Discretionaries'!$B$150)), (1+AN362)*$N362, "")</f>
        <v>1606.3970588235293</v>
      </c>
      <c r="AQ362" s="1">
        <f>IF(AND(AO362&gt;0, _xlfn.XLOOKUP($AM362, Discretionaries!$A$2:'Discretionaries'!$A$150, Discretionaries!$B$2:'Discretionaries'!$B$150)),AP362-$Q362,"")</f>
        <v>-293.60294117647072</v>
      </c>
      <c r="AR362" s="140">
        <f>IF(AG362="", 0-CPI!$B$15, AG362-CPI!$B$15)</f>
        <v>0.16734920634920636</v>
      </c>
      <c r="AS362" s="1">
        <f>IF(AND(AR362&gt;0, _xlfn.XLOOKUP($AM362, Discretionaries!$A$2:'Discretionaries'!$A$150, Discretionaries!$B$2:'Discretionaries'!$B$150)), (1+CPI!$B$15)*$N362, "")</f>
        <v>1636.425</v>
      </c>
      <c r="AT362" s="1">
        <f>IF(AND(AR362&gt;0, _xlfn.XLOOKUP($AM362, Discretionaries!$A$2:'Discretionaries'!$A$150, Discretionaries!$B$2:'Discretionaries'!$B$150)),AS362-$Q362,"")</f>
        <v>-263.57500000000005</v>
      </c>
    </row>
    <row r="363" spans="1:46" x14ac:dyDescent="0.3">
      <c r="A363" t="s">
        <v>436</v>
      </c>
      <c r="B363" t="str">
        <f t="shared" si="125"/>
        <v>24</v>
      </c>
      <c r="C363" t="s">
        <v>408</v>
      </c>
      <c r="D363" t="str">
        <f t="shared" si="126"/>
        <v>00</v>
      </c>
      <c r="E363" t="s">
        <v>21</v>
      </c>
      <c r="F363" s="139" t="s">
        <v>299</v>
      </c>
      <c r="G363" t="s">
        <v>300</v>
      </c>
      <c r="H363" s="156">
        <v>37000</v>
      </c>
      <c r="I363" s="156">
        <v>37000</v>
      </c>
      <c r="J363" s="156">
        <v>38510</v>
      </c>
      <c r="K363" s="156">
        <v>38510</v>
      </c>
      <c r="L363" s="156">
        <v>38510</v>
      </c>
      <c r="M363" s="156">
        <v>41099.4</v>
      </c>
      <c r="N363" s="156">
        <v>38510</v>
      </c>
      <c r="O363" s="156">
        <v>45975</v>
      </c>
      <c r="P363" s="156">
        <v>45975</v>
      </c>
      <c r="Q363" s="156">
        <v>45975</v>
      </c>
      <c r="R363" s="156">
        <v>45975</v>
      </c>
      <c r="S363" s="156">
        <f t="shared" si="127"/>
        <v>7465</v>
      </c>
      <c r="T363" s="156">
        <f t="shared" si="128"/>
        <v>0</v>
      </c>
      <c r="U363" s="140">
        <f t="shared" si="129"/>
        <v>0.19384575434951962</v>
      </c>
      <c r="V363" s="140">
        <f t="shared" si="130"/>
        <v>0</v>
      </c>
      <c r="W363" s="140">
        <f t="shared" si="131"/>
        <v>0</v>
      </c>
      <c r="X363" s="140">
        <f t="shared" si="132"/>
        <v>6.7239678005712844E-2</v>
      </c>
      <c r="Y363" s="140">
        <f t="shared" si="133"/>
        <v>4.081081081081081E-2</v>
      </c>
      <c r="Z363" s="140">
        <f t="shared" si="134"/>
        <v>4.081081081081081E-2</v>
      </c>
      <c r="AA363" s="140">
        <f t="shared" si="135"/>
        <v>0</v>
      </c>
      <c r="AB363" s="140">
        <f t="shared" si="136"/>
        <v>6.7239678005712844E-2</v>
      </c>
      <c r="AC363" s="140">
        <f t="shared" si="137"/>
        <v>0</v>
      </c>
      <c r="AD363" s="140">
        <f t="shared" si="138"/>
        <v>4.081081081081081E-2</v>
      </c>
      <c r="AE363" s="140">
        <f t="shared" si="139"/>
        <v>0.19384575434951962</v>
      </c>
      <c r="AF363" s="140">
        <f t="shared" si="140"/>
        <v>0.19384575434951962</v>
      </c>
      <c r="AG363" s="140">
        <f t="shared" si="141"/>
        <v>0.19384575434951962</v>
      </c>
      <c r="AH363" s="140">
        <f t="shared" si="142"/>
        <v>0.19384575434951962</v>
      </c>
      <c r="AI363" s="140">
        <f t="shared" si="143"/>
        <v>0.24256756756756756</v>
      </c>
      <c r="AJ363" s="140">
        <f t="shared" si="144"/>
        <v>0.24256756756756756</v>
      </c>
      <c r="AK363" s="140">
        <f t="shared" si="145"/>
        <v>0.24256756756756756</v>
      </c>
      <c r="AL363" s="140">
        <f t="shared" si="146"/>
        <v>0.24256756756756756</v>
      </c>
      <c r="AM363" t="str">
        <f t="shared" si="147"/>
        <v>4580-000: Mosquito Control</v>
      </c>
      <c r="AN363" s="140">
        <f t="shared" si="148"/>
        <v>1.3603603603603603E-2</v>
      </c>
      <c r="AO363" s="140">
        <f t="shared" si="149"/>
        <v>0.18024215074591601</v>
      </c>
      <c r="AP363" s="1">
        <f>IF(AND(AO363&gt;0, _xlfn.XLOOKUP($AM363, Discretionaries!$A$2:'Discretionaries'!$A$150, Discretionaries!$B$2:'Discretionaries'!$B$150)), (1+AN363)*$N363, "")</f>
        <v>39033.874774774777</v>
      </c>
      <c r="AQ363" s="1">
        <f>IF(AND(AO363&gt;0, _xlfn.XLOOKUP($AM363, Discretionaries!$A$2:'Discretionaries'!$A$150, Discretionaries!$B$2:'Discretionaries'!$B$150)),AP363-$Q363,"")</f>
        <v>-6941.1252252252234</v>
      </c>
      <c r="AR363" s="140">
        <f>IF(AG363="", 0-CPI!$B$15, AG363-CPI!$B$15)</f>
        <v>0.15484575434951964</v>
      </c>
      <c r="AS363" s="1">
        <f>IF(AND(AR363&gt;0, _xlfn.XLOOKUP($AM363, Discretionaries!$A$2:'Discretionaries'!$A$150, Discretionaries!$B$2:'Discretionaries'!$B$150)), (1+CPI!$B$15)*$N363, "")</f>
        <v>40011.89</v>
      </c>
      <c r="AT363" s="1">
        <f>IF(AND(AR363&gt;0, _xlfn.XLOOKUP($AM363, Discretionaries!$A$2:'Discretionaries'!$A$150, Discretionaries!$B$2:'Discretionaries'!$B$150)),AS363-$Q363,"")</f>
        <v>-5963.1100000000006</v>
      </c>
    </row>
    <row r="364" spans="1:46" x14ac:dyDescent="0.3">
      <c r="A364" t="s">
        <v>436</v>
      </c>
      <c r="B364" t="str">
        <f t="shared" si="125"/>
        <v>24</v>
      </c>
      <c r="C364" t="s">
        <v>408</v>
      </c>
      <c r="D364" t="str">
        <f t="shared" si="126"/>
        <v>00</v>
      </c>
      <c r="E364" t="s">
        <v>45</v>
      </c>
      <c r="F364" s="139" t="s">
        <v>22</v>
      </c>
      <c r="G364" t="s">
        <v>23</v>
      </c>
      <c r="H364" s="156">
        <v>700</v>
      </c>
      <c r="I364" s="156">
        <v>149.44999999999999</v>
      </c>
      <c r="J364" s="156">
        <v>700</v>
      </c>
      <c r="K364" s="156">
        <v>297.29000000000002</v>
      </c>
      <c r="L364" s="156">
        <v>700</v>
      </c>
      <c r="M364" s="156">
        <v>592.47</v>
      </c>
      <c r="N364" s="156">
        <v>700</v>
      </c>
      <c r="O364" s="156">
        <v>700</v>
      </c>
      <c r="P364" s="156">
        <v>700</v>
      </c>
      <c r="Q364" s="156">
        <v>700</v>
      </c>
      <c r="R364" s="156">
        <v>700</v>
      </c>
      <c r="S364" s="156">
        <f t="shared" si="127"/>
        <v>0</v>
      </c>
      <c r="T364" s="156">
        <f t="shared" si="128"/>
        <v>0</v>
      </c>
      <c r="U364" s="140">
        <f t="shared" si="129"/>
        <v>0</v>
      </c>
      <c r="V364" s="140">
        <f t="shared" si="130"/>
        <v>-0.78649999999999998</v>
      </c>
      <c r="W364" s="140">
        <f t="shared" si="131"/>
        <v>-0.57529999999999992</v>
      </c>
      <c r="X364" s="140">
        <f t="shared" si="132"/>
        <v>-0.15361428571428568</v>
      </c>
      <c r="Y364" s="140">
        <f t="shared" si="133"/>
        <v>0</v>
      </c>
      <c r="Z364" s="140">
        <f t="shared" si="134"/>
        <v>0.98922716627634688</v>
      </c>
      <c r="AA364" s="140">
        <f t="shared" si="135"/>
        <v>0</v>
      </c>
      <c r="AB364" s="140">
        <f t="shared" si="136"/>
        <v>0.99290255306266606</v>
      </c>
      <c r="AC364" s="140">
        <f t="shared" si="137"/>
        <v>0</v>
      </c>
      <c r="AD364" s="140">
        <f t="shared" si="138"/>
        <v>0</v>
      </c>
      <c r="AE364" s="140">
        <f t="shared" si="139"/>
        <v>0</v>
      </c>
      <c r="AF364" s="140">
        <f t="shared" si="140"/>
        <v>0</v>
      </c>
      <c r="AG364" s="140">
        <f t="shared" si="141"/>
        <v>0</v>
      </c>
      <c r="AH364" s="140">
        <f t="shared" si="142"/>
        <v>0</v>
      </c>
      <c r="AI364" s="140">
        <f t="shared" si="143"/>
        <v>0</v>
      </c>
      <c r="AJ364" s="140">
        <f t="shared" si="144"/>
        <v>0</v>
      </c>
      <c r="AK364" s="140">
        <f t="shared" si="145"/>
        <v>0</v>
      </c>
      <c r="AL364" s="140">
        <f t="shared" si="146"/>
        <v>0</v>
      </c>
      <c r="AM364" t="str">
        <f t="shared" si="147"/>
        <v>4550-000: Printing Services</v>
      </c>
      <c r="AN364" s="140">
        <f t="shared" si="148"/>
        <v>0</v>
      </c>
      <c r="AO364" s="140">
        <f t="shared" si="149"/>
        <v>0</v>
      </c>
      <c r="AP364" s="1" t="str">
        <f>IF(AND(AO364&gt;0, _xlfn.XLOOKUP($AM364, Discretionaries!$A$2:'Discretionaries'!$A$150, Discretionaries!$B$2:'Discretionaries'!$B$150)), (1+AN364)*$N364, "")</f>
        <v/>
      </c>
      <c r="AQ364" s="1" t="str">
        <f>IF(AND(AO364&gt;0, _xlfn.XLOOKUP($AM364, Discretionaries!$A$2:'Discretionaries'!$A$150, Discretionaries!$B$2:'Discretionaries'!$B$150)),AP364-$Q364,"")</f>
        <v/>
      </c>
      <c r="AR364" s="140">
        <f>IF(AG364="", 0-CPI!$B$15, AG364-CPI!$B$15)</f>
        <v>-3.8999999999999993E-2</v>
      </c>
      <c r="AS364" s="1" t="str">
        <f>IF(AND(AR364&gt;0, _xlfn.XLOOKUP($AM364, Discretionaries!$A$2:'Discretionaries'!$A$150, Discretionaries!$B$2:'Discretionaries'!$B$150)), (1+CPI!$B$15)*$N364, "")</f>
        <v/>
      </c>
      <c r="AT364" s="1" t="str">
        <f>IF(AND(AR364&gt;0, _xlfn.XLOOKUP($AM364, Discretionaries!$A$2:'Discretionaries'!$A$150, Discretionaries!$B$2:'Discretionaries'!$B$150)),AS364-$Q364,"")</f>
        <v/>
      </c>
    </row>
    <row r="365" spans="1:46" x14ac:dyDescent="0.3">
      <c r="A365" t="s">
        <v>436</v>
      </c>
      <c r="B365" t="str">
        <f t="shared" si="125"/>
        <v>24</v>
      </c>
      <c r="C365" t="s">
        <v>408</v>
      </c>
      <c r="D365" t="str">
        <f t="shared" si="126"/>
        <v>00</v>
      </c>
      <c r="E365" t="s">
        <v>45</v>
      </c>
      <c r="F365" s="139" t="s">
        <v>46</v>
      </c>
      <c r="G365" t="s">
        <v>47</v>
      </c>
      <c r="H365" s="156">
        <v>1395</v>
      </c>
      <c r="I365" s="156">
        <v>571</v>
      </c>
      <c r="J365" s="156">
        <v>1395</v>
      </c>
      <c r="K365" s="156">
        <v>473.97</v>
      </c>
      <c r="L365" s="156">
        <v>1395</v>
      </c>
      <c r="M365" s="156">
        <v>490</v>
      </c>
      <c r="N365" s="156">
        <v>1255</v>
      </c>
      <c r="O365" s="156">
        <v>750</v>
      </c>
      <c r="P365" s="156">
        <v>750</v>
      </c>
      <c r="Q365" s="156">
        <v>750</v>
      </c>
      <c r="R365" s="156">
        <v>1255</v>
      </c>
      <c r="S365" s="156">
        <f t="shared" si="127"/>
        <v>-505</v>
      </c>
      <c r="T365" s="156">
        <f t="shared" si="128"/>
        <v>-505</v>
      </c>
      <c r="U365" s="140">
        <f t="shared" si="129"/>
        <v>-0.40239043824701193</v>
      </c>
      <c r="V365" s="140">
        <f t="shared" si="130"/>
        <v>-0.59068100358422937</v>
      </c>
      <c r="W365" s="140">
        <f t="shared" si="131"/>
        <v>-0.66023655913978496</v>
      </c>
      <c r="X365" s="140">
        <f t="shared" si="132"/>
        <v>-0.64874551971326166</v>
      </c>
      <c r="Y365" s="140">
        <f t="shared" si="133"/>
        <v>0</v>
      </c>
      <c r="Z365" s="140">
        <f t="shared" si="134"/>
        <v>-0.16992994746059539</v>
      </c>
      <c r="AA365" s="140">
        <f t="shared" si="135"/>
        <v>0</v>
      </c>
      <c r="AB365" s="140">
        <f t="shared" si="136"/>
        <v>3.3820705951853436E-2</v>
      </c>
      <c r="AC365" s="140">
        <f t="shared" si="137"/>
        <v>-0.1003584229390681</v>
      </c>
      <c r="AD365" s="140">
        <f t="shared" si="138"/>
        <v>-0.1003584229390681</v>
      </c>
      <c r="AE365" s="140">
        <f t="shared" si="139"/>
        <v>-0.40239043824701193</v>
      </c>
      <c r="AF365" s="140">
        <f t="shared" si="140"/>
        <v>-0.40239043824701193</v>
      </c>
      <c r="AG365" s="140">
        <f t="shared" si="141"/>
        <v>-0.40239043824701193</v>
      </c>
      <c r="AH365" s="140">
        <f t="shared" si="142"/>
        <v>0</v>
      </c>
      <c r="AI365" s="140">
        <f t="shared" si="143"/>
        <v>-0.46236559139784944</v>
      </c>
      <c r="AJ365" s="140">
        <f t="shared" si="144"/>
        <v>-0.46236559139784944</v>
      </c>
      <c r="AK365" s="140">
        <f t="shared" si="145"/>
        <v>-0.46236559139784944</v>
      </c>
      <c r="AL365" s="140">
        <f t="shared" si="146"/>
        <v>-0.1003584229390681</v>
      </c>
      <c r="AM365" t="str">
        <f t="shared" si="147"/>
        <v>4560-000: Dues &amp; subs Services</v>
      </c>
      <c r="AN365" s="140">
        <f t="shared" si="148"/>
        <v>-3.3452807646356032E-2</v>
      </c>
      <c r="AO365" s="140">
        <f t="shared" si="149"/>
        <v>-0.36893763060065587</v>
      </c>
      <c r="AP365" s="1" t="str">
        <f>IF(AND(AO365&gt;0, _xlfn.XLOOKUP($AM365, Discretionaries!$A$2:'Discretionaries'!$A$150, Discretionaries!$B$2:'Discretionaries'!$B$150)), (1+AN365)*$N365, "")</f>
        <v/>
      </c>
      <c r="AQ365" s="1" t="str">
        <f>IF(AND(AO365&gt;0, _xlfn.XLOOKUP($AM365, Discretionaries!$A$2:'Discretionaries'!$A$150, Discretionaries!$B$2:'Discretionaries'!$B$150)),AP365-$Q365,"")</f>
        <v/>
      </c>
      <c r="AR365" s="140">
        <f>IF(AG365="", 0-CPI!$B$15, AG365-CPI!$B$15)</f>
        <v>-0.44139043824701191</v>
      </c>
      <c r="AS365" s="1" t="str">
        <f>IF(AND(AR365&gt;0, _xlfn.XLOOKUP($AM365, Discretionaries!$A$2:'Discretionaries'!$A$150, Discretionaries!$B$2:'Discretionaries'!$B$150)), (1+CPI!$B$15)*$N365, "")</f>
        <v/>
      </c>
      <c r="AT365" s="1" t="str">
        <f>IF(AND(AR365&gt;0, _xlfn.XLOOKUP($AM365, Discretionaries!$A$2:'Discretionaries'!$A$150, Discretionaries!$B$2:'Discretionaries'!$B$150)),AS365-$Q365,"")</f>
        <v/>
      </c>
    </row>
    <row r="366" spans="1:46" x14ac:dyDescent="0.3">
      <c r="A366" t="s">
        <v>436</v>
      </c>
      <c r="B366" t="str">
        <f t="shared" si="125"/>
        <v>24</v>
      </c>
      <c r="C366" t="s">
        <v>408</v>
      </c>
      <c r="D366" t="str">
        <f t="shared" si="126"/>
        <v>00</v>
      </c>
      <c r="E366" t="s">
        <v>45</v>
      </c>
      <c r="F366" s="139" t="s">
        <v>24</v>
      </c>
      <c r="G366" t="s">
        <v>25</v>
      </c>
      <c r="H366" s="156">
        <v>3400</v>
      </c>
      <c r="I366" s="156">
        <v>620</v>
      </c>
      <c r="J366" s="156">
        <v>3400</v>
      </c>
      <c r="K366" s="156">
        <v>1500</v>
      </c>
      <c r="L366" s="156">
        <v>3400</v>
      </c>
      <c r="M366" s="156">
        <v>2865.64</v>
      </c>
      <c r="N366" s="156">
        <v>2400</v>
      </c>
      <c r="O366" s="156">
        <v>2400</v>
      </c>
      <c r="P366" s="156">
        <v>2400</v>
      </c>
      <c r="Q366" s="156">
        <v>2400</v>
      </c>
      <c r="R366" s="156">
        <v>2400</v>
      </c>
      <c r="S366" s="156">
        <f t="shared" si="127"/>
        <v>0</v>
      </c>
      <c r="T366" s="156">
        <f t="shared" si="128"/>
        <v>0</v>
      </c>
      <c r="U366" s="140">
        <f t="shared" si="129"/>
        <v>0</v>
      </c>
      <c r="V366" s="140">
        <f t="shared" si="130"/>
        <v>-0.81764705882352939</v>
      </c>
      <c r="W366" s="140">
        <f t="shared" si="131"/>
        <v>-0.55882352941176472</v>
      </c>
      <c r="X366" s="140">
        <f t="shared" si="132"/>
        <v>-0.15716470588235298</v>
      </c>
      <c r="Y366" s="140">
        <f t="shared" si="133"/>
        <v>0</v>
      </c>
      <c r="Z366" s="140">
        <f t="shared" si="134"/>
        <v>1.4193548387096775</v>
      </c>
      <c r="AA366" s="140">
        <f t="shared" si="135"/>
        <v>0</v>
      </c>
      <c r="AB366" s="140">
        <f t="shared" si="136"/>
        <v>0.91042666666666661</v>
      </c>
      <c r="AC366" s="140">
        <f t="shared" si="137"/>
        <v>-0.29411764705882354</v>
      </c>
      <c r="AD366" s="140">
        <f t="shared" si="138"/>
        <v>-0.29411764705882354</v>
      </c>
      <c r="AE366" s="140">
        <f t="shared" si="139"/>
        <v>0</v>
      </c>
      <c r="AF366" s="140">
        <f t="shared" si="140"/>
        <v>0</v>
      </c>
      <c r="AG366" s="140">
        <f t="shared" si="141"/>
        <v>0</v>
      </c>
      <c r="AH366" s="140">
        <f t="shared" si="142"/>
        <v>0</v>
      </c>
      <c r="AI366" s="140">
        <f t="shared" si="143"/>
        <v>-0.29411764705882354</v>
      </c>
      <c r="AJ366" s="140">
        <f t="shared" si="144"/>
        <v>-0.29411764705882354</v>
      </c>
      <c r="AK366" s="140">
        <f t="shared" si="145"/>
        <v>-0.29411764705882354</v>
      </c>
      <c r="AL366" s="140">
        <f t="shared" si="146"/>
        <v>-0.29411764705882354</v>
      </c>
      <c r="AM366" t="str">
        <f t="shared" si="147"/>
        <v>4570-000: Sem &amp; workshops Services</v>
      </c>
      <c r="AN366" s="140">
        <f t="shared" si="148"/>
        <v>-9.8039215686274508E-2</v>
      </c>
      <c r="AO366" s="140">
        <f t="shared" si="149"/>
        <v>9.8039215686274508E-2</v>
      </c>
      <c r="AP366" s="1">
        <f>IF(AND(AO366&gt;0, _xlfn.XLOOKUP($AM366, Discretionaries!$A$2:'Discretionaries'!$A$150, Discretionaries!$B$2:'Discretionaries'!$B$150)), (1+AN366)*$N366, "")</f>
        <v>2164.705882352941</v>
      </c>
      <c r="AQ366" s="1">
        <f>IF(AND(AO366&gt;0, _xlfn.XLOOKUP($AM366, Discretionaries!$A$2:'Discretionaries'!$A$150, Discretionaries!$B$2:'Discretionaries'!$B$150)),AP366-$Q366,"")</f>
        <v>-235.29411764705901</v>
      </c>
      <c r="AR366" s="140">
        <f>IF(AG366="", 0-CPI!$B$15, AG366-CPI!$B$15)</f>
        <v>-3.8999999999999993E-2</v>
      </c>
      <c r="AS366" s="1" t="str">
        <f>IF(AND(AR366&gt;0, _xlfn.XLOOKUP($AM366, Discretionaries!$A$2:'Discretionaries'!$A$150, Discretionaries!$B$2:'Discretionaries'!$B$150)), (1+CPI!$B$15)*$N366, "")</f>
        <v/>
      </c>
      <c r="AT366" s="1" t="str">
        <f>IF(AND(AR366&gt;0, _xlfn.XLOOKUP($AM366, Discretionaries!$A$2:'Discretionaries'!$A$150, Discretionaries!$B$2:'Discretionaries'!$B$150)),AS366-$Q366,"")</f>
        <v/>
      </c>
    </row>
    <row r="367" spans="1:46" x14ac:dyDescent="0.3">
      <c r="A367" t="s">
        <v>436</v>
      </c>
      <c r="B367" t="str">
        <f t="shared" si="125"/>
        <v>24</v>
      </c>
      <c r="C367" t="s">
        <v>408</v>
      </c>
      <c r="D367" t="str">
        <f t="shared" si="126"/>
        <v>00</v>
      </c>
      <c r="E367" t="s">
        <v>45</v>
      </c>
      <c r="F367" s="139" t="s">
        <v>26</v>
      </c>
      <c r="G367" t="s">
        <v>27</v>
      </c>
      <c r="H367" s="156">
        <v>250</v>
      </c>
      <c r="I367" s="156">
        <v>0</v>
      </c>
      <c r="J367" s="156">
        <v>250</v>
      </c>
      <c r="K367" s="156">
        <v>0</v>
      </c>
      <c r="L367" s="156">
        <v>250</v>
      </c>
      <c r="M367" s="156">
        <v>0</v>
      </c>
      <c r="N367" s="156">
        <v>175</v>
      </c>
      <c r="O367" s="156">
        <v>125</v>
      </c>
      <c r="P367" s="156">
        <v>125</v>
      </c>
      <c r="Q367" s="156">
        <v>125</v>
      </c>
      <c r="R367" s="156">
        <v>175</v>
      </c>
      <c r="S367" s="156">
        <f t="shared" si="127"/>
        <v>-50</v>
      </c>
      <c r="T367" s="156">
        <f t="shared" si="128"/>
        <v>-50</v>
      </c>
      <c r="U367" s="140">
        <f t="shared" si="129"/>
        <v>-0.2857142857142857</v>
      </c>
      <c r="V367" s="140">
        <f t="shared" si="130"/>
        <v>-1</v>
      </c>
      <c r="W367" s="140">
        <f t="shared" si="131"/>
        <v>-1</v>
      </c>
      <c r="X367" s="140">
        <f t="shared" si="132"/>
        <v>-1</v>
      </c>
      <c r="Y367" s="140">
        <f t="shared" si="133"/>
        <v>0</v>
      </c>
      <c r="Z367" s="140" t="str">
        <f t="shared" si="134"/>
        <v/>
      </c>
      <c r="AA367" s="140">
        <f t="shared" si="135"/>
        <v>0</v>
      </c>
      <c r="AB367" s="140" t="str">
        <f t="shared" si="136"/>
        <v/>
      </c>
      <c r="AC367" s="140">
        <f t="shared" si="137"/>
        <v>-0.3</v>
      </c>
      <c r="AD367" s="140">
        <f t="shared" si="138"/>
        <v>-0.3</v>
      </c>
      <c r="AE367" s="140">
        <f t="shared" si="139"/>
        <v>-0.2857142857142857</v>
      </c>
      <c r="AF367" s="140">
        <f t="shared" si="140"/>
        <v>-0.2857142857142857</v>
      </c>
      <c r="AG367" s="140">
        <f t="shared" si="141"/>
        <v>-0.2857142857142857</v>
      </c>
      <c r="AH367" s="140">
        <f t="shared" si="142"/>
        <v>0</v>
      </c>
      <c r="AI367" s="140">
        <f t="shared" si="143"/>
        <v>-0.5</v>
      </c>
      <c r="AJ367" s="140">
        <f t="shared" si="144"/>
        <v>-0.5</v>
      </c>
      <c r="AK367" s="140">
        <f t="shared" si="145"/>
        <v>-0.5</v>
      </c>
      <c r="AL367" s="140">
        <f t="shared" si="146"/>
        <v>-0.3</v>
      </c>
      <c r="AM367" t="str">
        <f t="shared" si="147"/>
        <v>4575-000: Travel &amp; mileage Services</v>
      </c>
      <c r="AN367" s="140">
        <f t="shared" si="148"/>
        <v>-9.9999999999999992E-2</v>
      </c>
      <c r="AO367" s="140">
        <f t="shared" si="149"/>
        <v>-0.18571428571428572</v>
      </c>
      <c r="AP367" s="1" t="str">
        <f>IF(AND(AO367&gt;0, _xlfn.XLOOKUP($AM367, Discretionaries!$A$2:'Discretionaries'!$A$150, Discretionaries!$B$2:'Discretionaries'!$B$150)), (1+AN367)*$N367, "")</f>
        <v/>
      </c>
      <c r="AQ367" s="1" t="str">
        <f>IF(AND(AO367&gt;0, _xlfn.XLOOKUP($AM367, Discretionaries!$A$2:'Discretionaries'!$A$150, Discretionaries!$B$2:'Discretionaries'!$B$150)),AP367-$Q367,"")</f>
        <v/>
      </c>
      <c r="AR367" s="140">
        <f>IF(AG367="", 0-CPI!$B$15, AG367-CPI!$B$15)</f>
        <v>-0.32471428571428568</v>
      </c>
      <c r="AS367" s="1" t="str">
        <f>IF(AND(AR367&gt;0, _xlfn.XLOOKUP($AM367, Discretionaries!$A$2:'Discretionaries'!$A$150, Discretionaries!$B$2:'Discretionaries'!$B$150)), (1+CPI!$B$15)*$N367, "")</f>
        <v/>
      </c>
      <c r="AT367" s="1" t="str">
        <f>IF(AND(AR367&gt;0, _xlfn.XLOOKUP($AM367, Discretionaries!$A$2:'Discretionaries'!$A$150, Discretionaries!$B$2:'Discretionaries'!$B$150)),AS367-$Q367,"")</f>
        <v/>
      </c>
    </row>
    <row r="368" spans="1:46" x14ac:dyDescent="0.3">
      <c r="A368" t="s">
        <v>436</v>
      </c>
      <c r="B368" t="str">
        <f t="shared" si="125"/>
        <v>24</v>
      </c>
      <c r="C368" t="s">
        <v>408</v>
      </c>
      <c r="D368" t="str">
        <f t="shared" si="126"/>
        <v>00</v>
      </c>
      <c r="E368" t="s">
        <v>30</v>
      </c>
      <c r="F368" s="139" t="s">
        <v>51</v>
      </c>
      <c r="G368" t="s">
        <v>48</v>
      </c>
      <c r="H368" s="156">
        <v>450</v>
      </c>
      <c r="I368" s="156">
        <v>1116.08</v>
      </c>
      <c r="J368" s="156">
        <v>450</v>
      </c>
      <c r="K368" s="156">
        <v>428.37</v>
      </c>
      <c r="L368" s="156">
        <v>450</v>
      </c>
      <c r="M368" s="156">
        <v>1354.31</v>
      </c>
      <c r="N368" s="156">
        <v>450</v>
      </c>
      <c r="O368" s="156">
        <v>450</v>
      </c>
      <c r="P368" s="156">
        <v>450</v>
      </c>
      <c r="Q368" s="156">
        <v>450</v>
      </c>
      <c r="R368" s="156">
        <v>450</v>
      </c>
      <c r="S368" s="156">
        <f t="shared" si="127"/>
        <v>0</v>
      </c>
      <c r="T368" s="156">
        <f t="shared" si="128"/>
        <v>0</v>
      </c>
      <c r="U368" s="140">
        <f t="shared" si="129"/>
        <v>0</v>
      </c>
      <c r="V368" s="140">
        <f t="shared" si="130"/>
        <v>1.4801777777777776</v>
      </c>
      <c r="W368" s="140">
        <f t="shared" si="131"/>
        <v>-4.8066666666666653E-2</v>
      </c>
      <c r="X368" s="140">
        <f t="shared" si="132"/>
        <v>2.0095777777777775</v>
      </c>
      <c r="Y368" s="140">
        <f t="shared" si="133"/>
        <v>0</v>
      </c>
      <c r="Z368" s="140">
        <f t="shared" si="134"/>
        <v>-0.6161834277112751</v>
      </c>
      <c r="AA368" s="140">
        <f t="shared" si="135"/>
        <v>0</v>
      </c>
      <c r="AB368" s="140">
        <f t="shared" si="136"/>
        <v>2.1615425916847584</v>
      </c>
      <c r="AC368" s="140">
        <f t="shared" si="137"/>
        <v>0</v>
      </c>
      <c r="AD368" s="140">
        <f t="shared" si="138"/>
        <v>0</v>
      </c>
      <c r="AE368" s="140">
        <f t="shared" si="139"/>
        <v>0</v>
      </c>
      <c r="AF368" s="140">
        <f t="shared" si="140"/>
        <v>0</v>
      </c>
      <c r="AG368" s="140">
        <f t="shared" si="141"/>
        <v>0</v>
      </c>
      <c r="AH368" s="140">
        <f t="shared" si="142"/>
        <v>0</v>
      </c>
      <c r="AI368" s="140">
        <f t="shared" si="143"/>
        <v>0</v>
      </c>
      <c r="AJ368" s="140">
        <f t="shared" si="144"/>
        <v>0</v>
      </c>
      <c r="AK368" s="140">
        <f t="shared" si="145"/>
        <v>0</v>
      </c>
      <c r="AL368" s="140">
        <f t="shared" si="146"/>
        <v>0</v>
      </c>
      <c r="AM368" t="str">
        <f t="shared" si="147"/>
        <v>4620-000: Office supplies Supplies</v>
      </c>
      <c r="AN368" s="140">
        <f t="shared" si="148"/>
        <v>0</v>
      </c>
      <c r="AO368" s="140">
        <f t="shared" si="149"/>
        <v>0</v>
      </c>
      <c r="AP368" s="1" t="str">
        <f>IF(AND(AO368&gt;0, _xlfn.XLOOKUP($AM368, Discretionaries!$A$2:'Discretionaries'!$A$150, Discretionaries!$B$2:'Discretionaries'!$B$150)), (1+AN368)*$N368, "")</f>
        <v/>
      </c>
      <c r="AQ368" s="1" t="str">
        <f>IF(AND(AO368&gt;0, _xlfn.XLOOKUP($AM368, Discretionaries!$A$2:'Discretionaries'!$A$150, Discretionaries!$B$2:'Discretionaries'!$B$150)),AP368-$Q368,"")</f>
        <v/>
      </c>
      <c r="AR368" s="140">
        <f>IF(AG368="", 0-CPI!$B$15, AG368-CPI!$B$15)</f>
        <v>-3.8999999999999993E-2</v>
      </c>
      <c r="AS368" s="1" t="str">
        <f>IF(AND(AR368&gt;0, _xlfn.XLOOKUP($AM368, Discretionaries!$A$2:'Discretionaries'!$A$150, Discretionaries!$B$2:'Discretionaries'!$B$150)), (1+CPI!$B$15)*$N368, "")</f>
        <v/>
      </c>
      <c r="AT368" s="1" t="str">
        <f>IF(AND(AR368&gt;0, _xlfn.XLOOKUP($AM368, Discretionaries!$A$2:'Discretionaries'!$A$150, Discretionaries!$B$2:'Discretionaries'!$B$150)),AS368-$Q368,"")</f>
        <v/>
      </c>
    </row>
    <row r="369" spans="1:46" x14ac:dyDescent="0.3">
      <c r="A369" t="s">
        <v>436</v>
      </c>
      <c r="B369" t="str">
        <f t="shared" si="125"/>
        <v>24</v>
      </c>
      <c r="C369" t="s">
        <v>408</v>
      </c>
      <c r="D369" t="str">
        <f t="shared" si="126"/>
        <v>00</v>
      </c>
      <c r="E369" t="s">
        <v>30</v>
      </c>
      <c r="F369" s="139" t="s">
        <v>52</v>
      </c>
      <c r="G369" t="s">
        <v>49</v>
      </c>
      <c r="H369" s="156">
        <v>500</v>
      </c>
      <c r="I369" s="156">
        <v>614.29999999999995</v>
      </c>
      <c r="J369" s="156">
        <v>500</v>
      </c>
      <c r="K369" s="156">
        <v>688.81</v>
      </c>
      <c r="L369" s="156">
        <v>500</v>
      </c>
      <c r="M369" s="156">
        <v>389.22</v>
      </c>
      <c r="N369" s="156">
        <v>500</v>
      </c>
      <c r="O369" s="156">
        <v>500</v>
      </c>
      <c r="P369" s="156">
        <v>500</v>
      </c>
      <c r="Q369" s="156">
        <v>500</v>
      </c>
      <c r="R369" s="156">
        <v>500</v>
      </c>
      <c r="S369" s="156">
        <f t="shared" si="127"/>
        <v>0</v>
      </c>
      <c r="T369" s="156">
        <f t="shared" si="128"/>
        <v>0</v>
      </c>
      <c r="U369" s="140">
        <f t="shared" si="129"/>
        <v>0</v>
      </c>
      <c r="V369" s="140">
        <f t="shared" si="130"/>
        <v>0.22859999999999991</v>
      </c>
      <c r="W369" s="140">
        <f t="shared" si="131"/>
        <v>0.3776199999999999</v>
      </c>
      <c r="X369" s="140">
        <f t="shared" si="132"/>
        <v>-0.22155999999999995</v>
      </c>
      <c r="Y369" s="140">
        <f t="shared" si="133"/>
        <v>0</v>
      </c>
      <c r="Z369" s="140">
        <f t="shared" si="134"/>
        <v>0.1212925280807423</v>
      </c>
      <c r="AA369" s="140">
        <f t="shared" si="135"/>
        <v>0</v>
      </c>
      <c r="AB369" s="140">
        <f t="shared" si="136"/>
        <v>-0.43493851715277065</v>
      </c>
      <c r="AC369" s="140">
        <f t="shared" si="137"/>
        <v>0</v>
      </c>
      <c r="AD369" s="140">
        <f t="shared" si="138"/>
        <v>0</v>
      </c>
      <c r="AE369" s="140">
        <f t="shared" si="139"/>
        <v>0</v>
      </c>
      <c r="AF369" s="140">
        <f t="shared" si="140"/>
        <v>0</v>
      </c>
      <c r="AG369" s="140">
        <f t="shared" si="141"/>
        <v>0</v>
      </c>
      <c r="AH369" s="140">
        <f t="shared" si="142"/>
        <v>0</v>
      </c>
      <c r="AI369" s="140">
        <f t="shared" si="143"/>
        <v>0</v>
      </c>
      <c r="AJ369" s="140">
        <f t="shared" si="144"/>
        <v>0</v>
      </c>
      <c r="AK369" s="140">
        <f t="shared" si="145"/>
        <v>0</v>
      </c>
      <c r="AL369" s="140">
        <f t="shared" si="146"/>
        <v>0</v>
      </c>
      <c r="AM369" t="str">
        <f t="shared" si="147"/>
        <v>4625-000: Postage Supplies</v>
      </c>
      <c r="AN369" s="140">
        <f t="shared" si="148"/>
        <v>0</v>
      </c>
      <c r="AO369" s="140">
        <f t="shared" si="149"/>
        <v>0</v>
      </c>
      <c r="AP369" s="1" t="str">
        <f>IF(AND(AO369&gt;0, _xlfn.XLOOKUP($AM369, Discretionaries!$A$2:'Discretionaries'!$A$150, Discretionaries!$B$2:'Discretionaries'!$B$150)), (1+AN369)*$N369, "")</f>
        <v/>
      </c>
      <c r="AQ369" s="1" t="str">
        <f>IF(AND(AO369&gt;0, _xlfn.XLOOKUP($AM369, Discretionaries!$A$2:'Discretionaries'!$A$150, Discretionaries!$B$2:'Discretionaries'!$B$150)),AP369-$Q369,"")</f>
        <v/>
      </c>
      <c r="AR369" s="140">
        <f>IF(AG369="", 0-CPI!$B$15, AG369-CPI!$B$15)</f>
        <v>-3.8999999999999993E-2</v>
      </c>
      <c r="AS369" s="1" t="str">
        <f>IF(AND(AR369&gt;0, _xlfn.XLOOKUP($AM369, Discretionaries!$A$2:'Discretionaries'!$A$150, Discretionaries!$B$2:'Discretionaries'!$B$150)), (1+CPI!$B$15)*$N369, "")</f>
        <v/>
      </c>
      <c r="AT369" s="1" t="str">
        <f>IF(AND(AR369&gt;0, _xlfn.XLOOKUP($AM369, Discretionaries!$A$2:'Discretionaries'!$A$150, Discretionaries!$B$2:'Discretionaries'!$B$150)),AS369-$Q369,"")</f>
        <v/>
      </c>
    </row>
    <row r="370" spans="1:46" x14ac:dyDescent="0.3">
      <c r="A370" t="s">
        <v>437</v>
      </c>
      <c r="B370" t="str">
        <f t="shared" si="125"/>
        <v>26</v>
      </c>
      <c r="C370" t="s">
        <v>426</v>
      </c>
      <c r="D370" t="str">
        <f t="shared" si="126"/>
        <v>01</v>
      </c>
      <c r="E370" t="s">
        <v>11</v>
      </c>
      <c r="F370" s="139" t="s">
        <v>35</v>
      </c>
      <c r="G370" t="s">
        <v>36</v>
      </c>
      <c r="H370" s="156">
        <v>1190113</v>
      </c>
      <c r="I370" s="156">
        <v>1064322.04</v>
      </c>
      <c r="J370" s="156">
        <v>1225569</v>
      </c>
      <c r="K370" s="156">
        <v>1027209.93</v>
      </c>
      <c r="L370" s="156">
        <v>1262806</v>
      </c>
      <c r="M370" s="156">
        <v>1082171.77</v>
      </c>
      <c r="N370" s="156">
        <v>1296251</v>
      </c>
      <c r="O370" s="156">
        <v>1538496</v>
      </c>
      <c r="P370" s="156">
        <v>1538496</v>
      </c>
      <c r="Q370" s="156">
        <v>1538496</v>
      </c>
      <c r="R370" s="156">
        <v>1507660</v>
      </c>
      <c r="S370" s="156">
        <f t="shared" si="127"/>
        <v>242245</v>
      </c>
      <c r="T370" s="156">
        <f t="shared" si="128"/>
        <v>30836</v>
      </c>
      <c r="U370" s="140">
        <f t="shared" si="129"/>
        <v>0.18688124445034179</v>
      </c>
      <c r="V370" s="140">
        <f t="shared" si="130"/>
        <v>-0.10569665233469423</v>
      </c>
      <c r="W370" s="140">
        <f t="shared" si="131"/>
        <v>-0.16185059347943687</v>
      </c>
      <c r="X370" s="140">
        <f t="shared" si="132"/>
        <v>-0.14304194785263927</v>
      </c>
      <c r="Y370" s="140">
        <f t="shared" si="133"/>
        <v>2.9792128982710046E-2</v>
      </c>
      <c r="Z370" s="140">
        <f t="shared" si="134"/>
        <v>-3.4869248784888437E-2</v>
      </c>
      <c r="AA370" s="140">
        <f t="shared" si="135"/>
        <v>3.0383438223388484E-2</v>
      </c>
      <c r="AB370" s="140">
        <f t="shared" si="136"/>
        <v>5.3505946929465496E-2</v>
      </c>
      <c r="AC370" s="140">
        <f t="shared" si="137"/>
        <v>2.6484669854276905E-2</v>
      </c>
      <c r="AD370" s="140">
        <f t="shared" si="138"/>
        <v>8.9183127988686786E-2</v>
      </c>
      <c r="AE370" s="140">
        <f t="shared" si="139"/>
        <v>0.18688124445034179</v>
      </c>
      <c r="AF370" s="140">
        <f t="shared" si="140"/>
        <v>0.18688124445034179</v>
      </c>
      <c r="AG370" s="140">
        <f t="shared" si="141"/>
        <v>0.18688124445034179</v>
      </c>
      <c r="AH370" s="140">
        <f t="shared" si="142"/>
        <v>0.16309264178002564</v>
      </c>
      <c r="AI370" s="140">
        <f t="shared" si="143"/>
        <v>0.29273102638152848</v>
      </c>
      <c r="AJ370" s="140">
        <f t="shared" si="144"/>
        <v>0.29273102638152848</v>
      </c>
      <c r="AK370" s="140">
        <f t="shared" si="145"/>
        <v>0.29273102638152848</v>
      </c>
      <c r="AL370" s="140">
        <f t="shared" si="146"/>
        <v>0.26682088171459351</v>
      </c>
      <c r="AM370" t="str">
        <f t="shared" si="147"/>
        <v>4110-000: Regular Salaries</v>
      </c>
      <c r="AN370" s="140">
        <f t="shared" si="148"/>
        <v>2.8886745686791809E-2</v>
      </c>
      <c r="AO370" s="140">
        <f t="shared" si="149"/>
        <v>0.15799449876354998</v>
      </c>
      <c r="AP370" s="1" t="str">
        <f>IF(AND(AO370&gt;0, _xlfn.XLOOKUP($AM370, Discretionaries!$A$2:'Discretionaries'!$A$150, Discretionaries!$B$2:'Discretionaries'!$B$150)), (1+AN370)*$N370, "")</f>
        <v/>
      </c>
      <c r="AQ370" s="1" t="str">
        <f>IF(AND(AO370&gt;0, _xlfn.XLOOKUP($AM370, Discretionaries!$A$2:'Discretionaries'!$A$150, Discretionaries!$B$2:'Discretionaries'!$B$150)),AP370-$Q370,"")</f>
        <v/>
      </c>
      <c r="AR370" s="140">
        <f>IF(AG370="", 0-CPI!$B$15, AG370-CPI!$B$15)</f>
        <v>0.14788124445034179</v>
      </c>
      <c r="AS370" s="1" t="str">
        <f>IF(AND(AR370&gt;0, _xlfn.XLOOKUP($AM370, Discretionaries!$A$2:'Discretionaries'!$A$150, Discretionaries!$B$2:'Discretionaries'!$B$150)), (1+CPI!$B$15)*$N370, "")</f>
        <v/>
      </c>
      <c r="AT370" s="1" t="str">
        <f>IF(AND(AR370&gt;0, _xlfn.XLOOKUP($AM370, Discretionaries!$A$2:'Discretionaries'!$A$150, Discretionaries!$B$2:'Discretionaries'!$B$150)),AS370-$Q370,"")</f>
        <v/>
      </c>
    </row>
    <row r="371" spans="1:46" x14ac:dyDescent="0.3">
      <c r="A371" t="s">
        <v>437</v>
      </c>
      <c r="B371" t="str">
        <f t="shared" si="125"/>
        <v>26</v>
      </c>
      <c r="C371" t="s">
        <v>426</v>
      </c>
      <c r="D371" t="str">
        <f t="shared" si="126"/>
        <v>01</v>
      </c>
      <c r="E371" t="s">
        <v>11</v>
      </c>
      <c r="F371" s="139" t="s">
        <v>37</v>
      </c>
      <c r="G371" t="s">
        <v>38</v>
      </c>
      <c r="H371" s="156">
        <v>54325</v>
      </c>
      <c r="I371" s="156">
        <v>37927.56</v>
      </c>
      <c r="J371" s="156">
        <v>63890</v>
      </c>
      <c r="K371" s="156">
        <v>33685.19</v>
      </c>
      <c r="L371" s="156">
        <v>69839</v>
      </c>
      <c r="M371" s="156">
        <v>30352.34</v>
      </c>
      <c r="N371" s="156">
        <v>69839</v>
      </c>
      <c r="O371" s="156">
        <v>49920</v>
      </c>
      <c r="P371" s="156">
        <v>49920</v>
      </c>
      <c r="Q371" s="156">
        <v>49920</v>
      </c>
      <c r="R371" s="156">
        <v>74589</v>
      </c>
      <c r="S371" s="156">
        <f t="shared" si="127"/>
        <v>-19919</v>
      </c>
      <c r="T371" s="156">
        <f t="shared" si="128"/>
        <v>-24669</v>
      </c>
      <c r="U371" s="140">
        <f t="shared" si="129"/>
        <v>-0.28521313306318818</v>
      </c>
      <c r="V371" s="140">
        <f t="shared" si="130"/>
        <v>-0.30183966866083761</v>
      </c>
      <c r="W371" s="140">
        <f t="shared" si="131"/>
        <v>-0.47276271717013613</v>
      </c>
      <c r="X371" s="140">
        <f t="shared" si="132"/>
        <v>-0.56539555262818775</v>
      </c>
      <c r="Y371" s="140">
        <f t="shared" si="133"/>
        <v>0.17606994937873907</v>
      </c>
      <c r="Z371" s="140">
        <f t="shared" si="134"/>
        <v>-0.11185454587640216</v>
      </c>
      <c r="AA371" s="140">
        <f t="shared" si="135"/>
        <v>9.3113163249334788E-2</v>
      </c>
      <c r="AB371" s="140">
        <f t="shared" si="136"/>
        <v>-9.8941107353112803E-2</v>
      </c>
      <c r="AC371" s="140">
        <f t="shared" si="137"/>
        <v>0</v>
      </c>
      <c r="AD371" s="140">
        <f t="shared" si="138"/>
        <v>0.28557754256787848</v>
      </c>
      <c r="AE371" s="140">
        <f t="shared" si="139"/>
        <v>-0.28521313306318818</v>
      </c>
      <c r="AF371" s="140">
        <f t="shared" si="140"/>
        <v>-0.28521313306318818</v>
      </c>
      <c r="AG371" s="140">
        <f t="shared" si="141"/>
        <v>-0.28521313306318818</v>
      </c>
      <c r="AH371" s="140">
        <f t="shared" si="142"/>
        <v>6.8013574077521149E-2</v>
      </c>
      <c r="AI371" s="140">
        <f t="shared" si="143"/>
        <v>-8.1086056143580304E-2</v>
      </c>
      <c r="AJ371" s="140">
        <f t="shared" si="144"/>
        <v>-8.1086056143580304E-2</v>
      </c>
      <c r="AK371" s="140">
        <f t="shared" si="145"/>
        <v>-8.1086056143580304E-2</v>
      </c>
      <c r="AL371" s="140">
        <f t="shared" si="146"/>
        <v>0.3730142659917165</v>
      </c>
      <c r="AM371" t="str">
        <f t="shared" si="147"/>
        <v>4120-000: Part-time Salaries</v>
      </c>
      <c r="AN371" s="140">
        <f t="shared" si="148"/>
        <v>8.9727704209357953E-2</v>
      </c>
      <c r="AO371" s="140">
        <f t="shared" si="149"/>
        <v>-0.37494083727254612</v>
      </c>
      <c r="AP371" s="1" t="str">
        <f>IF(AND(AO371&gt;0, _xlfn.XLOOKUP($AM371, Discretionaries!$A$2:'Discretionaries'!$A$150, Discretionaries!$B$2:'Discretionaries'!$B$150)), (1+AN371)*$N371, "")</f>
        <v/>
      </c>
      <c r="AQ371" s="1" t="str">
        <f>IF(AND(AO371&gt;0, _xlfn.XLOOKUP($AM371, Discretionaries!$A$2:'Discretionaries'!$A$150, Discretionaries!$B$2:'Discretionaries'!$B$150)),AP371-$Q371,"")</f>
        <v/>
      </c>
      <c r="AR371" s="140">
        <f>IF(AG371="", 0-CPI!$B$15, AG371-CPI!$B$15)</f>
        <v>-0.32421313306318816</v>
      </c>
      <c r="AS371" s="1" t="str">
        <f>IF(AND(AR371&gt;0, _xlfn.XLOOKUP($AM371, Discretionaries!$A$2:'Discretionaries'!$A$150, Discretionaries!$B$2:'Discretionaries'!$B$150)), (1+CPI!$B$15)*$N371, "")</f>
        <v/>
      </c>
      <c r="AT371" s="1" t="str">
        <f>IF(AND(AR371&gt;0, _xlfn.XLOOKUP($AM371, Discretionaries!$A$2:'Discretionaries'!$A$150, Discretionaries!$B$2:'Discretionaries'!$B$150)),AS371-$Q371,"")</f>
        <v/>
      </c>
    </row>
    <row r="372" spans="1:46" x14ac:dyDescent="0.3">
      <c r="A372" t="s">
        <v>437</v>
      </c>
      <c r="B372" t="str">
        <f t="shared" si="125"/>
        <v>26</v>
      </c>
      <c r="C372" t="s">
        <v>426</v>
      </c>
      <c r="D372" t="str">
        <f t="shared" si="126"/>
        <v>01</v>
      </c>
      <c r="E372" t="s">
        <v>11</v>
      </c>
      <c r="F372" s="139" t="s">
        <v>39</v>
      </c>
      <c r="G372" t="s">
        <v>40</v>
      </c>
      <c r="H372" s="156">
        <v>179785</v>
      </c>
      <c r="I372" s="156">
        <v>200536.67</v>
      </c>
      <c r="J372" s="156">
        <v>185326</v>
      </c>
      <c r="K372" s="156">
        <v>155268.04999999999</v>
      </c>
      <c r="L372" s="156">
        <v>188720</v>
      </c>
      <c r="M372" s="156">
        <v>156608.04</v>
      </c>
      <c r="N372" s="156">
        <v>190160</v>
      </c>
      <c r="O372" s="156">
        <v>217038</v>
      </c>
      <c r="P372" s="156">
        <v>217038</v>
      </c>
      <c r="Q372" s="156">
        <v>217038</v>
      </c>
      <c r="R372" s="156">
        <v>217038</v>
      </c>
      <c r="S372" s="156">
        <f t="shared" si="127"/>
        <v>26878</v>
      </c>
      <c r="T372" s="156">
        <f t="shared" si="128"/>
        <v>0</v>
      </c>
      <c r="U372" s="140">
        <f t="shared" si="129"/>
        <v>0.14134413125788808</v>
      </c>
      <c r="V372" s="140">
        <f t="shared" si="130"/>
        <v>0.1154249242150347</v>
      </c>
      <c r="W372" s="140">
        <f t="shared" si="131"/>
        <v>-0.16218960102737884</v>
      </c>
      <c r="X372" s="140">
        <f t="shared" si="132"/>
        <v>-0.17015663416701987</v>
      </c>
      <c r="Y372" s="140">
        <f t="shared" si="133"/>
        <v>3.0820146285841423E-2</v>
      </c>
      <c r="Z372" s="140">
        <f t="shared" si="134"/>
        <v>-0.22573736763455793</v>
      </c>
      <c r="AA372" s="140">
        <f t="shared" si="135"/>
        <v>1.831367428207591E-2</v>
      </c>
      <c r="AB372" s="140">
        <f t="shared" si="136"/>
        <v>8.6301721442371433E-3</v>
      </c>
      <c r="AC372" s="140">
        <f t="shared" si="137"/>
        <v>7.6303518440016954E-3</v>
      </c>
      <c r="AD372" s="140">
        <f t="shared" si="138"/>
        <v>5.7707817671107157E-2</v>
      </c>
      <c r="AE372" s="140">
        <f t="shared" si="139"/>
        <v>0.14134413125788808</v>
      </c>
      <c r="AF372" s="140">
        <f t="shared" si="140"/>
        <v>0.14134413125788808</v>
      </c>
      <c r="AG372" s="140">
        <f t="shared" si="141"/>
        <v>0.14134413125788808</v>
      </c>
      <c r="AH372" s="140">
        <f t="shared" si="142"/>
        <v>0.14134413125788808</v>
      </c>
      <c r="AI372" s="140">
        <f t="shared" si="143"/>
        <v>0.20720861028450649</v>
      </c>
      <c r="AJ372" s="140">
        <f t="shared" si="144"/>
        <v>0.20720861028450649</v>
      </c>
      <c r="AK372" s="140">
        <f t="shared" si="145"/>
        <v>0.20720861028450649</v>
      </c>
      <c r="AL372" s="140">
        <f t="shared" si="146"/>
        <v>0.20720861028450649</v>
      </c>
      <c r="AM372" t="str">
        <f t="shared" si="147"/>
        <v>4140-000: Overtime Salaries</v>
      </c>
      <c r="AN372" s="140">
        <f t="shared" si="148"/>
        <v>1.8921390803973009E-2</v>
      </c>
      <c r="AO372" s="140">
        <f t="shared" si="149"/>
        <v>0.12242274045391507</v>
      </c>
      <c r="AP372" s="1" t="str">
        <f>IF(AND(AO372&gt;0, _xlfn.XLOOKUP($AM372, Discretionaries!$A$2:'Discretionaries'!$A$150, Discretionaries!$B$2:'Discretionaries'!$B$150)), (1+AN372)*$N372, "")</f>
        <v/>
      </c>
      <c r="AQ372" s="1" t="str">
        <f>IF(AND(AO372&gt;0, _xlfn.XLOOKUP($AM372, Discretionaries!$A$2:'Discretionaries'!$A$150, Discretionaries!$B$2:'Discretionaries'!$B$150)),AP372-$Q372,"")</f>
        <v/>
      </c>
      <c r="AR372" s="140">
        <f>IF(AG372="", 0-CPI!$B$15, AG372-CPI!$B$15)</f>
        <v>0.10234413125788809</v>
      </c>
      <c r="AS372" s="1" t="str">
        <f>IF(AND(AR372&gt;0, _xlfn.XLOOKUP($AM372, Discretionaries!$A$2:'Discretionaries'!$A$150, Discretionaries!$B$2:'Discretionaries'!$B$150)), (1+CPI!$B$15)*$N372, "")</f>
        <v/>
      </c>
      <c r="AT372" s="1" t="str">
        <f>IF(AND(AR372&gt;0, _xlfn.XLOOKUP($AM372, Discretionaries!$A$2:'Discretionaries'!$A$150, Discretionaries!$B$2:'Discretionaries'!$B$150)),AS372-$Q372,"")</f>
        <v/>
      </c>
    </row>
    <row r="373" spans="1:46" x14ac:dyDescent="0.3">
      <c r="A373" t="s">
        <v>437</v>
      </c>
      <c r="B373" t="str">
        <f t="shared" si="125"/>
        <v>26</v>
      </c>
      <c r="C373" t="s">
        <v>426</v>
      </c>
      <c r="D373" t="str">
        <f t="shared" si="126"/>
        <v>01</v>
      </c>
      <c r="E373" t="s">
        <v>11</v>
      </c>
      <c r="F373" s="139" t="s">
        <v>305</v>
      </c>
      <c r="G373" t="s">
        <v>306</v>
      </c>
      <c r="H373" s="156">
        <v>157027</v>
      </c>
      <c r="I373" s="156">
        <v>151109.4</v>
      </c>
      <c r="J373" s="156">
        <v>157027</v>
      </c>
      <c r="K373" s="156">
        <v>106529.58</v>
      </c>
      <c r="L373" s="156">
        <v>157027</v>
      </c>
      <c r="M373" s="156">
        <v>104841.11</v>
      </c>
      <c r="N373" s="156">
        <v>157027</v>
      </c>
      <c r="O373" s="156">
        <v>157027</v>
      </c>
      <c r="P373" s="156">
        <v>157027</v>
      </c>
      <c r="Q373" s="156">
        <v>157027</v>
      </c>
      <c r="R373" s="156">
        <v>157027</v>
      </c>
      <c r="S373" s="156">
        <f t="shared" si="127"/>
        <v>0</v>
      </c>
      <c r="T373" s="156">
        <f t="shared" si="128"/>
        <v>0</v>
      </c>
      <c r="U373" s="140">
        <f t="shared" si="129"/>
        <v>0</v>
      </c>
      <c r="V373" s="140">
        <f t="shared" si="130"/>
        <v>-3.7685238844275222E-2</v>
      </c>
      <c r="W373" s="140">
        <f t="shared" si="131"/>
        <v>-0.32158431352569938</v>
      </c>
      <c r="X373" s="140">
        <f t="shared" si="132"/>
        <v>-0.33233705031618765</v>
      </c>
      <c r="Y373" s="140">
        <f t="shared" si="133"/>
        <v>0</v>
      </c>
      <c r="Z373" s="140">
        <f t="shared" si="134"/>
        <v>-0.29501685533792071</v>
      </c>
      <c r="AA373" s="140">
        <f t="shared" si="135"/>
        <v>0</v>
      </c>
      <c r="AB373" s="140">
        <f t="shared" si="136"/>
        <v>-1.584977618422978E-2</v>
      </c>
      <c r="AC373" s="140">
        <f t="shared" si="137"/>
        <v>0</v>
      </c>
      <c r="AD373" s="140">
        <f t="shared" si="138"/>
        <v>0</v>
      </c>
      <c r="AE373" s="140">
        <f t="shared" si="139"/>
        <v>0</v>
      </c>
      <c r="AF373" s="140">
        <f t="shared" si="140"/>
        <v>0</v>
      </c>
      <c r="AG373" s="140">
        <f t="shared" si="141"/>
        <v>0</v>
      </c>
      <c r="AH373" s="140">
        <f t="shared" si="142"/>
        <v>0</v>
      </c>
      <c r="AI373" s="140">
        <f t="shared" si="143"/>
        <v>0</v>
      </c>
      <c r="AJ373" s="140">
        <f t="shared" si="144"/>
        <v>0</v>
      </c>
      <c r="AK373" s="140">
        <f t="shared" si="145"/>
        <v>0</v>
      </c>
      <c r="AL373" s="140">
        <f t="shared" si="146"/>
        <v>0</v>
      </c>
      <c r="AM373" t="str">
        <f t="shared" si="147"/>
        <v>4145-000: Snow overtime Salaries</v>
      </c>
      <c r="AN373" s="140">
        <f t="shared" si="148"/>
        <v>0</v>
      </c>
      <c r="AO373" s="140">
        <f t="shared" si="149"/>
        <v>0</v>
      </c>
      <c r="AP373" s="1" t="str">
        <f>IF(AND(AO373&gt;0, _xlfn.XLOOKUP($AM373, Discretionaries!$A$2:'Discretionaries'!$A$150, Discretionaries!$B$2:'Discretionaries'!$B$150)), (1+AN373)*$N373, "")</f>
        <v/>
      </c>
      <c r="AQ373" s="1" t="str">
        <f>IF(AND(AO373&gt;0, _xlfn.XLOOKUP($AM373, Discretionaries!$A$2:'Discretionaries'!$A$150, Discretionaries!$B$2:'Discretionaries'!$B$150)),AP373-$Q373,"")</f>
        <v/>
      </c>
      <c r="AR373" s="140">
        <f>IF(AG373="", 0-CPI!$B$15, AG373-CPI!$B$15)</f>
        <v>-3.8999999999999993E-2</v>
      </c>
      <c r="AS373" s="1" t="str">
        <f>IF(AND(AR373&gt;0, _xlfn.XLOOKUP($AM373, Discretionaries!$A$2:'Discretionaries'!$A$150, Discretionaries!$B$2:'Discretionaries'!$B$150)), (1+CPI!$B$15)*$N373, "")</f>
        <v/>
      </c>
      <c r="AT373" s="1" t="str">
        <f>IF(AND(AR373&gt;0, _xlfn.XLOOKUP($AM373, Discretionaries!$A$2:'Discretionaries'!$A$150, Discretionaries!$B$2:'Discretionaries'!$B$150)),AS373-$Q373,"")</f>
        <v/>
      </c>
    </row>
    <row r="374" spans="1:46" x14ac:dyDescent="0.3">
      <c r="A374" t="s">
        <v>437</v>
      </c>
      <c r="B374" t="str">
        <f t="shared" si="125"/>
        <v>26</v>
      </c>
      <c r="C374" t="s">
        <v>426</v>
      </c>
      <c r="D374" t="str">
        <f t="shared" si="126"/>
        <v>01</v>
      </c>
      <c r="E374" t="s">
        <v>14</v>
      </c>
      <c r="F374" s="139" t="s">
        <v>41</v>
      </c>
      <c r="G374" t="s">
        <v>42</v>
      </c>
      <c r="H374" s="156">
        <v>14863</v>
      </c>
      <c r="I374" s="156">
        <v>12161.71</v>
      </c>
      <c r="J374" s="156">
        <v>16471</v>
      </c>
      <c r="K374" s="156">
        <v>13253.77</v>
      </c>
      <c r="L374" s="156">
        <v>14954</v>
      </c>
      <c r="M374" s="156">
        <v>9998.59</v>
      </c>
      <c r="N374" s="156">
        <v>9000</v>
      </c>
      <c r="O374" s="156">
        <v>12292</v>
      </c>
      <c r="P374" s="156">
        <v>12292</v>
      </c>
      <c r="Q374" s="156">
        <v>12292</v>
      </c>
      <c r="R374" s="156">
        <v>11989</v>
      </c>
      <c r="S374" s="156">
        <f t="shared" si="127"/>
        <v>3292</v>
      </c>
      <c r="T374" s="156">
        <f t="shared" si="128"/>
        <v>303</v>
      </c>
      <c r="U374" s="140">
        <f t="shared" si="129"/>
        <v>0.36577777777777776</v>
      </c>
      <c r="V374" s="140">
        <f t="shared" si="130"/>
        <v>-0.18174594630962798</v>
      </c>
      <c r="W374" s="140">
        <f t="shared" si="131"/>
        <v>-0.19532693825511502</v>
      </c>
      <c r="X374" s="140">
        <f t="shared" si="132"/>
        <v>-0.33137688912665508</v>
      </c>
      <c r="Y374" s="140">
        <f t="shared" si="133"/>
        <v>0.10818811814573101</v>
      </c>
      <c r="Z374" s="140">
        <f t="shared" si="134"/>
        <v>8.9794938376264635E-2</v>
      </c>
      <c r="AA374" s="140">
        <f t="shared" si="135"/>
        <v>-9.2101268896849012E-2</v>
      </c>
      <c r="AB374" s="140">
        <f t="shared" si="136"/>
        <v>-0.24560408095206121</v>
      </c>
      <c r="AC374" s="140">
        <f t="shared" si="137"/>
        <v>-0.3981543399759262</v>
      </c>
      <c r="AD374" s="140">
        <f t="shared" si="138"/>
        <v>-0.39446948799031151</v>
      </c>
      <c r="AE374" s="140">
        <f t="shared" si="139"/>
        <v>0.36577777777777776</v>
      </c>
      <c r="AF374" s="140">
        <f t="shared" si="140"/>
        <v>0.36577777777777776</v>
      </c>
      <c r="AG374" s="140">
        <f t="shared" si="141"/>
        <v>0.36577777777777776</v>
      </c>
      <c r="AH374" s="140">
        <f t="shared" si="142"/>
        <v>0.33211111111111113</v>
      </c>
      <c r="AI374" s="140">
        <f t="shared" si="143"/>
        <v>-0.17297988293076769</v>
      </c>
      <c r="AJ374" s="140">
        <f t="shared" si="144"/>
        <v>-0.17297988293076769</v>
      </c>
      <c r="AK374" s="140">
        <f t="shared" si="145"/>
        <v>-0.17297988293076769</v>
      </c>
      <c r="AL374" s="140">
        <f t="shared" si="146"/>
        <v>-0.19336607683509385</v>
      </c>
      <c r="AM374" t="str">
        <f t="shared" si="147"/>
        <v>4215-000: STD, LTD, &amp; Life Benefits</v>
      </c>
      <c r="AN374" s="140">
        <f t="shared" si="148"/>
        <v>-0.12735583024234806</v>
      </c>
      <c r="AO374" s="140">
        <f t="shared" si="149"/>
        <v>0.49313360802012585</v>
      </c>
      <c r="AP374" s="1" t="str">
        <f>IF(AND(AO374&gt;0, _xlfn.XLOOKUP($AM374, Discretionaries!$A$2:'Discretionaries'!$A$150, Discretionaries!$B$2:'Discretionaries'!$B$150)), (1+AN374)*$N374, "")</f>
        <v/>
      </c>
      <c r="AQ374" s="1" t="str">
        <f>IF(AND(AO374&gt;0, _xlfn.XLOOKUP($AM374, Discretionaries!$A$2:'Discretionaries'!$A$150, Discretionaries!$B$2:'Discretionaries'!$B$150)),AP374-$Q374,"")</f>
        <v/>
      </c>
      <c r="AR374" s="140">
        <f>IF(AG374="", 0-CPI!$B$15, AG374-CPI!$B$15)</f>
        <v>0.32677777777777778</v>
      </c>
      <c r="AS374" s="1" t="str">
        <f>IF(AND(AR374&gt;0, _xlfn.XLOOKUP($AM374, Discretionaries!$A$2:'Discretionaries'!$A$150, Discretionaries!$B$2:'Discretionaries'!$B$150)), (1+CPI!$B$15)*$N374, "")</f>
        <v/>
      </c>
      <c r="AT374" s="1" t="str">
        <f>IF(AND(AR374&gt;0, _xlfn.XLOOKUP($AM374, Discretionaries!$A$2:'Discretionaries'!$A$150, Discretionaries!$B$2:'Discretionaries'!$B$150)),AS374-$Q374,"")</f>
        <v/>
      </c>
    </row>
    <row r="375" spans="1:46" x14ac:dyDescent="0.3">
      <c r="A375" t="s">
        <v>437</v>
      </c>
      <c r="B375" t="str">
        <f t="shared" si="125"/>
        <v>26</v>
      </c>
      <c r="C375" t="s">
        <v>426</v>
      </c>
      <c r="D375" t="str">
        <f t="shared" si="126"/>
        <v>01</v>
      </c>
      <c r="E375" t="s">
        <v>14</v>
      </c>
      <c r="F375" s="139" t="s">
        <v>15</v>
      </c>
      <c r="G375" t="s">
        <v>16</v>
      </c>
      <c r="H375" s="156">
        <v>88303</v>
      </c>
      <c r="I375" s="156">
        <v>87385.17</v>
      </c>
      <c r="J375" s="156">
        <v>91518</v>
      </c>
      <c r="K375" s="156">
        <v>81132.28</v>
      </c>
      <c r="L375" s="156">
        <v>94325</v>
      </c>
      <c r="M375" s="156">
        <v>81388.09</v>
      </c>
      <c r="N375" s="156">
        <v>96490</v>
      </c>
      <c r="O375" s="156">
        <v>121674</v>
      </c>
      <c r="P375" s="156">
        <v>121674</v>
      </c>
      <c r="Q375" s="156">
        <v>121674</v>
      </c>
      <c r="R375" s="156">
        <v>121292</v>
      </c>
      <c r="S375" s="156">
        <f t="shared" si="127"/>
        <v>25184</v>
      </c>
      <c r="T375" s="156">
        <f t="shared" si="128"/>
        <v>382</v>
      </c>
      <c r="U375" s="140">
        <f t="shared" si="129"/>
        <v>0.2610011400145093</v>
      </c>
      <c r="V375" s="140">
        <f t="shared" si="130"/>
        <v>-1.0394097595778192E-2</v>
      </c>
      <c r="W375" s="140">
        <f t="shared" si="131"/>
        <v>-0.11348281212439085</v>
      </c>
      <c r="X375" s="140">
        <f t="shared" si="132"/>
        <v>-0.13715250463821896</v>
      </c>
      <c r="Y375" s="140">
        <f t="shared" si="133"/>
        <v>3.6408729035253613E-2</v>
      </c>
      <c r="Z375" s="140">
        <f t="shared" si="134"/>
        <v>-7.1555505356343641E-2</v>
      </c>
      <c r="AA375" s="140">
        <f t="shared" si="135"/>
        <v>3.0671561878537555E-2</v>
      </c>
      <c r="AB375" s="140">
        <f t="shared" si="136"/>
        <v>3.152999028253584E-3</v>
      </c>
      <c r="AC375" s="140">
        <f t="shared" si="137"/>
        <v>2.2952557646435199E-2</v>
      </c>
      <c r="AD375" s="140">
        <f t="shared" si="138"/>
        <v>9.2714856799882228E-2</v>
      </c>
      <c r="AE375" s="140">
        <f t="shared" si="139"/>
        <v>0.2610011400145093</v>
      </c>
      <c r="AF375" s="140">
        <f t="shared" si="140"/>
        <v>0.2610011400145093</v>
      </c>
      <c r="AG375" s="140">
        <f t="shared" si="141"/>
        <v>0.2610011400145093</v>
      </c>
      <c r="AH375" s="140">
        <f t="shared" si="142"/>
        <v>0.25704218053684319</v>
      </c>
      <c r="AI375" s="140">
        <f t="shared" si="143"/>
        <v>0.37791468013544272</v>
      </c>
      <c r="AJ375" s="140">
        <f t="shared" si="144"/>
        <v>0.37791468013544272</v>
      </c>
      <c r="AK375" s="140">
        <f t="shared" si="145"/>
        <v>0.37791468013544272</v>
      </c>
      <c r="AL375" s="140">
        <f t="shared" si="146"/>
        <v>0.37358866629672832</v>
      </c>
      <c r="AM375" t="str">
        <f t="shared" si="147"/>
        <v>4220-000: FICA Benefits</v>
      </c>
      <c r="AN375" s="140">
        <f t="shared" si="148"/>
        <v>3.0010949520075453E-2</v>
      </c>
      <c r="AO375" s="140">
        <f t="shared" si="149"/>
        <v>0.23099019049443384</v>
      </c>
      <c r="AP375" s="1" t="str">
        <f>IF(AND(AO375&gt;0, _xlfn.XLOOKUP($AM375, Discretionaries!$A$2:'Discretionaries'!$A$150, Discretionaries!$B$2:'Discretionaries'!$B$150)), (1+AN375)*$N375, "")</f>
        <v/>
      </c>
      <c r="AQ375" s="1" t="str">
        <f>IF(AND(AO375&gt;0, _xlfn.XLOOKUP($AM375, Discretionaries!$A$2:'Discretionaries'!$A$150, Discretionaries!$B$2:'Discretionaries'!$B$150)),AP375-$Q375,"")</f>
        <v/>
      </c>
      <c r="AR375" s="140">
        <f>IF(AG375="", 0-CPI!$B$15, AG375-CPI!$B$15)</f>
        <v>0.22200114001450932</v>
      </c>
      <c r="AS375" s="1" t="str">
        <f>IF(AND(AR375&gt;0, _xlfn.XLOOKUP($AM375, Discretionaries!$A$2:'Discretionaries'!$A$150, Discretionaries!$B$2:'Discretionaries'!$B$150)), (1+CPI!$B$15)*$N375, "")</f>
        <v/>
      </c>
      <c r="AT375" s="1" t="str">
        <f>IF(AND(AR375&gt;0, _xlfn.XLOOKUP($AM375, Discretionaries!$A$2:'Discretionaries'!$A$150, Discretionaries!$B$2:'Discretionaries'!$B$150)),AS375-$Q375,"")</f>
        <v/>
      </c>
    </row>
    <row r="376" spans="1:46" x14ac:dyDescent="0.3">
      <c r="A376" t="s">
        <v>437</v>
      </c>
      <c r="B376" t="str">
        <f t="shared" si="125"/>
        <v>26</v>
      </c>
      <c r="C376" t="s">
        <v>426</v>
      </c>
      <c r="D376" t="str">
        <f t="shared" si="126"/>
        <v>01</v>
      </c>
      <c r="E376" t="s">
        <v>14</v>
      </c>
      <c r="F376" s="139" t="s">
        <v>17</v>
      </c>
      <c r="G376" t="s">
        <v>18</v>
      </c>
      <c r="H376" s="156">
        <v>20652</v>
      </c>
      <c r="I376" s="156">
        <v>20437.03</v>
      </c>
      <c r="J376" s="156">
        <v>21385</v>
      </c>
      <c r="K376" s="156">
        <v>18974.63</v>
      </c>
      <c r="L376" s="156">
        <v>22060</v>
      </c>
      <c r="M376" s="156">
        <v>19034.43</v>
      </c>
      <c r="N376" s="156">
        <v>22568</v>
      </c>
      <c r="O376" s="156">
        <v>28456</v>
      </c>
      <c r="P376" s="156">
        <v>28456</v>
      </c>
      <c r="Q376" s="156">
        <v>28456</v>
      </c>
      <c r="R376" s="156">
        <v>28367</v>
      </c>
      <c r="S376" s="156">
        <f t="shared" si="127"/>
        <v>5888</v>
      </c>
      <c r="T376" s="156">
        <f t="shared" si="128"/>
        <v>89</v>
      </c>
      <c r="U376" s="140">
        <f t="shared" si="129"/>
        <v>0.26090038993264802</v>
      </c>
      <c r="V376" s="140">
        <f t="shared" si="130"/>
        <v>-1.040916134030608E-2</v>
      </c>
      <c r="W376" s="140">
        <f t="shared" si="131"/>
        <v>-0.11271311667056343</v>
      </c>
      <c r="X376" s="140">
        <f t="shared" si="132"/>
        <v>-0.13715185856754306</v>
      </c>
      <c r="Y376" s="140">
        <f t="shared" si="133"/>
        <v>3.5492930466782875E-2</v>
      </c>
      <c r="Z376" s="140">
        <f t="shared" si="134"/>
        <v>-7.1556385639204814E-2</v>
      </c>
      <c r="AA376" s="140">
        <f t="shared" si="135"/>
        <v>3.1564180500350716E-2</v>
      </c>
      <c r="AB376" s="140">
        <f t="shared" si="136"/>
        <v>3.1515766051827768E-3</v>
      </c>
      <c r="AC376" s="140">
        <f t="shared" si="137"/>
        <v>2.3028105167724387E-2</v>
      </c>
      <c r="AD376" s="140">
        <f t="shared" si="138"/>
        <v>9.2775518109626184E-2</v>
      </c>
      <c r="AE376" s="140">
        <f t="shared" si="139"/>
        <v>0.26090038993264802</v>
      </c>
      <c r="AF376" s="140">
        <f t="shared" si="140"/>
        <v>0.26090038993264802</v>
      </c>
      <c r="AG376" s="140">
        <f t="shared" si="141"/>
        <v>0.26090038993264802</v>
      </c>
      <c r="AH376" s="140">
        <f t="shared" si="142"/>
        <v>0.25695675292449488</v>
      </c>
      <c r="AI376" s="140">
        <f t="shared" si="143"/>
        <v>0.3778810768932791</v>
      </c>
      <c r="AJ376" s="140">
        <f t="shared" si="144"/>
        <v>0.3778810768932791</v>
      </c>
      <c r="AK376" s="140">
        <f t="shared" si="145"/>
        <v>0.3778810768932791</v>
      </c>
      <c r="AL376" s="140">
        <f t="shared" si="146"/>
        <v>0.37357156691845828</v>
      </c>
      <c r="AM376" t="str">
        <f t="shared" si="147"/>
        <v>4225-000: Medicare Benefits</v>
      </c>
      <c r="AN376" s="140">
        <f t="shared" si="148"/>
        <v>3.0028405378285994E-2</v>
      </c>
      <c r="AO376" s="140">
        <f t="shared" si="149"/>
        <v>0.23087198455436203</v>
      </c>
      <c r="AP376" s="1" t="str">
        <f>IF(AND(AO376&gt;0, _xlfn.XLOOKUP($AM376, Discretionaries!$A$2:'Discretionaries'!$A$150, Discretionaries!$B$2:'Discretionaries'!$B$150)), (1+AN376)*$N376, "")</f>
        <v/>
      </c>
      <c r="AQ376" s="1" t="str">
        <f>IF(AND(AO376&gt;0, _xlfn.XLOOKUP($AM376, Discretionaries!$A$2:'Discretionaries'!$A$150, Discretionaries!$B$2:'Discretionaries'!$B$150)),AP376-$Q376,"")</f>
        <v/>
      </c>
      <c r="AR376" s="140">
        <f>IF(AG376="", 0-CPI!$B$15, AG376-CPI!$B$15)</f>
        <v>0.22190038993264805</v>
      </c>
      <c r="AS376" s="1" t="str">
        <f>IF(AND(AR376&gt;0, _xlfn.XLOOKUP($AM376, Discretionaries!$A$2:'Discretionaries'!$A$150, Discretionaries!$B$2:'Discretionaries'!$B$150)), (1+CPI!$B$15)*$N376, "")</f>
        <v/>
      </c>
      <c r="AT376" s="1" t="str">
        <f>IF(AND(AR376&gt;0, _xlfn.XLOOKUP($AM376, Discretionaries!$A$2:'Discretionaries'!$A$150, Discretionaries!$B$2:'Discretionaries'!$B$150)),AS376-$Q376,"")</f>
        <v/>
      </c>
    </row>
    <row r="377" spans="1:46" x14ac:dyDescent="0.3">
      <c r="A377" t="s">
        <v>437</v>
      </c>
      <c r="B377" t="str">
        <f t="shared" si="125"/>
        <v>26</v>
      </c>
      <c r="C377" t="s">
        <v>426</v>
      </c>
      <c r="D377" t="str">
        <f t="shared" si="126"/>
        <v>01</v>
      </c>
      <c r="E377" t="s">
        <v>14</v>
      </c>
      <c r="F377" s="139" t="s">
        <v>43</v>
      </c>
      <c r="G377" t="s">
        <v>44</v>
      </c>
      <c r="H377" s="156">
        <v>198094</v>
      </c>
      <c r="I377" s="156">
        <v>196247.91</v>
      </c>
      <c r="J377" s="156">
        <v>196973</v>
      </c>
      <c r="K377" s="156">
        <v>175718.86</v>
      </c>
      <c r="L377" s="156">
        <v>196392</v>
      </c>
      <c r="M377" s="156">
        <v>174543.73</v>
      </c>
      <c r="N377" s="156">
        <v>189520</v>
      </c>
      <c r="O377" s="156">
        <v>243852</v>
      </c>
      <c r="P377" s="156">
        <v>243852</v>
      </c>
      <c r="Q377" s="156">
        <v>243852</v>
      </c>
      <c r="R377" s="156">
        <v>239920</v>
      </c>
      <c r="S377" s="156">
        <f t="shared" si="127"/>
        <v>54332</v>
      </c>
      <c r="T377" s="156">
        <f t="shared" si="128"/>
        <v>3932</v>
      </c>
      <c r="U377" s="140">
        <f t="shared" si="129"/>
        <v>0.28668214436471084</v>
      </c>
      <c r="V377" s="140">
        <f t="shared" si="130"/>
        <v>-9.3192625723141371E-3</v>
      </c>
      <c r="W377" s="140">
        <f t="shared" si="131"/>
        <v>-0.10790382438202198</v>
      </c>
      <c r="X377" s="140">
        <f t="shared" si="132"/>
        <v>-0.11124826876858522</v>
      </c>
      <c r="Y377" s="140">
        <f t="shared" si="133"/>
        <v>-5.6589295990792246E-3</v>
      </c>
      <c r="Z377" s="140">
        <f t="shared" si="134"/>
        <v>-0.10460773824291947</v>
      </c>
      <c r="AA377" s="140">
        <f t="shared" si="135"/>
        <v>-2.9496428444507625E-3</v>
      </c>
      <c r="AB377" s="140">
        <f t="shared" si="136"/>
        <v>-6.6875576133374392E-3</v>
      </c>
      <c r="AC377" s="140">
        <f t="shared" si="137"/>
        <v>-3.4991242005784351E-2</v>
      </c>
      <c r="AD377" s="140">
        <f t="shared" si="138"/>
        <v>-4.3282482053974378E-2</v>
      </c>
      <c r="AE377" s="140">
        <f t="shared" si="139"/>
        <v>0.28668214436471084</v>
      </c>
      <c r="AF377" s="140">
        <f t="shared" si="140"/>
        <v>0.28668214436471084</v>
      </c>
      <c r="AG377" s="140">
        <f t="shared" si="141"/>
        <v>0.28668214436471084</v>
      </c>
      <c r="AH377" s="140">
        <f t="shared" si="142"/>
        <v>0.26593499366821444</v>
      </c>
      <c r="AI377" s="140">
        <f t="shared" si="143"/>
        <v>0.23099134754207598</v>
      </c>
      <c r="AJ377" s="140">
        <f t="shared" si="144"/>
        <v>0.23099134754207598</v>
      </c>
      <c r="AK377" s="140">
        <f t="shared" si="145"/>
        <v>0.23099134754207598</v>
      </c>
      <c r="AL377" s="140">
        <f t="shared" si="146"/>
        <v>0.21114218502327178</v>
      </c>
      <c r="AM377" t="str">
        <f t="shared" si="147"/>
        <v>4230-000: Retirement Benefits</v>
      </c>
      <c r="AN377" s="140">
        <f t="shared" si="148"/>
        <v>-1.4533271483104779E-2</v>
      </c>
      <c r="AO377" s="140">
        <f t="shared" si="149"/>
        <v>0.30121541584781564</v>
      </c>
      <c r="AP377" s="1" t="str">
        <f>IF(AND(AO377&gt;0, _xlfn.XLOOKUP($AM377, Discretionaries!$A$2:'Discretionaries'!$A$150, Discretionaries!$B$2:'Discretionaries'!$B$150)), (1+AN377)*$N377, "")</f>
        <v/>
      </c>
      <c r="AQ377" s="1" t="str">
        <f>IF(AND(AO377&gt;0, _xlfn.XLOOKUP($AM377, Discretionaries!$A$2:'Discretionaries'!$A$150, Discretionaries!$B$2:'Discretionaries'!$B$150)),AP377-$Q377,"")</f>
        <v/>
      </c>
      <c r="AR377" s="140">
        <f>IF(AG377="", 0-CPI!$B$15, AG377-CPI!$B$15)</f>
        <v>0.24768214436471087</v>
      </c>
      <c r="AS377" s="1" t="str">
        <f>IF(AND(AR377&gt;0, _xlfn.XLOOKUP($AM377, Discretionaries!$A$2:'Discretionaries'!$A$150, Discretionaries!$B$2:'Discretionaries'!$B$150)), (1+CPI!$B$15)*$N377, "")</f>
        <v/>
      </c>
      <c r="AT377" s="1" t="str">
        <f>IF(AND(AR377&gt;0, _xlfn.XLOOKUP($AM377, Discretionaries!$A$2:'Discretionaries'!$A$150, Discretionaries!$B$2:'Discretionaries'!$B$150)),AS377-$Q377,"")</f>
        <v/>
      </c>
    </row>
    <row r="378" spans="1:46" x14ac:dyDescent="0.3">
      <c r="A378" t="s">
        <v>437</v>
      </c>
      <c r="B378" t="str">
        <f t="shared" si="125"/>
        <v>26</v>
      </c>
      <c r="C378" t="s">
        <v>426</v>
      </c>
      <c r="D378" t="str">
        <f t="shared" si="126"/>
        <v>01</v>
      </c>
      <c r="E378" t="s">
        <v>14</v>
      </c>
      <c r="F378" s="139" t="s">
        <v>19</v>
      </c>
      <c r="G378" t="s">
        <v>20</v>
      </c>
      <c r="H378" s="156">
        <v>33047</v>
      </c>
      <c r="I378" s="156">
        <v>31500.79</v>
      </c>
      <c r="J378" s="156">
        <v>34995</v>
      </c>
      <c r="K378" s="156">
        <v>37287.440000000002</v>
      </c>
      <c r="L378" s="156">
        <v>41785</v>
      </c>
      <c r="M378" s="156">
        <v>41785.449999999997</v>
      </c>
      <c r="N378" s="156">
        <v>49371</v>
      </c>
      <c r="O378" s="156">
        <v>48635</v>
      </c>
      <c r="P378" s="156">
        <v>48635</v>
      </c>
      <c r="Q378" s="156">
        <v>48635</v>
      </c>
      <c r="R378" s="156">
        <v>48635</v>
      </c>
      <c r="S378" s="156">
        <f t="shared" si="127"/>
        <v>-736</v>
      </c>
      <c r="T378" s="156">
        <f t="shared" si="128"/>
        <v>0</v>
      </c>
      <c r="U378" s="140">
        <f t="shared" si="129"/>
        <v>-1.4907536813108911E-2</v>
      </c>
      <c r="V378" s="140">
        <f t="shared" si="130"/>
        <v>-4.6788210730172156E-2</v>
      </c>
      <c r="W378" s="140">
        <f t="shared" si="131"/>
        <v>6.5507643949135663E-2</v>
      </c>
      <c r="X378" s="140">
        <f t="shared" si="132"/>
        <v>1.0769414861722857E-5</v>
      </c>
      <c r="Y378" s="140">
        <f t="shared" si="133"/>
        <v>5.894634913910491E-2</v>
      </c>
      <c r="Z378" s="140">
        <f t="shared" si="134"/>
        <v>0.18369856755973427</v>
      </c>
      <c r="AA378" s="140">
        <f t="shared" si="135"/>
        <v>0.19402771824546364</v>
      </c>
      <c r="AB378" s="140">
        <f t="shared" si="136"/>
        <v>0.12063070031088201</v>
      </c>
      <c r="AC378" s="140">
        <f t="shared" si="137"/>
        <v>0.18154840253679549</v>
      </c>
      <c r="AD378" s="140">
        <f t="shared" si="138"/>
        <v>0.49396314340182162</v>
      </c>
      <c r="AE378" s="140">
        <f t="shared" si="139"/>
        <v>-1.4907536813108911E-2</v>
      </c>
      <c r="AF378" s="140">
        <f t="shared" si="140"/>
        <v>-1.4907536813108911E-2</v>
      </c>
      <c r="AG378" s="140">
        <f t="shared" si="141"/>
        <v>-1.4907536813108911E-2</v>
      </c>
      <c r="AH378" s="140">
        <f t="shared" si="142"/>
        <v>-1.4907536813108911E-2</v>
      </c>
      <c r="AI378" s="140">
        <f t="shared" si="143"/>
        <v>0.47169183284413108</v>
      </c>
      <c r="AJ378" s="140">
        <f t="shared" si="144"/>
        <v>0.47169183284413108</v>
      </c>
      <c r="AK378" s="140">
        <f t="shared" si="145"/>
        <v>0.47169183284413108</v>
      </c>
      <c r="AL378" s="140">
        <f t="shared" si="146"/>
        <v>0.47169183284413108</v>
      </c>
      <c r="AM378" t="str">
        <f t="shared" si="147"/>
        <v>4260-000: Workers' comp Benefits</v>
      </c>
      <c r="AN378" s="140">
        <f t="shared" si="148"/>
        <v>0.14484082330712136</v>
      </c>
      <c r="AO378" s="140">
        <f t="shared" si="149"/>
        <v>-0.15974836012023028</v>
      </c>
      <c r="AP378" s="1" t="str">
        <f>IF(AND(AO378&gt;0, _xlfn.XLOOKUP($AM378, Discretionaries!$A$2:'Discretionaries'!$A$150, Discretionaries!$B$2:'Discretionaries'!$B$150)), (1+AN378)*$N378, "")</f>
        <v/>
      </c>
      <c r="AQ378" s="1" t="str">
        <f>IF(AND(AO378&gt;0, _xlfn.XLOOKUP($AM378, Discretionaries!$A$2:'Discretionaries'!$A$150, Discretionaries!$B$2:'Discretionaries'!$B$150)),AP378-$Q378,"")</f>
        <v/>
      </c>
      <c r="AR378" s="140">
        <f>IF(AG378="", 0-CPI!$B$15, AG378-CPI!$B$15)</f>
        <v>-5.3907536813108906E-2</v>
      </c>
      <c r="AS378" s="1" t="str">
        <f>IF(AND(AR378&gt;0, _xlfn.XLOOKUP($AM378, Discretionaries!$A$2:'Discretionaries'!$A$150, Discretionaries!$B$2:'Discretionaries'!$B$150)), (1+CPI!$B$15)*$N378, "")</f>
        <v/>
      </c>
      <c r="AT378" s="1" t="str">
        <f>IF(AND(AR378&gt;0, _xlfn.XLOOKUP($AM378, Discretionaries!$A$2:'Discretionaries'!$A$150, Discretionaries!$B$2:'Discretionaries'!$B$150)),AS378-$Q378,"")</f>
        <v/>
      </c>
    </row>
    <row r="379" spans="1:46" x14ac:dyDescent="0.3">
      <c r="A379" t="s">
        <v>437</v>
      </c>
      <c r="B379" t="str">
        <f t="shared" si="125"/>
        <v>26</v>
      </c>
      <c r="C379" t="s">
        <v>426</v>
      </c>
      <c r="D379" t="str">
        <f t="shared" si="126"/>
        <v>01</v>
      </c>
      <c r="E379" t="s">
        <v>21</v>
      </c>
      <c r="F379" s="139" t="s">
        <v>131</v>
      </c>
      <c r="G379" t="s">
        <v>132</v>
      </c>
      <c r="H379" s="156">
        <v>5000</v>
      </c>
      <c r="I379" s="156">
        <v>5565</v>
      </c>
      <c r="J379" s="156">
        <v>5000</v>
      </c>
      <c r="K379" s="156">
        <v>720</v>
      </c>
      <c r="L379" s="156">
        <v>5000</v>
      </c>
      <c r="M379" s="156">
        <v>235</v>
      </c>
      <c r="N379" s="156">
        <v>5000</v>
      </c>
      <c r="O379" s="156">
        <v>5000</v>
      </c>
      <c r="P379" s="156">
        <v>5000</v>
      </c>
      <c r="Q379" s="156">
        <v>5000</v>
      </c>
      <c r="R379" s="156">
        <v>5000</v>
      </c>
      <c r="S379" s="156">
        <f t="shared" si="127"/>
        <v>0</v>
      </c>
      <c r="T379" s="156">
        <f t="shared" si="128"/>
        <v>0</v>
      </c>
      <c r="U379" s="140">
        <f t="shared" si="129"/>
        <v>0</v>
      </c>
      <c r="V379" s="140">
        <f t="shared" si="130"/>
        <v>0.113</v>
      </c>
      <c r="W379" s="140">
        <f t="shared" si="131"/>
        <v>-0.85599999999999998</v>
      </c>
      <c r="X379" s="140">
        <f t="shared" si="132"/>
        <v>-0.95299999999999996</v>
      </c>
      <c r="Y379" s="140">
        <f t="shared" si="133"/>
        <v>0</v>
      </c>
      <c r="Z379" s="140">
        <f t="shared" si="134"/>
        <v>-0.87061994609164417</v>
      </c>
      <c r="AA379" s="140">
        <f t="shared" si="135"/>
        <v>0</v>
      </c>
      <c r="AB379" s="140">
        <f t="shared" si="136"/>
        <v>-0.67361111111111116</v>
      </c>
      <c r="AC379" s="140">
        <f t="shared" si="137"/>
        <v>0</v>
      </c>
      <c r="AD379" s="140">
        <f t="shared" si="138"/>
        <v>0</v>
      </c>
      <c r="AE379" s="140">
        <f t="shared" si="139"/>
        <v>0</v>
      </c>
      <c r="AF379" s="140">
        <f t="shared" si="140"/>
        <v>0</v>
      </c>
      <c r="AG379" s="140">
        <f t="shared" si="141"/>
        <v>0</v>
      </c>
      <c r="AH379" s="140">
        <f t="shared" si="142"/>
        <v>0</v>
      </c>
      <c r="AI379" s="140">
        <f t="shared" si="143"/>
        <v>0</v>
      </c>
      <c r="AJ379" s="140">
        <f t="shared" si="144"/>
        <v>0</v>
      </c>
      <c r="AK379" s="140">
        <f t="shared" si="145"/>
        <v>0</v>
      </c>
      <c r="AL379" s="140">
        <f t="shared" si="146"/>
        <v>0</v>
      </c>
      <c r="AM379" t="str">
        <f t="shared" si="147"/>
        <v>4241-000: Training Benefits</v>
      </c>
      <c r="AN379" s="140">
        <f t="shared" si="148"/>
        <v>0</v>
      </c>
      <c r="AO379" s="140">
        <f t="shared" si="149"/>
        <v>0</v>
      </c>
      <c r="AP379" s="1" t="str">
        <f>IF(AND(AO379&gt;0, _xlfn.XLOOKUP($AM379, Discretionaries!$A$2:'Discretionaries'!$A$150, Discretionaries!$B$2:'Discretionaries'!$B$150)), (1+AN379)*$N379, "")</f>
        <v/>
      </c>
      <c r="AQ379" s="1" t="str">
        <f>IF(AND(AO379&gt;0, _xlfn.XLOOKUP($AM379, Discretionaries!$A$2:'Discretionaries'!$A$150, Discretionaries!$B$2:'Discretionaries'!$B$150)),AP379-$Q379,"")</f>
        <v/>
      </c>
      <c r="AR379" s="140">
        <f>IF(AG379="", 0-CPI!$B$15, AG379-CPI!$B$15)</f>
        <v>-3.8999999999999993E-2</v>
      </c>
      <c r="AS379" s="1" t="str">
        <f>IF(AND(AR379&gt;0, _xlfn.XLOOKUP($AM379, Discretionaries!$A$2:'Discretionaries'!$A$150, Discretionaries!$B$2:'Discretionaries'!$B$150)), (1+CPI!$B$15)*$N379, "")</f>
        <v/>
      </c>
      <c r="AT379" s="1" t="str">
        <f>IF(AND(AR379&gt;0, _xlfn.XLOOKUP($AM379, Discretionaries!$A$2:'Discretionaries'!$A$150, Discretionaries!$B$2:'Discretionaries'!$B$150)),AS379-$Q379,"")</f>
        <v/>
      </c>
    </row>
    <row r="380" spans="1:46" x14ac:dyDescent="0.3">
      <c r="A380" t="s">
        <v>437</v>
      </c>
      <c r="B380" t="str">
        <f t="shared" si="125"/>
        <v>26</v>
      </c>
      <c r="C380" t="s">
        <v>426</v>
      </c>
      <c r="D380" t="str">
        <f t="shared" si="126"/>
        <v>01</v>
      </c>
      <c r="E380" t="s">
        <v>21</v>
      </c>
      <c r="F380" s="139" t="s">
        <v>307</v>
      </c>
      <c r="G380" t="s">
        <v>308</v>
      </c>
      <c r="H380" s="156">
        <v>0</v>
      </c>
      <c r="I380" s="156">
        <v>0</v>
      </c>
      <c r="J380" s="156">
        <v>0</v>
      </c>
      <c r="K380" s="156">
        <v>0</v>
      </c>
      <c r="L380" s="156">
        <v>0</v>
      </c>
      <c r="M380" s="156">
        <v>0</v>
      </c>
      <c r="N380" s="156">
        <v>8000</v>
      </c>
      <c r="O380" s="156">
        <v>8000</v>
      </c>
      <c r="P380" s="156">
        <v>8000</v>
      </c>
      <c r="Q380" s="156">
        <v>8000</v>
      </c>
      <c r="R380" s="156">
        <v>8000</v>
      </c>
      <c r="S380" s="156">
        <f t="shared" si="127"/>
        <v>0</v>
      </c>
      <c r="T380" s="156">
        <f t="shared" si="128"/>
        <v>0</v>
      </c>
      <c r="U380" s="140">
        <f t="shared" si="129"/>
        <v>0</v>
      </c>
      <c r="V380" s="140" t="str">
        <f t="shared" si="130"/>
        <v/>
      </c>
      <c r="W380" s="140" t="str">
        <f t="shared" si="131"/>
        <v/>
      </c>
      <c r="X380" s="140" t="str">
        <f t="shared" si="132"/>
        <v/>
      </c>
      <c r="Y380" s="140" t="str">
        <f t="shared" si="133"/>
        <v/>
      </c>
      <c r="Z380" s="140" t="str">
        <f t="shared" si="134"/>
        <v/>
      </c>
      <c r="AA380" s="140" t="str">
        <f t="shared" si="135"/>
        <v/>
      </c>
      <c r="AB380" s="140" t="str">
        <f t="shared" si="136"/>
        <v/>
      </c>
      <c r="AC380" s="140" t="str">
        <f t="shared" si="137"/>
        <v/>
      </c>
      <c r="AD380" s="140" t="str">
        <f t="shared" si="138"/>
        <v/>
      </c>
      <c r="AE380" s="140">
        <f t="shared" si="139"/>
        <v>0</v>
      </c>
      <c r="AF380" s="140">
        <f t="shared" si="140"/>
        <v>0</v>
      </c>
      <c r="AG380" s="140">
        <f t="shared" si="141"/>
        <v>0</v>
      </c>
      <c r="AH380" s="140">
        <f t="shared" si="142"/>
        <v>0</v>
      </c>
      <c r="AI380" s="140" t="str">
        <f t="shared" si="143"/>
        <v/>
      </c>
      <c r="AJ380" s="140" t="str">
        <f t="shared" si="144"/>
        <v/>
      </c>
      <c r="AK380" s="140" t="str">
        <f t="shared" si="145"/>
        <v/>
      </c>
      <c r="AL380" s="140" t="str">
        <f t="shared" si="146"/>
        <v/>
      </c>
      <c r="AM380" t="str">
        <f t="shared" si="147"/>
        <v>4241-001: CDL Training</v>
      </c>
      <c r="AN380" s="140">
        <f t="shared" si="148"/>
        <v>0</v>
      </c>
      <c r="AO380" s="140">
        <f t="shared" si="149"/>
        <v>0</v>
      </c>
      <c r="AP380" s="1" t="str">
        <f>IF(AND(AO380&gt;0, _xlfn.XLOOKUP($AM380, Discretionaries!$A$2:'Discretionaries'!$A$150, Discretionaries!$B$2:'Discretionaries'!$B$150)), (1+AN380)*$N380, "")</f>
        <v/>
      </c>
      <c r="AQ380" s="1" t="str">
        <f>IF(AND(AO380&gt;0, _xlfn.XLOOKUP($AM380, Discretionaries!$A$2:'Discretionaries'!$A$150, Discretionaries!$B$2:'Discretionaries'!$B$150)),AP380-$Q380,"")</f>
        <v/>
      </c>
      <c r="AR380" s="140">
        <f>IF(AG380="", 0-CPI!$B$15, AG380-CPI!$B$15)</f>
        <v>-3.8999999999999993E-2</v>
      </c>
      <c r="AS380" s="1" t="str">
        <f>IF(AND(AR380&gt;0, _xlfn.XLOOKUP($AM380, Discretionaries!$A$2:'Discretionaries'!$A$150, Discretionaries!$B$2:'Discretionaries'!$B$150)), (1+CPI!$B$15)*$N380, "")</f>
        <v/>
      </c>
      <c r="AT380" s="1" t="str">
        <f>IF(AND(AR380&gt;0, _xlfn.XLOOKUP($AM380, Discretionaries!$A$2:'Discretionaries'!$A$150, Discretionaries!$B$2:'Discretionaries'!$B$150)),AS380-$Q380,"")</f>
        <v/>
      </c>
    </row>
    <row r="381" spans="1:46" x14ac:dyDescent="0.3">
      <c r="A381" t="s">
        <v>437</v>
      </c>
      <c r="B381" t="str">
        <f t="shared" si="125"/>
        <v>26</v>
      </c>
      <c r="C381" t="s">
        <v>426</v>
      </c>
      <c r="D381" t="str">
        <f t="shared" si="126"/>
        <v>01</v>
      </c>
      <c r="E381" t="s">
        <v>21</v>
      </c>
      <c r="F381" s="139" t="s">
        <v>309</v>
      </c>
      <c r="G381" t="s">
        <v>310</v>
      </c>
      <c r="H381" s="156">
        <v>50000</v>
      </c>
      <c r="I381" s="156">
        <v>69874.100000000006</v>
      </c>
      <c r="J381" s="156">
        <v>96290</v>
      </c>
      <c r="K381" s="156">
        <v>96290</v>
      </c>
      <c r="L381" s="156">
        <v>96290</v>
      </c>
      <c r="M381" s="156">
        <v>96290</v>
      </c>
      <c r="N381" s="156">
        <v>96290</v>
      </c>
      <c r="O381" s="156">
        <v>96290</v>
      </c>
      <c r="P381" s="156">
        <v>96290</v>
      </c>
      <c r="Q381" s="156">
        <v>96290</v>
      </c>
      <c r="R381" s="156">
        <v>96290</v>
      </c>
      <c r="S381" s="156">
        <f t="shared" si="127"/>
        <v>0</v>
      </c>
      <c r="T381" s="156">
        <f t="shared" si="128"/>
        <v>0</v>
      </c>
      <c r="U381" s="140">
        <f t="shared" si="129"/>
        <v>0</v>
      </c>
      <c r="V381" s="140">
        <f t="shared" si="130"/>
        <v>0.39748200000000011</v>
      </c>
      <c r="W381" s="140">
        <f t="shared" si="131"/>
        <v>0</v>
      </c>
      <c r="X381" s="140">
        <f t="shared" si="132"/>
        <v>0</v>
      </c>
      <c r="Y381" s="140">
        <f t="shared" si="133"/>
        <v>0.92579999999999996</v>
      </c>
      <c r="Z381" s="140">
        <f t="shared" si="134"/>
        <v>0.378049949838352</v>
      </c>
      <c r="AA381" s="140">
        <f t="shared" si="135"/>
        <v>0</v>
      </c>
      <c r="AB381" s="140">
        <f t="shared" si="136"/>
        <v>0</v>
      </c>
      <c r="AC381" s="140">
        <f t="shared" si="137"/>
        <v>0</v>
      </c>
      <c r="AD381" s="140">
        <f t="shared" si="138"/>
        <v>0.92579999999999996</v>
      </c>
      <c r="AE381" s="140">
        <f t="shared" si="139"/>
        <v>0</v>
      </c>
      <c r="AF381" s="140">
        <f t="shared" si="140"/>
        <v>0</v>
      </c>
      <c r="AG381" s="140">
        <f t="shared" si="141"/>
        <v>0</v>
      </c>
      <c r="AH381" s="140">
        <f t="shared" si="142"/>
        <v>0</v>
      </c>
      <c r="AI381" s="140">
        <f t="shared" si="143"/>
        <v>0.92579999999999996</v>
      </c>
      <c r="AJ381" s="140">
        <f t="shared" si="144"/>
        <v>0.92579999999999996</v>
      </c>
      <c r="AK381" s="140">
        <f t="shared" si="145"/>
        <v>0.92579999999999996</v>
      </c>
      <c r="AL381" s="140">
        <f t="shared" si="146"/>
        <v>0.92579999999999996</v>
      </c>
      <c r="AM381" t="str">
        <f t="shared" si="147"/>
        <v>4311-000: Engineering Services</v>
      </c>
      <c r="AN381" s="140">
        <f t="shared" si="148"/>
        <v>0.30859999999999999</v>
      </c>
      <c r="AO381" s="140">
        <f t="shared" si="149"/>
        <v>-0.30859999999999999</v>
      </c>
      <c r="AP381" s="1" t="str">
        <f>IF(AND(AO381&gt;0, _xlfn.XLOOKUP($AM381, Discretionaries!$A$2:'Discretionaries'!$A$150, Discretionaries!$B$2:'Discretionaries'!$B$150)), (1+AN381)*$N381, "")</f>
        <v/>
      </c>
      <c r="AQ381" s="1" t="str">
        <f>IF(AND(AO381&gt;0, _xlfn.XLOOKUP($AM381, Discretionaries!$A$2:'Discretionaries'!$A$150, Discretionaries!$B$2:'Discretionaries'!$B$150)),AP381-$Q381,"")</f>
        <v/>
      </c>
      <c r="AR381" s="140">
        <f>IF(AG381="", 0-CPI!$B$15, AG381-CPI!$B$15)</f>
        <v>-3.8999999999999993E-2</v>
      </c>
      <c r="AS381" s="1" t="str">
        <f>IF(AND(AR381&gt;0, _xlfn.XLOOKUP($AM381, Discretionaries!$A$2:'Discretionaries'!$A$150, Discretionaries!$B$2:'Discretionaries'!$B$150)), (1+CPI!$B$15)*$N381, "")</f>
        <v/>
      </c>
      <c r="AT381" s="1" t="str">
        <f>IF(AND(AR381&gt;0, _xlfn.XLOOKUP($AM381, Discretionaries!$A$2:'Discretionaries'!$A$150, Discretionaries!$B$2:'Discretionaries'!$B$150)),AS381-$Q381,"")</f>
        <v/>
      </c>
    </row>
    <row r="382" spans="1:46" x14ac:dyDescent="0.3">
      <c r="A382" t="s">
        <v>437</v>
      </c>
      <c r="B382" t="str">
        <f t="shared" si="125"/>
        <v>26</v>
      </c>
      <c r="C382" t="s">
        <v>426</v>
      </c>
      <c r="D382" t="str">
        <f t="shared" si="126"/>
        <v>01</v>
      </c>
      <c r="E382" t="s">
        <v>21</v>
      </c>
      <c r="F382" s="139" t="s">
        <v>28</v>
      </c>
      <c r="G382" t="s">
        <v>29</v>
      </c>
      <c r="H382" s="156">
        <v>60000</v>
      </c>
      <c r="I382" s="156">
        <v>105215</v>
      </c>
      <c r="J382" s="156">
        <v>90000</v>
      </c>
      <c r="K382" s="156">
        <v>152398</v>
      </c>
      <c r="L382" s="156">
        <v>130000</v>
      </c>
      <c r="M382" s="156">
        <v>130250</v>
      </c>
      <c r="N382" s="156">
        <v>130000</v>
      </c>
      <c r="O382" s="156">
        <v>130000</v>
      </c>
      <c r="P382" s="156">
        <v>130000</v>
      </c>
      <c r="Q382" s="156">
        <v>130000</v>
      </c>
      <c r="R382" s="156">
        <v>130000</v>
      </c>
      <c r="S382" s="156">
        <f t="shared" si="127"/>
        <v>0</v>
      </c>
      <c r="T382" s="156">
        <f t="shared" si="128"/>
        <v>0</v>
      </c>
      <c r="U382" s="140">
        <f t="shared" si="129"/>
        <v>0</v>
      </c>
      <c r="V382" s="140">
        <f t="shared" si="130"/>
        <v>0.75358333333333338</v>
      </c>
      <c r="W382" s="140">
        <f t="shared" si="131"/>
        <v>0.6933111111111111</v>
      </c>
      <c r="X382" s="140">
        <f t="shared" si="132"/>
        <v>1.9230769230769232E-3</v>
      </c>
      <c r="Y382" s="140">
        <f t="shared" si="133"/>
        <v>0.5</v>
      </c>
      <c r="Z382" s="140">
        <f t="shared" si="134"/>
        <v>0.44844366297581145</v>
      </c>
      <c r="AA382" s="140">
        <f t="shared" si="135"/>
        <v>0.44444444444444442</v>
      </c>
      <c r="AB382" s="140">
        <f t="shared" si="136"/>
        <v>-0.14532999120723369</v>
      </c>
      <c r="AC382" s="140">
        <f t="shared" si="137"/>
        <v>0</v>
      </c>
      <c r="AD382" s="140">
        <f t="shared" si="138"/>
        <v>1.1666666666666667</v>
      </c>
      <c r="AE382" s="140">
        <f t="shared" si="139"/>
        <v>0</v>
      </c>
      <c r="AF382" s="140">
        <f t="shared" si="140"/>
        <v>0</v>
      </c>
      <c r="AG382" s="140">
        <f t="shared" si="141"/>
        <v>0</v>
      </c>
      <c r="AH382" s="140">
        <f t="shared" si="142"/>
        <v>0</v>
      </c>
      <c r="AI382" s="140">
        <f t="shared" si="143"/>
        <v>1.1666666666666667</v>
      </c>
      <c r="AJ382" s="140">
        <f t="shared" si="144"/>
        <v>1.1666666666666667</v>
      </c>
      <c r="AK382" s="140">
        <f t="shared" si="145"/>
        <v>1.1666666666666667</v>
      </c>
      <c r="AL382" s="140">
        <f t="shared" si="146"/>
        <v>1.1666666666666667</v>
      </c>
      <c r="AM382" t="str">
        <f t="shared" si="147"/>
        <v>4330-000: MGMT services Services</v>
      </c>
      <c r="AN382" s="140">
        <f t="shared" si="148"/>
        <v>0.31481481481481483</v>
      </c>
      <c r="AO382" s="140">
        <f t="shared" si="149"/>
        <v>-0.31481481481481483</v>
      </c>
      <c r="AP382" s="1" t="str">
        <f>IF(AND(AO382&gt;0, _xlfn.XLOOKUP($AM382, Discretionaries!$A$2:'Discretionaries'!$A$150, Discretionaries!$B$2:'Discretionaries'!$B$150)), (1+AN382)*$N382, "")</f>
        <v/>
      </c>
      <c r="AQ382" s="1" t="str">
        <f>IF(AND(AO382&gt;0, _xlfn.XLOOKUP($AM382, Discretionaries!$A$2:'Discretionaries'!$A$150, Discretionaries!$B$2:'Discretionaries'!$B$150)),AP382-$Q382,"")</f>
        <v/>
      </c>
      <c r="AR382" s="140">
        <f>IF(AG382="", 0-CPI!$B$15, AG382-CPI!$B$15)</f>
        <v>-3.8999999999999993E-2</v>
      </c>
      <c r="AS382" s="1" t="str">
        <f>IF(AND(AR382&gt;0, _xlfn.XLOOKUP($AM382, Discretionaries!$A$2:'Discretionaries'!$A$150, Discretionaries!$B$2:'Discretionaries'!$B$150)), (1+CPI!$B$15)*$N382, "")</f>
        <v/>
      </c>
      <c r="AT382" s="1" t="str">
        <f>IF(AND(AR382&gt;0, _xlfn.XLOOKUP($AM382, Discretionaries!$A$2:'Discretionaries'!$A$150, Discretionaries!$B$2:'Discretionaries'!$B$150)),AS382-$Q382,"")</f>
        <v/>
      </c>
    </row>
    <row r="383" spans="1:46" x14ac:dyDescent="0.3">
      <c r="A383" t="s">
        <v>437</v>
      </c>
      <c r="B383" t="str">
        <f t="shared" si="125"/>
        <v>26</v>
      </c>
      <c r="C383" t="s">
        <v>426</v>
      </c>
      <c r="D383" t="str">
        <f t="shared" si="126"/>
        <v>01</v>
      </c>
      <c r="E383" t="s">
        <v>21</v>
      </c>
      <c r="F383" s="139" t="s">
        <v>311</v>
      </c>
      <c r="G383" t="s">
        <v>312</v>
      </c>
      <c r="H383" s="156">
        <v>0</v>
      </c>
      <c r="I383" s="156">
        <v>0</v>
      </c>
      <c r="J383" s="156">
        <v>0</v>
      </c>
      <c r="K383" s="156">
        <v>0</v>
      </c>
      <c r="L383" s="156">
        <v>0</v>
      </c>
      <c r="M383" s="156">
        <v>0</v>
      </c>
      <c r="N383" s="156">
        <v>64000</v>
      </c>
      <c r="O383" s="156">
        <v>64000</v>
      </c>
      <c r="P383" s="156">
        <v>64000</v>
      </c>
      <c r="Q383" s="156">
        <v>64000</v>
      </c>
      <c r="R383" s="156">
        <v>64000</v>
      </c>
      <c r="S383" s="156">
        <f t="shared" si="127"/>
        <v>0</v>
      </c>
      <c r="T383" s="156">
        <f t="shared" si="128"/>
        <v>0</v>
      </c>
      <c r="U383" s="140">
        <f t="shared" si="129"/>
        <v>0</v>
      </c>
      <c r="V383" s="140" t="str">
        <f t="shared" si="130"/>
        <v/>
      </c>
      <c r="W383" s="140" t="str">
        <f t="shared" si="131"/>
        <v/>
      </c>
      <c r="X383" s="140" t="str">
        <f t="shared" si="132"/>
        <v/>
      </c>
      <c r="Y383" s="140" t="str">
        <f t="shared" si="133"/>
        <v/>
      </c>
      <c r="Z383" s="140" t="str">
        <f t="shared" si="134"/>
        <v/>
      </c>
      <c r="AA383" s="140" t="str">
        <f t="shared" si="135"/>
        <v/>
      </c>
      <c r="AB383" s="140" t="str">
        <f t="shared" si="136"/>
        <v/>
      </c>
      <c r="AC383" s="140" t="str">
        <f t="shared" si="137"/>
        <v/>
      </c>
      <c r="AD383" s="140" t="str">
        <f t="shared" si="138"/>
        <v/>
      </c>
      <c r="AE383" s="140">
        <f t="shared" si="139"/>
        <v>0</v>
      </c>
      <c r="AF383" s="140">
        <f t="shared" si="140"/>
        <v>0</v>
      </c>
      <c r="AG383" s="140">
        <f t="shared" si="141"/>
        <v>0</v>
      </c>
      <c r="AH383" s="140">
        <f t="shared" si="142"/>
        <v>0</v>
      </c>
      <c r="AI383" s="140" t="str">
        <f t="shared" si="143"/>
        <v/>
      </c>
      <c r="AJ383" s="140" t="str">
        <f t="shared" si="144"/>
        <v/>
      </c>
      <c r="AK383" s="140" t="str">
        <f t="shared" si="145"/>
        <v/>
      </c>
      <c r="AL383" s="140" t="str">
        <f t="shared" si="146"/>
        <v/>
      </c>
      <c r="AM383" t="str">
        <f t="shared" si="147"/>
        <v>4333-000: Work Zone Safety - Services</v>
      </c>
      <c r="AN383" s="140">
        <f t="shared" si="148"/>
        <v>0</v>
      </c>
      <c r="AO383" s="140">
        <f t="shared" si="149"/>
        <v>0</v>
      </c>
      <c r="AP383" s="1" t="str">
        <f>IF(AND(AO383&gt;0, _xlfn.XLOOKUP($AM383, Discretionaries!$A$2:'Discretionaries'!$A$150, Discretionaries!$B$2:'Discretionaries'!$B$150)), (1+AN383)*$N383, "")</f>
        <v/>
      </c>
      <c r="AQ383" s="1" t="str">
        <f>IF(AND(AO383&gt;0, _xlfn.XLOOKUP($AM383, Discretionaries!$A$2:'Discretionaries'!$A$150, Discretionaries!$B$2:'Discretionaries'!$B$150)),AP383-$Q383,"")</f>
        <v/>
      </c>
      <c r="AR383" s="140">
        <f>IF(AG383="", 0-CPI!$B$15, AG383-CPI!$B$15)</f>
        <v>-3.8999999999999993E-2</v>
      </c>
      <c r="AS383" s="1" t="str">
        <f>IF(AND(AR383&gt;0, _xlfn.XLOOKUP($AM383, Discretionaries!$A$2:'Discretionaries'!$A$150, Discretionaries!$B$2:'Discretionaries'!$B$150)), (1+CPI!$B$15)*$N383, "")</f>
        <v/>
      </c>
      <c r="AT383" s="1" t="str">
        <f>IF(AND(AR383&gt;0, _xlfn.XLOOKUP($AM383, Discretionaries!$A$2:'Discretionaries'!$A$150, Discretionaries!$B$2:'Discretionaries'!$B$150)),AS383-$Q383,"")</f>
        <v/>
      </c>
    </row>
    <row r="384" spans="1:46" x14ac:dyDescent="0.3">
      <c r="A384" t="s">
        <v>437</v>
      </c>
      <c r="B384" t="str">
        <f t="shared" si="125"/>
        <v>26</v>
      </c>
      <c r="C384" t="s">
        <v>426</v>
      </c>
      <c r="D384" t="str">
        <f t="shared" si="126"/>
        <v>01</v>
      </c>
      <c r="E384" t="s">
        <v>21</v>
      </c>
      <c r="F384" s="139" t="s">
        <v>144</v>
      </c>
      <c r="G384" t="s">
        <v>145</v>
      </c>
      <c r="H384" s="156">
        <v>2500</v>
      </c>
      <c r="I384" s="156">
        <v>1232.27</v>
      </c>
      <c r="J384" s="156">
        <v>2500</v>
      </c>
      <c r="K384" s="156">
        <v>1309.55</v>
      </c>
      <c r="L384" s="156">
        <v>2500</v>
      </c>
      <c r="M384" s="156">
        <v>1333.56</v>
      </c>
      <c r="N384" s="156">
        <v>2500</v>
      </c>
      <c r="O384" s="156">
        <v>2000</v>
      </c>
      <c r="P384" s="156">
        <v>2000</v>
      </c>
      <c r="Q384" s="156">
        <v>2000</v>
      </c>
      <c r="R384" s="156">
        <v>2500</v>
      </c>
      <c r="S384" s="156">
        <f t="shared" si="127"/>
        <v>-500</v>
      </c>
      <c r="T384" s="156">
        <f t="shared" si="128"/>
        <v>-500</v>
      </c>
      <c r="U384" s="140">
        <f t="shared" si="129"/>
        <v>-0.2</v>
      </c>
      <c r="V384" s="140">
        <f t="shared" si="130"/>
        <v>-0.50709199999999999</v>
      </c>
      <c r="W384" s="140">
        <f t="shared" si="131"/>
        <v>-0.47617999999999999</v>
      </c>
      <c r="X384" s="140">
        <f t="shared" si="132"/>
        <v>-0.46657600000000005</v>
      </c>
      <c r="Y384" s="140">
        <f t="shared" si="133"/>
        <v>0</v>
      </c>
      <c r="Z384" s="140">
        <f t="shared" si="134"/>
        <v>6.2713528690952453E-2</v>
      </c>
      <c r="AA384" s="140">
        <f t="shared" si="135"/>
        <v>0</v>
      </c>
      <c r="AB384" s="140">
        <f t="shared" si="136"/>
        <v>1.8334542400061084E-2</v>
      </c>
      <c r="AC384" s="140">
        <f t="shared" si="137"/>
        <v>0</v>
      </c>
      <c r="AD384" s="140">
        <f t="shared" si="138"/>
        <v>0</v>
      </c>
      <c r="AE384" s="140">
        <f t="shared" si="139"/>
        <v>-0.2</v>
      </c>
      <c r="AF384" s="140">
        <f t="shared" si="140"/>
        <v>-0.2</v>
      </c>
      <c r="AG384" s="140">
        <f t="shared" si="141"/>
        <v>-0.2</v>
      </c>
      <c r="AH384" s="140">
        <f t="shared" si="142"/>
        <v>0</v>
      </c>
      <c r="AI384" s="140">
        <f t="shared" si="143"/>
        <v>-0.2</v>
      </c>
      <c r="AJ384" s="140">
        <f t="shared" si="144"/>
        <v>-0.2</v>
      </c>
      <c r="AK384" s="140">
        <f t="shared" si="145"/>
        <v>-0.2</v>
      </c>
      <c r="AL384" s="140">
        <f t="shared" si="146"/>
        <v>0</v>
      </c>
      <c r="AM384" t="str">
        <f t="shared" si="147"/>
        <v>4341-000: Telephone Services</v>
      </c>
      <c r="AN384" s="140">
        <f t="shared" si="148"/>
        <v>0</v>
      </c>
      <c r="AO384" s="140">
        <f t="shared" si="149"/>
        <v>-0.2</v>
      </c>
      <c r="AP384" s="1" t="str">
        <f>IF(AND(AO384&gt;0, _xlfn.XLOOKUP($AM384, Discretionaries!$A$2:'Discretionaries'!$A$150, Discretionaries!$B$2:'Discretionaries'!$B$150)), (1+AN384)*$N384, "")</f>
        <v/>
      </c>
      <c r="AQ384" s="1" t="str">
        <f>IF(AND(AO384&gt;0, _xlfn.XLOOKUP($AM384, Discretionaries!$A$2:'Discretionaries'!$A$150, Discretionaries!$B$2:'Discretionaries'!$B$150)),AP384-$Q384,"")</f>
        <v/>
      </c>
      <c r="AR384" s="140">
        <f>IF(AG384="", 0-CPI!$B$15, AG384-CPI!$B$15)</f>
        <v>-0.23899999999999999</v>
      </c>
      <c r="AS384" s="1" t="str">
        <f>IF(AND(AR384&gt;0, _xlfn.XLOOKUP($AM384, Discretionaries!$A$2:'Discretionaries'!$A$150, Discretionaries!$B$2:'Discretionaries'!$B$150)), (1+CPI!$B$15)*$N384, "")</f>
        <v/>
      </c>
      <c r="AT384" s="1" t="str">
        <f>IF(AND(AR384&gt;0, _xlfn.XLOOKUP($AM384, Discretionaries!$A$2:'Discretionaries'!$A$150, Discretionaries!$B$2:'Discretionaries'!$B$150)),AS384-$Q384,"")</f>
        <v/>
      </c>
    </row>
    <row r="385" spans="1:46" x14ac:dyDescent="0.3">
      <c r="A385" t="s">
        <v>437</v>
      </c>
      <c r="B385" t="str">
        <f t="shared" si="125"/>
        <v>26</v>
      </c>
      <c r="C385" t="s">
        <v>426</v>
      </c>
      <c r="D385" t="str">
        <f t="shared" si="126"/>
        <v>01</v>
      </c>
      <c r="E385" t="s">
        <v>21</v>
      </c>
      <c r="F385" s="139" t="s">
        <v>111</v>
      </c>
      <c r="G385" t="s">
        <v>112</v>
      </c>
      <c r="H385" s="156">
        <v>1290</v>
      </c>
      <c r="I385" s="156">
        <v>385.93</v>
      </c>
      <c r="J385" s="156">
        <v>0</v>
      </c>
      <c r="K385" s="156">
        <v>0</v>
      </c>
      <c r="L385" s="156">
        <v>0</v>
      </c>
      <c r="M385" s="156">
        <v>0</v>
      </c>
      <c r="O385" s="156">
        <v>0</v>
      </c>
      <c r="P385" s="156">
        <v>0</v>
      </c>
      <c r="Q385" s="156">
        <v>0</v>
      </c>
      <c r="R385" s="156">
        <v>0</v>
      </c>
      <c r="S385" s="156">
        <f t="shared" si="127"/>
        <v>0</v>
      </c>
      <c r="T385" s="156">
        <f t="shared" si="128"/>
        <v>0</v>
      </c>
      <c r="U385" s="140" t="str">
        <f t="shared" si="129"/>
        <v/>
      </c>
      <c r="V385" s="140">
        <f t="shared" si="130"/>
        <v>-0.70082945736434099</v>
      </c>
      <c r="W385" s="140" t="str">
        <f t="shared" si="131"/>
        <v/>
      </c>
      <c r="X385" s="140" t="str">
        <f t="shared" si="132"/>
        <v/>
      </c>
      <c r="Y385" s="140">
        <f t="shared" si="133"/>
        <v>-1</v>
      </c>
      <c r="Z385" s="140">
        <f t="shared" si="134"/>
        <v>-1</v>
      </c>
      <c r="AA385" s="140" t="str">
        <f t="shared" si="135"/>
        <v/>
      </c>
      <c r="AB385" s="140" t="str">
        <f t="shared" si="136"/>
        <v/>
      </c>
      <c r="AC385" s="140" t="str">
        <f t="shared" si="137"/>
        <v/>
      </c>
      <c r="AD385" s="140">
        <f t="shared" si="138"/>
        <v>-1</v>
      </c>
      <c r="AE385" s="140" t="str">
        <f t="shared" si="139"/>
        <v/>
      </c>
      <c r="AF385" s="140" t="str">
        <f t="shared" si="140"/>
        <v/>
      </c>
      <c r="AG385" s="140" t="str">
        <f t="shared" si="141"/>
        <v/>
      </c>
      <c r="AH385" s="140" t="str">
        <f t="shared" si="142"/>
        <v/>
      </c>
      <c r="AI385" s="140">
        <f t="shared" si="143"/>
        <v>-1</v>
      </c>
      <c r="AJ385" s="140">
        <f t="shared" si="144"/>
        <v>-1</v>
      </c>
      <c r="AK385" s="140">
        <f t="shared" si="145"/>
        <v>-1</v>
      </c>
      <c r="AL385" s="140">
        <f t="shared" si="146"/>
        <v>-1</v>
      </c>
      <c r="AM385" t="str">
        <f t="shared" si="147"/>
        <v>4440-000: Rental and leases Services</v>
      </c>
      <c r="AN385" s="140">
        <f t="shared" si="148"/>
        <v>-1</v>
      </c>
      <c r="AO385" s="140">
        <f t="shared" si="149"/>
        <v>1</v>
      </c>
      <c r="AP385" s="1">
        <f>IF(AND(AO385&gt;0, _xlfn.XLOOKUP($AM385, Discretionaries!$A$2:'Discretionaries'!$A$150, Discretionaries!$B$2:'Discretionaries'!$B$150)), (1+AN385)*$N385, "")</f>
        <v>0</v>
      </c>
      <c r="AQ385" s="1">
        <f>IF(AND(AO385&gt;0, _xlfn.XLOOKUP($AM385, Discretionaries!$A$2:'Discretionaries'!$A$150, Discretionaries!$B$2:'Discretionaries'!$B$150)),AP385-$Q385,"")</f>
        <v>0</v>
      </c>
      <c r="AR385" s="140">
        <f>IF(AG385="", 0-CPI!$B$15, AG385-CPI!$B$15)</f>
        <v>-3.8999999999999993E-2</v>
      </c>
      <c r="AS385" s="1" t="str">
        <f>IF(AND(AR385&gt;0, _xlfn.XLOOKUP($AM385, Discretionaries!$A$2:'Discretionaries'!$A$150, Discretionaries!$B$2:'Discretionaries'!$B$150)), (1+CPI!$B$15)*$N385, "")</f>
        <v/>
      </c>
      <c r="AT385" s="1" t="str">
        <f>IF(AND(AR385&gt;0, _xlfn.XLOOKUP($AM385, Discretionaries!$A$2:'Discretionaries'!$A$150, Discretionaries!$B$2:'Discretionaries'!$B$150)),AS385-$Q385,"")</f>
        <v/>
      </c>
    </row>
    <row r="386" spans="1:46" x14ac:dyDescent="0.3">
      <c r="A386" t="s">
        <v>437</v>
      </c>
      <c r="B386" t="str">
        <f t="shared" ref="B386:B449" si="150">LEFT(A386, 2)</f>
        <v>26</v>
      </c>
      <c r="C386" t="s">
        <v>426</v>
      </c>
      <c r="D386" t="str">
        <f t="shared" ref="D386:D449" si="151">LEFT(C386, 2)</f>
        <v>01</v>
      </c>
      <c r="E386" t="s">
        <v>133</v>
      </c>
      <c r="F386" s="139" t="s">
        <v>160</v>
      </c>
      <c r="G386" t="s">
        <v>161</v>
      </c>
      <c r="H386" s="156">
        <v>8000</v>
      </c>
      <c r="I386" s="156">
        <v>10273.969999999999</v>
      </c>
      <c r="J386" s="156">
        <v>8800</v>
      </c>
      <c r="K386" s="156">
        <v>12047.25</v>
      </c>
      <c r="L386" s="156">
        <v>8800</v>
      </c>
      <c r="M386" s="156">
        <v>9927.4599999999991</v>
      </c>
      <c r="N386" s="156">
        <v>10950</v>
      </c>
      <c r="O386" s="156">
        <v>10950</v>
      </c>
      <c r="P386" s="156">
        <v>10950</v>
      </c>
      <c r="Q386" s="156">
        <v>10950</v>
      </c>
      <c r="R386" s="156">
        <v>10950</v>
      </c>
      <c r="S386" s="156">
        <f t="shared" ref="S386:S449" si="152">Q386 - N386</f>
        <v>0</v>
      </c>
      <c r="T386" s="156">
        <f t="shared" ref="T386:T449" si="153">Q386 - R386</f>
        <v>0</v>
      </c>
      <c r="U386" s="140">
        <f t="shared" ref="U386:U449" si="154">IFERROR((Q386 - N386) / N386, "")</f>
        <v>0</v>
      </c>
      <c r="V386" s="140">
        <f t="shared" ref="V386:V449" si="155">IFERROR((I386 - H386) / H386, "")</f>
        <v>0.28424624999999992</v>
      </c>
      <c r="W386" s="140">
        <f t="shared" ref="W386:W449" si="156">IFERROR((K386 - J386) / J386, "")</f>
        <v>0.36900568181818183</v>
      </c>
      <c r="X386" s="140">
        <f t="shared" ref="X386:X449" si="157">IFERROR((M386 - L386) / L386, "")</f>
        <v>0.12812045454545445</v>
      </c>
      <c r="Y386" s="140">
        <f t="shared" ref="Y386:Y449" si="158">IFERROR((J386 - H386) / H386, "")</f>
        <v>0.1</v>
      </c>
      <c r="Z386" s="140">
        <f t="shared" ref="Z386:Z449" si="159">IFERROR((K386 - I386) / I386, "")</f>
        <v>0.17259929705848867</v>
      </c>
      <c r="AA386" s="140">
        <f t="shared" ref="AA386:AA449" si="160">IFERROR((L386 - J386) / J386, "")</f>
        <v>0</v>
      </c>
      <c r="AB386" s="140">
        <f t="shared" ref="AB386:AB449" si="161">IFERROR((M386 - K386) / K386, "")</f>
        <v>-0.17595633858349424</v>
      </c>
      <c r="AC386" s="140">
        <f t="shared" ref="AC386:AC449" si="162">IFERROR((N386 - L386) / L386, "")</f>
        <v>0.24431818181818182</v>
      </c>
      <c r="AD386" s="140">
        <f t="shared" ref="AD386:AD449" si="163">IFERROR((N386 - H386) / H386, "")</f>
        <v>0.36875000000000002</v>
      </c>
      <c r="AE386" s="140">
        <f t="shared" ref="AE386:AE449" si="164">IFERROR((O386 - N386) / N386, "")</f>
        <v>0</v>
      </c>
      <c r="AF386" s="140">
        <f t="shared" ref="AF386:AF449" si="165">IFERROR((P386 - N386) / N386, "")</f>
        <v>0</v>
      </c>
      <c r="AG386" s="140">
        <f t="shared" ref="AG386:AG449" si="166">IFERROR((Q386 - N386) / N386, "")</f>
        <v>0</v>
      </c>
      <c r="AH386" s="140">
        <f t="shared" ref="AH386:AH449" si="167">IFERROR((R386 - N386) / N386, "")</f>
        <v>0</v>
      </c>
      <c r="AI386" s="140">
        <f t="shared" ref="AI386:AI449" si="168">IFERROR((O386 - H386) / H386, "")</f>
        <v>0.36875000000000002</v>
      </c>
      <c r="AJ386" s="140">
        <f t="shared" ref="AJ386:AJ449" si="169">IFERROR((P386 - H386) / H386, "")</f>
        <v>0.36875000000000002</v>
      </c>
      <c r="AK386" s="140">
        <f t="shared" ref="AK386:AK449" si="170">IFERROR((Q386 - H386) / H386, "")</f>
        <v>0.36875000000000002</v>
      </c>
      <c r="AL386" s="140">
        <f t="shared" ref="AL386:AL449" si="171">IFERROR((R386 - H386) / H386, "")</f>
        <v>0.36875000000000002</v>
      </c>
      <c r="AM386" t="str">
        <f t="shared" ref="AM386:AM449" si="172">_xlfn.CONCAT(TRIM(F386), ": ", TRIM(G386))</f>
        <v>4410-000: Electric Services</v>
      </c>
      <c r="AN386" s="140">
        <f t="shared" si="148"/>
        <v>0.11477272727272729</v>
      </c>
      <c r="AO386" s="140">
        <f t="shared" si="149"/>
        <v>-0.11477272727272729</v>
      </c>
      <c r="AP386" s="1" t="str">
        <f>IF(AND(AO386&gt;0, _xlfn.XLOOKUP($AM386, Discretionaries!$A$2:'Discretionaries'!$A$150, Discretionaries!$B$2:'Discretionaries'!$B$150)), (1+AN386)*$N386, "")</f>
        <v/>
      </c>
      <c r="AQ386" s="1" t="str">
        <f>IF(AND(AO386&gt;0, _xlfn.XLOOKUP($AM386, Discretionaries!$A$2:'Discretionaries'!$A$150, Discretionaries!$B$2:'Discretionaries'!$B$150)),AP386-$Q386,"")</f>
        <v/>
      </c>
      <c r="AR386" s="140">
        <f>IF(AG386="", 0-CPI!$B$15, AG386-CPI!$B$15)</f>
        <v>-3.8999999999999993E-2</v>
      </c>
      <c r="AS386" s="1" t="str">
        <f>IF(AND(AR386&gt;0, _xlfn.XLOOKUP($AM386, Discretionaries!$A$2:'Discretionaries'!$A$150, Discretionaries!$B$2:'Discretionaries'!$B$150)), (1+CPI!$B$15)*$N386, "")</f>
        <v/>
      </c>
      <c r="AT386" s="1" t="str">
        <f>IF(AND(AR386&gt;0, _xlfn.XLOOKUP($AM386, Discretionaries!$A$2:'Discretionaries'!$A$150, Discretionaries!$B$2:'Discretionaries'!$B$150)),AS386-$Q386,"")</f>
        <v/>
      </c>
    </row>
    <row r="387" spans="1:46" x14ac:dyDescent="0.3">
      <c r="A387" t="s">
        <v>437</v>
      </c>
      <c r="B387" t="str">
        <f t="shared" si="150"/>
        <v>26</v>
      </c>
      <c r="C387" t="s">
        <v>426</v>
      </c>
      <c r="D387" t="str">
        <f t="shared" si="151"/>
        <v>01</v>
      </c>
      <c r="E387" t="s">
        <v>133</v>
      </c>
      <c r="F387" s="139" t="s">
        <v>134</v>
      </c>
      <c r="G387" t="s">
        <v>135</v>
      </c>
      <c r="H387" s="156">
        <v>15200</v>
      </c>
      <c r="I387" s="156">
        <v>14121.23</v>
      </c>
      <c r="J387" s="156">
        <v>15200</v>
      </c>
      <c r="K387" s="156">
        <v>12384.27</v>
      </c>
      <c r="L387" s="156">
        <v>15200</v>
      </c>
      <c r="M387" s="156">
        <v>12134.81</v>
      </c>
      <c r="N387" s="156">
        <v>15200</v>
      </c>
      <c r="O387" s="156">
        <v>15400</v>
      </c>
      <c r="P387" s="156">
        <v>15400</v>
      </c>
      <c r="Q387" s="156">
        <v>15400</v>
      </c>
      <c r="R387" s="156">
        <v>15200</v>
      </c>
      <c r="S387" s="156">
        <f t="shared" si="152"/>
        <v>200</v>
      </c>
      <c r="T387" s="156">
        <f t="shared" si="153"/>
        <v>200</v>
      </c>
      <c r="U387" s="140">
        <f t="shared" si="154"/>
        <v>1.3157894736842105E-2</v>
      </c>
      <c r="V387" s="140">
        <f t="shared" si="155"/>
        <v>-7.0971710526315818E-2</v>
      </c>
      <c r="W387" s="140">
        <f t="shared" si="156"/>
        <v>-0.18524539473684207</v>
      </c>
      <c r="X387" s="140">
        <f t="shared" si="157"/>
        <v>-0.20165723684210529</v>
      </c>
      <c r="Y387" s="140">
        <f t="shared" si="158"/>
        <v>0</v>
      </c>
      <c r="Z387" s="140">
        <f t="shared" si="159"/>
        <v>-0.12300344941623351</v>
      </c>
      <c r="AA387" s="140">
        <f t="shared" si="160"/>
        <v>0</v>
      </c>
      <c r="AB387" s="140">
        <f t="shared" si="161"/>
        <v>-2.014329467946039E-2</v>
      </c>
      <c r="AC387" s="140">
        <f t="shared" si="162"/>
        <v>0</v>
      </c>
      <c r="AD387" s="140">
        <f t="shared" si="163"/>
        <v>0</v>
      </c>
      <c r="AE387" s="140">
        <f t="shared" si="164"/>
        <v>1.3157894736842105E-2</v>
      </c>
      <c r="AF387" s="140">
        <f t="shared" si="165"/>
        <v>1.3157894736842105E-2</v>
      </c>
      <c r="AG387" s="140">
        <f t="shared" si="166"/>
        <v>1.3157894736842105E-2</v>
      </c>
      <c r="AH387" s="140">
        <f t="shared" si="167"/>
        <v>0</v>
      </c>
      <c r="AI387" s="140">
        <f t="shared" si="168"/>
        <v>1.3157894736842105E-2</v>
      </c>
      <c r="AJ387" s="140">
        <f t="shared" si="169"/>
        <v>1.3157894736842105E-2</v>
      </c>
      <c r="AK387" s="140">
        <f t="shared" si="170"/>
        <v>1.3157894736842105E-2</v>
      </c>
      <c r="AL387" s="140">
        <f t="shared" si="171"/>
        <v>0</v>
      </c>
      <c r="AM387" t="str">
        <f t="shared" si="172"/>
        <v>4490-000: Clothing allowance Services</v>
      </c>
      <c r="AN387" s="140">
        <f t="shared" ref="AN387:AN450" si="173">IFERROR(AVERAGE(Y387, AA387, AC387), 0)</f>
        <v>0</v>
      </c>
      <c r="AO387" s="140">
        <f t="shared" ref="AO387:AO450" si="174">IF($AG387="", 0-AN387, $AG387-AN387)</f>
        <v>1.3157894736842105E-2</v>
      </c>
      <c r="AP387" s="1">
        <f>IF(AND(AO387&gt;0, _xlfn.XLOOKUP($AM387, Discretionaries!$A$2:'Discretionaries'!$A$150, Discretionaries!$B$2:'Discretionaries'!$B$150)), (1+AN387)*$N387, "")</f>
        <v>15200</v>
      </c>
      <c r="AQ387" s="1">
        <f>IF(AND(AO387&gt;0, _xlfn.XLOOKUP($AM387, Discretionaries!$A$2:'Discretionaries'!$A$150, Discretionaries!$B$2:'Discretionaries'!$B$150)),AP387-$Q387,"")</f>
        <v>-200</v>
      </c>
      <c r="AR387" s="140">
        <f>IF(AG387="", 0-CPI!$B$15, AG387-CPI!$B$15)</f>
        <v>-2.5842105263157888E-2</v>
      </c>
      <c r="AS387" s="1" t="str">
        <f>IF(AND(AR387&gt;0, _xlfn.XLOOKUP($AM387, Discretionaries!$A$2:'Discretionaries'!$A$150, Discretionaries!$B$2:'Discretionaries'!$B$150)), (1+CPI!$B$15)*$N387, "")</f>
        <v/>
      </c>
      <c r="AT387" s="1" t="str">
        <f>IF(AND(AR387&gt;0, _xlfn.XLOOKUP($AM387, Discretionaries!$A$2:'Discretionaries'!$A$150, Discretionaries!$B$2:'Discretionaries'!$B$150)),AS387-$Q387,"")</f>
        <v/>
      </c>
    </row>
    <row r="388" spans="1:46" x14ac:dyDescent="0.3">
      <c r="A388" t="s">
        <v>437</v>
      </c>
      <c r="B388" t="str">
        <f t="shared" si="150"/>
        <v>26</v>
      </c>
      <c r="C388" t="s">
        <v>426</v>
      </c>
      <c r="D388" t="str">
        <f t="shared" si="151"/>
        <v>01</v>
      </c>
      <c r="E388" t="s">
        <v>45</v>
      </c>
      <c r="F388" s="139" t="s">
        <v>22</v>
      </c>
      <c r="G388" t="s">
        <v>23</v>
      </c>
      <c r="H388" s="156">
        <v>1500</v>
      </c>
      <c r="I388" s="156">
        <v>1800.57</v>
      </c>
      <c r="J388" s="156">
        <v>1500</v>
      </c>
      <c r="K388" s="156">
        <v>2036</v>
      </c>
      <c r="L388" s="156">
        <v>1500</v>
      </c>
      <c r="M388" s="156">
        <v>3640.8</v>
      </c>
      <c r="N388" s="156">
        <v>1500</v>
      </c>
      <c r="O388" s="156">
        <v>3000</v>
      </c>
      <c r="P388" s="156">
        <v>3000</v>
      </c>
      <c r="Q388" s="156">
        <v>3000</v>
      </c>
      <c r="R388" s="156">
        <v>1500</v>
      </c>
      <c r="S388" s="156">
        <f t="shared" si="152"/>
        <v>1500</v>
      </c>
      <c r="T388" s="156">
        <f t="shared" si="153"/>
        <v>1500</v>
      </c>
      <c r="U388" s="140">
        <f t="shared" si="154"/>
        <v>1</v>
      </c>
      <c r="V388" s="140">
        <f t="shared" si="155"/>
        <v>0.20037999999999995</v>
      </c>
      <c r="W388" s="140">
        <f t="shared" si="156"/>
        <v>0.35733333333333334</v>
      </c>
      <c r="X388" s="140">
        <f t="shared" si="157"/>
        <v>1.4272</v>
      </c>
      <c r="Y388" s="140">
        <f t="shared" si="158"/>
        <v>0</v>
      </c>
      <c r="Z388" s="140">
        <f t="shared" si="159"/>
        <v>0.13075303931532797</v>
      </c>
      <c r="AA388" s="140">
        <f t="shared" si="160"/>
        <v>0</v>
      </c>
      <c r="AB388" s="140">
        <f t="shared" si="161"/>
        <v>0.78821218074656196</v>
      </c>
      <c r="AC388" s="140">
        <f t="shared" si="162"/>
        <v>0</v>
      </c>
      <c r="AD388" s="140">
        <f t="shared" si="163"/>
        <v>0</v>
      </c>
      <c r="AE388" s="140">
        <f t="shared" si="164"/>
        <v>1</v>
      </c>
      <c r="AF388" s="140">
        <f t="shared" si="165"/>
        <v>1</v>
      </c>
      <c r="AG388" s="140">
        <f t="shared" si="166"/>
        <v>1</v>
      </c>
      <c r="AH388" s="140">
        <f t="shared" si="167"/>
        <v>0</v>
      </c>
      <c r="AI388" s="140">
        <f t="shared" si="168"/>
        <v>1</v>
      </c>
      <c r="AJ388" s="140">
        <f t="shared" si="169"/>
        <v>1</v>
      </c>
      <c r="AK388" s="140">
        <f t="shared" si="170"/>
        <v>1</v>
      </c>
      <c r="AL388" s="140">
        <f t="shared" si="171"/>
        <v>0</v>
      </c>
      <c r="AM388" t="str">
        <f t="shared" si="172"/>
        <v>4550-000: Printing Services</v>
      </c>
      <c r="AN388" s="140">
        <f t="shared" si="173"/>
        <v>0</v>
      </c>
      <c r="AO388" s="140">
        <f t="shared" si="174"/>
        <v>1</v>
      </c>
      <c r="AP388" s="1">
        <f>IF(AND(AO388&gt;0, _xlfn.XLOOKUP($AM388, Discretionaries!$A$2:'Discretionaries'!$A$150, Discretionaries!$B$2:'Discretionaries'!$B$150)), (1+AN388)*$N388, "")</f>
        <v>1500</v>
      </c>
      <c r="AQ388" s="1">
        <f>IF(AND(AO388&gt;0, _xlfn.XLOOKUP($AM388, Discretionaries!$A$2:'Discretionaries'!$A$150, Discretionaries!$B$2:'Discretionaries'!$B$150)),AP388-$Q388,"")</f>
        <v>-1500</v>
      </c>
      <c r="AR388" s="140">
        <f>IF(AG388="", 0-CPI!$B$15, AG388-CPI!$B$15)</f>
        <v>0.96099999999999997</v>
      </c>
      <c r="AS388" s="1">
        <f>IF(AND(AR388&gt;0, _xlfn.XLOOKUP($AM388, Discretionaries!$A$2:'Discretionaries'!$A$150, Discretionaries!$B$2:'Discretionaries'!$B$150)), (1+CPI!$B$15)*$N388, "")</f>
        <v>1558.4999999999998</v>
      </c>
      <c r="AT388" s="1">
        <f>IF(AND(AR388&gt;0, _xlfn.XLOOKUP($AM388, Discretionaries!$A$2:'Discretionaries'!$A$150, Discretionaries!$B$2:'Discretionaries'!$B$150)),AS388-$Q388,"")</f>
        <v>-1441.5000000000002</v>
      </c>
    </row>
    <row r="389" spans="1:46" x14ac:dyDescent="0.3">
      <c r="A389" t="s">
        <v>437</v>
      </c>
      <c r="B389" t="str">
        <f t="shared" si="150"/>
        <v>26</v>
      </c>
      <c r="C389" t="s">
        <v>426</v>
      </c>
      <c r="D389" t="str">
        <f t="shared" si="151"/>
        <v>01</v>
      </c>
      <c r="E389" t="s">
        <v>45</v>
      </c>
      <c r="F389" s="139" t="s">
        <v>46</v>
      </c>
      <c r="G389" t="s">
        <v>47</v>
      </c>
      <c r="H389" s="156">
        <v>1100</v>
      </c>
      <c r="I389" s="156">
        <v>966.25</v>
      </c>
      <c r="J389" s="156">
        <v>1100</v>
      </c>
      <c r="K389" s="156">
        <v>536</v>
      </c>
      <c r="L389" s="156">
        <v>1100</v>
      </c>
      <c r="M389" s="156">
        <v>601</v>
      </c>
      <c r="N389" s="156">
        <v>1100</v>
      </c>
      <c r="O389" s="156">
        <v>5000</v>
      </c>
      <c r="P389" s="156">
        <v>5000</v>
      </c>
      <c r="Q389" s="156">
        <v>5000</v>
      </c>
      <c r="R389" s="156">
        <v>4550</v>
      </c>
      <c r="S389" s="156">
        <f t="shared" si="152"/>
        <v>3900</v>
      </c>
      <c r="T389" s="156">
        <f t="shared" si="153"/>
        <v>450</v>
      </c>
      <c r="U389" s="140">
        <f t="shared" si="154"/>
        <v>3.5454545454545454</v>
      </c>
      <c r="V389" s="140">
        <f t="shared" si="155"/>
        <v>-0.1215909090909091</v>
      </c>
      <c r="W389" s="140">
        <f t="shared" si="156"/>
        <v>-0.5127272727272727</v>
      </c>
      <c r="X389" s="140">
        <f t="shared" si="157"/>
        <v>-0.45363636363636362</v>
      </c>
      <c r="Y389" s="140">
        <f t="shared" si="158"/>
        <v>0</v>
      </c>
      <c r="Z389" s="140">
        <f t="shared" si="159"/>
        <v>-0.44527813712807246</v>
      </c>
      <c r="AA389" s="140">
        <f t="shared" si="160"/>
        <v>0</v>
      </c>
      <c r="AB389" s="140">
        <f t="shared" si="161"/>
        <v>0.12126865671641791</v>
      </c>
      <c r="AC389" s="140">
        <f t="shared" si="162"/>
        <v>0</v>
      </c>
      <c r="AD389" s="140">
        <f t="shared" si="163"/>
        <v>0</v>
      </c>
      <c r="AE389" s="140">
        <f t="shared" si="164"/>
        <v>3.5454545454545454</v>
      </c>
      <c r="AF389" s="140">
        <f t="shared" si="165"/>
        <v>3.5454545454545454</v>
      </c>
      <c r="AG389" s="140">
        <f t="shared" si="166"/>
        <v>3.5454545454545454</v>
      </c>
      <c r="AH389" s="140">
        <f t="shared" si="167"/>
        <v>3.1363636363636362</v>
      </c>
      <c r="AI389" s="140">
        <f t="shared" si="168"/>
        <v>3.5454545454545454</v>
      </c>
      <c r="AJ389" s="140">
        <f t="shared" si="169"/>
        <v>3.5454545454545454</v>
      </c>
      <c r="AK389" s="140">
        <f t="shared" si="170"/>
        <v>3.5454545454545454</v>
      </c>
      <c r="AL389" s="140">
        <f t="shared" si="171"/>
        <v>3.1363636363636362</v>
      </c>
      <c r="AM389" t="str">
        <f t="shared" si="172"/>
        <v>4560-000: Dues &amp; subs Services</v>
      </c>
      <c r="AN389" s="140">
        <f t="shared" si="173"/>
        <v>0</v>
      </c>
      <c r="AO389" s="140">
        <f t="shared" si="174"/>
        <v>3.5454545454545454</v>
      </c>
      <c r="AP389" s="1">
        <f>IF(AND(AO389&gt;0, _xlfn.XLOOKUP($AM389, Discretionaries!$A$2:'Discretionaries'!$A$150, Discretionaries!$B$2:'Discretionaries'!$B$150)), (1+AN389)*$N389, "")</f>
        <v>1100</v>
      </c>
      <c r="AQ389" s="1">
        <f>IF(AND(AO389&gt;0, _xlfn.XLOOKUP($AM389, Discretionaries!$A$2:'Discretionaries'!$A$150, Discretionaries!$B$2:'Discretionaries'!$B$150)),AP389-$Q389,"")</f>
        <v>-3900</v>
      </c>
      <c r="AR389" s="140">
        <f>IF(AG389="", 0-CPI!$B$15, AG389-CPI!$B$15)</f>
        <v>3.5064545454545453</v>
      </c>
      <c r="AS389" s="1">
        <f>IF(AND(AR389&gt;0, _xlfn.XLOOKUP($AM389, Discretionaries!$A$2:'Discretionaries'!$A$150, Discretionaries!$B$2:'Discretionaries'!$B$150)), (1+CPI!$B$15)*$N389, "")</f>
        <v>1142.8999999999999</v>
      </c>
      <c r="AT389" s="1">
        <f>IF(AND(AR389&gt;0, _xlfn.XLOOKUP($AM389, Discretionaries!$A$2:'Discretionaries'!$A$150, Discretionaries!$B$2:'Discretionaries'!$B$150)),AS389-$Q389,"")</f>
        <v>-3857.1000000000004</v>
      </c>
    </row>
    <row r="390" spans="1:46" x14ac:dyDescent="0.3">
      <c r="A390" t="s">
        <v>437</v>
      </c>
      <c r="B390" t="str">
        <f t="shared" si="150"/>
        <v>26</v>
      </c>
      <c r="C390" t="s">
        <v>426</v>
      </c>
      <c r="D390" t="str">
        <f t="shared" si="151"/>
        <v>01</v>
      </c>
      <c r="E390" t="s">
        <v>45</v>
      </c>
      <c r="F390" s="139" t="s">
        <v>26</v>
      </c>
      <c r="G390" t="s">
        <v>27</v>
      </c>
      <c r="H390" s="156">
        <v>500</v>
      </c>
      <c r="I390" s="156">
        <v>0</v>
      </c>
      <c r="J390" s="156">
        <v>500</v>
      </c>
      <c r="K390" s="156">
        <v>0</v>
      </c>
      <c r="L390" s="156">
        <v>500</v>
      </c>
      <c r="M390" s="156">
        <v>0</v>
      </c>
      <c r="N390" s="156">
        <v>500</v>
      </c>
      <c r="O390" s="156">
        <v>500</v>
      </c>
      <c r="P390" s="156">
        <v>500</v>
      </c>
      <c r="Q390" s="156">
        <v>500</v>
      </c>
      <c r="R390" s="156">
        <v>500</v>
      </c>
      <c r="S390" s="156">
        <f t="shared" si="152"/>
        <v>0</v>
      </c>
      <c r="T390" s="156">
        <f t="shared" si="153"/>
        <v>0</v>
      </c>
      <c r="U390" s="140">
        <f t="shared" si="154"/>
        <v>0</v>
      </c>
      <c r="V390" s="140">
        <f t="shared" si="155"/>
        <v>-1</v>
      </c>
      <c r="W390" s="140">
        <f t="shared" si="156"/>
        <v>-1</v>
      </c>
      <c r="X390" s="140">
        <f t="shared" si="157"/>
        <v>-1</v>
      </c>
      <c r="Y390" s="140">
        <f t="shared" si="158"/>
        <v>0</v>
      </c>
      <c r="Z390" s="140" t="str">
        <f t="shared" si="159"/>
        <v/>
      </c>
      <c r="AA390" s="140">
        <f t="shared" si="160"/>
        <v>0</v>
      </c>
      <c r="AB390" s="140" t="str">
        <f t="shared" si="161"/>
        <v/>
      </c>
      <c r="AC390" s="140">
        <f t="shared" si="162"/>
        <v>0</v>
      </c>
      <c r="AD390" s="140">
        <f t="shared" si="163"/>
        <v>0</v>
      </c>
      <c r="AE390" s="140">
        <f t="shared" si="164"/>
        <v>0</v>
      </c>
      <c r="AF390" s="140">
        <f t="shared" si="165"/>
        <v>0</v>
      </c>
      <c r="AG390" s="140">
        <f t="shared" si="166"/>
        <v>0</v>
      </c>
      <c r="AH390" s="140">
        <f t="shared" si="167"/>
        <v>0</v>
      </c>
      <c r="AI390" s="140">
        <f t="shared" si="168"/>
        <v>0</v>
      </c>
      <c r="AJ390" s="140">
        <f t="shared" si="169"/>
        <v>0</v>
      </c>
      <c r="AK390" s="140">
        <f t="shared" si="170"/>
        <v>0</v>
      </c>
      <c r="AL390" s="140">
        <f t="shared" si="171"/>
        <v>0</v>
      </c>
      <c r="AM390" t="str">
        <f t="shared" si="172"/>
        <v>4575-000: Travel &amp; mileage Services</v>
      </c>
      <c r="AN390" s="140">
        <f t="shared" si="173"/>
        <v>0</v>
      </c>
      <c r="AO390" s="140">
        <f t="shared" si="174"/>
        <v>0</v>
      </c>
      <c r="AP390" s="1" t="str">
        <f>IF(AND(AO390&gt;0, _xlfn.XLOOKUP($AM390, Discretionaries!$A$2:'Discretionaries'!$A$150, Discretionaries!$B$2:'Discretionaries'!$B$150)), (1+AN390)*$N390, "")</f>
        <v/>
      </c>
      <c r="AQ390" s="1" t="str">
        <f>IF(AND(AO390&gt;0, _xlfn.XLOOKUP($AM390, Discretionaries!$A$2:'Discretionaries'!$A$150, Discretionaries!$B$2:'Discretionaries'!$B$150)),AP390-$Q390,"")</f>
        <v/>
      </c>
      <c r="AR390" s="140">
        <f>IF(AG390="", 0-CPI!$B$15, AG390-CPI!$B$15)</f>
        <v>-3.8999999999999993E-2</v>
      </c>
      <c r="AS390" s="1" t="str">
        <f>IF(AND(AR390&gt;0, _xlfn.XLOOKUP($AM390, Discretionaries!$A$2:'Discretionaries'!$A$150, Discretionaries!$B$2:'Discretionaries'!$B$150)), (1+CPI!$B$15)*$N390, "")</f>
        <v/>
      </c>
      <c r="AT390" s="1" t="str">
        <f>IF(AND(AR390&gt;0, _xlfn.XLOOKUP($AM390, Discretionaries!$A$2:'Discretionaries'!$A$150, Discretionaries!$B$2:'Discretionaries'!$B$150)),AS390-$Q390,"")</f>
        <v/>
      </c>
    </row>
    <row r="391" spans="1:46" x14ac:dyDescent="0.3">
      <c r="A391" t="s">
        <v>437</v>
      </c>
      <c r="B391" t="str">
        <f t="shared" si="150"/>
        <v>26</v>
      </c>
      <c r="C391" t="s">
        <v>426</v>
      </c>
      <c r="D391" t="str">
        <f t="shared" si="151"/>
        <v>01</v>
      </c>
      <c r="E391" t="s">
        <v>30</v>
      </c>
      <c r="F391" s="139" t="s">
        <v>51</v>
      </c>
      <c r="G391" t="s">
        <v>48</v>
      </c>
      <c r="H391" s="156">
        <v>2000</v>
      </c>
      <c r="I391" s="156">
        <v>1577.31</v>
      </c>
      <c r="J391" s="156">
        <v>2000</v>
      </c>
      <c r="K391" s="156">
        <v>2223.15</v>
      </c>
      <c r="L391" s="156">
        <v>2000</v>
      </c>
      <c r="M391" s="156">
        <v>3791.71</v>
      </c>
      <c r="N391" s="156">
        <v>2000</v>
      </c>
      <c r="O391" s="156">
        <v>4000</v>
      </c>
      <c r="P391" s="156">
        <v>4000</v>
      </c>
      <c r="Q391" s="156">
        <v>4000</v>
      </c>
      <c r="R391" s="156">
        <v>2000</v>
      </c>
      <c r="S391" s="156">
        <f t="shared" si="152"/>
        <v>2000</v>
      </c>
      <c r="T391" s="156">
        <f t="shared" si="153"/>
        <v>2000</v>
      </c>
      <c r="U391" s="140">
        <f t="shared" si="154"/>
        <v>1</v>
      </c>
      <c r="V391" s="140">
        <f t="shared" si="155"/>
        <v>-0.21134500000000003</v>
      </c>
      <c r="W391" s="140">
        <f t="shared" si="156"/>
        <v>0.11157500000000005</v>
      </c>
      <c r="X391" s="140">
        <f t="shared" si="157"/>
        <v>0.89585500000000007</v>
      </c>
      <c r="Y391" s="140">
        <f t="shared" si="158"/>
        <v>0</v>
      </c>
      <c r="Z391" s="140">
        <f t="shared" si="159"/>
        <v>0.40945660650094157</v>
      </c>
      <c r="AA391" s="140">
        <f t="shared" si="160"/>
        <v>0</v>
      </c>
      <c r="AB391" s="140">
        <f t="shared" si="161"/>
        <v>0.70555742977306968</v>
      </c>
      <c r="AC391" s="140">
        <f t="shared" si="162"/>
        <v>0</v>
      </c>
      <c r="AD391" s="140">
        <f t="shared" si="163"/>
        <v>0</v>
      </c>
      <c r="AE391" s="140">
        <f t="shared" si="164"/>
        <v>1</v>
      </c>
      <c r="AF391" s="140">
        <f t="shared" si="165"/>
        <v>1</v>
      </c>
      <c r="AG391" s="140">
        <f t="shared" si="166"/>
        <v>1</v>
      </c>
      <c r="AH391" s="140">
        <f t="shared" si="167"/>
        <v>0</v>
      </c>
      <c r="AI391" s="140">
        <f t="shared" si="168"/>
        <v>1</v>
      </c>
      <c r="AJ391" s="140">
        <f t="shared" si="169"/>
        <v>1</v>
      </c>
      <c r="AK391" s="140">
        <f t="shared" si="170"/>
        <v>1</v>
      </c>
      <c r="AL391" s="140">
        <f t="shared" si="171"/>
        <v>0</v>
      </c>
      <c r="AM391" t="str">
        <f t="shared" si="172"/>
        <v>4620-000: Office supplies Supplies</v>
      </c>
      <c r="AN391" s="140">
        <f t="shared" si="173"/>
        <v>0</v>
      </c>
      <c r="AO391" s="140">
        <f t="shared" si="174"/>
        <v>1</v>
      </c>
      <c r="AP391" s="1">
        <f>IF(AND(AO391&gt;0, _xlfn.XLOOKUP($AM391, Discretionaries!$A$2:'Discretionaries'!$A$150, Discretionaries!$B$2:'Discretionaries'!$B$150)), (1+AN391)*$N391, "")</f>
        <v>2000</v>
      </c>
      <c r="AQ391" s="1">
        <f>IF(AND(AO391&gt;0, _xlfn.XLOOKUP($AM391, Discretionaries!$A$2:'Discretionaries'!$A$150, Discretionaries!$B$2:'Discretionaries'!$B$150)),AP391-$Q391,"")</f>
        <v>-2000</v>
      </c>
      <c r="AR391" s="140">
        <f>IF(AG391="", 0-CPI!$B$15, AG391-CPI!$B$15)</f>
        <v>0.96099999999999997</v>
      </c>
      <c r="AS391" s="1">
        <f>IF(AND(AR391&gt;0, _xlfn.XLOOKUP($AM391, Discretionaries!$A$2:'Discretionaries'!$A$150, Discretionaries!$B$2:'Discretionaries'!$B$150)), (1+CPI!$B$15)*$N391, "")</f>
        <v>2078</v>
      </c>
      <c r="AT391" s="1">
        <f>IF(AND(AR391&gt;0, _xlfn.XLOOKUP($AM391, Discretionaries!$A$2:'Discretionaries'!$A$150, Discretionaries!$B$2:'Discretionaries'!$B$150)),AS391-$Q391,"")</f>
        <v>-1922</v>
      </c>
    </row>
    <row r="392" spans="1:46" x14ac:dyDescent="0.3">
      <c r="A392" t="s">
        <v>437</v>
      </c>
      <c r="B392" t="str">
        <f t="shared" si="150"/>
        <v>26</v>
      </c>
      <c r="C392" t="s">
        <v>426</v>
      </c>
      <c r="D392" t="str">
        <f t="shared" si="151"/>
        <v>01</v>
      </c>
      <c r="E392" t="s">
        <v>30</v>
      </c>
      <c r="F392" s="139" t="s">
        <v>52</v>
      </c>
      <c r="G392" t="s">
        <v>49</v>
      </c>
      <c r="H392" s="156">
        <v>350</v>
      </c>
      <c r="I392" s="156">
        <v>210.41</v>
      </c>
      <c r="J392" s="156">
        <v>350</v>
      </c>
      <c r="K392" s="156">
        <v>315.36</v>
      </c>
      <c r="L392" s="156">
        <v>350</v>
      </c>
      <c r="M392" s="156">
        <v>476.28</v>
      </c>
      <c r="N392" s="156">
        <v>350</v>
      </c>
      <c r="O392" s="156">
        <v>475</v>
      </c>
      <c r="P392" s="156">
        <v>475</v>
      </c>
      <c r="Q392" s="156">
        <v>475</v>
      </c>
      <c r="R392" s="156">
        <v>350</v>
      </c>
      <c r="S392" s="156">
        <f t="shared" si="152"/>
        <v>125</v>
      </c>
      <c r="T392" s="156">
        <f t="shared" si="153"/>
        <v>125</v>
      </c>
      <c r="U392" s="140">
        <f t="shared" si="154"/>
        <v>0.35714285714285715</v>
      </c>
      <c r="V392" s="140">
        <f t="shared" si="155"/>
        <v>-0.39882857142857142</v>
      </c>
      <c r="W392" s="140">
        <f t="shared" si="156"/>
        <v>-9.897142857142853E-2</v>
      </c>
      <c r="X392" s="140">
        <f t="shared" si="157"/>
        <v>0.3607999999999999</v>
      </c>
      <c r="Y392" s="140">
        <f t="shared" si="158"/>
        <v>0</v>
      </c>
      <c r="Z392" s="140">
        <f t="shared" si="159"/>
        <v>0.49878808041442907</v>
      </c>
      <c r="AA392" s="140">
        <f t="shared" si="160"/>
        <v>0</v>
      </c>
      <c r="AB392" s="140">
        <f t="shared" si="161"/>
        <v>0.51027397260273955</v>
      </c>
      <c r="AC392" s="140">
        <f t="shared" si="162"/>
        <v>0</v>
      </c>
      <c r="AD392" s="140">
        <f t="shared" si="163"/>
        <v>0</v>
      </c>
      <c r="AE392" s="140">
        <f t="shared" si="164"/>
        <v>0.35714285714285715</v>
      </c>
      <c r="AF392" s="140">
        <f t="shared" si="165"/>
        <v>0.35714285714285715</v>
      </c>
      <c r="AG392" s="140">
        <f t="shared" si="166"/>
        <v>0.35714285714285715</v>
      </c>
      <c r="AH392" s="140">
        <f t="shared" si="167"/>
        <v>0</v>
      </c>
      <c r="AI392" s="140">
        <f t="shared" si="168"/>
        <v>0.35714285714285715</v>
      </c>
      <c r="AJ392" s="140">
        <f t="shared" si="169"/>
        <v>0.35714285714285715</v>
      </c>
      <c r="AK392" s="140">
        <f t="shared" si="170"/>
        <v>0.35714285714285715</v>
      </c>
      <c r="AL392" s="140">
        <f t="shared" si="171"/>
        <v>0</v>
      </c>
      <c r="AM392" t="str">
        <f t="shared" si="172"/>
        <v>4625-000: Postage Supplies</v>
      </c>
      <c r="AN392" s="140">
        <f t="shared" si="173"/>
        <v>0</v>
      </c>
      <c r="AO392" s="140">
        <f t="shared" si="174"/>
        <v>0.35714285714285715</v>
      </c>
      <c r="AP392" s="1">
        <f>IF(AND(AO392&gt;0, _xlfn.XLOOKUP($AM392, Discretionaries!$A$2:'Discretionaries'!$A$150, Discretionaries!$B$2:'Discretionaries'!$B$150)), (1+AN392)*$N392, "")</f>
        <v>350</v>
      </c>
      <c r="AQ392" s="1">
        <f>IF(AND(AO392&gt;0, _xlfn.XLOOKUP($AM392, Discretionaries!$A$2:'Discretionaries'!$A$150, Discretionaries!$B$2:'Discretionaries'!$B$150)),AP392-$Q392,"")</f>
        <v>-125</v>
      </c>
      <c r="AR392" s="140">
        <f>IF(AG392="", 0-CPI!$B$15, AG392-CPI!$B$15)</f>
        <v>0.31814285714285717</v>
      </c>
      <c r="AS392" s="1">
        <f>IF(AND(AR392&gt;0, _xlfn.XLOOKUP($AM392, Discretionaries!$A$2:'Discretionaries'!$A$150, Discretionaries!$B$2:'Discretionaries'!$B$150)), (1+CPI!$B$15)*$N392, "")</f>
        <v>363.65</v>
      </c>
      <c r="AT392" s="1">
        <f>IF(AND(AR392&gt;0, _xlfn.XLOOKUP($AM392, Discretionaries!$A$2:'Discretionaries'!$A$150, Discretionaries!$B$2:'Discretionaries'!$B$150)),AS392-$Q392,"")</f>
        <v>-111.35000000000002</v>
      </c>
    </row>
    <row r="393" spans="1:46" x14ac:dyDescent="0.3">
      <c r="A393" t="s">
        <v>437</v>
      </c>
      <c r="B393" t="str">
        <f t="shared" si="150"/>
        <v>26</v>
      </c>
      <c r="C393" t="s">
        <v>426</v>
      </c>
      <c r="D393" t="str">
        <f t="shared" si="151"/>
        <v>01</v>
      </c>
      <c r="E393" t="s">
        <v>30</v>
      </c>
      <c r="F393" s="139" t="s">
        <v>137</v>
      </c>
      <c r="G393" t="s">
        <v>138</v>
      </c>
      <c r="H393" s="156">
        <v>50000</v>
      </c>
      <c r="I393" s="156">
        <v>112478.13</v>
      </c>
      <c r="J393" s="156">
        <v>100000</v>
      </c>
      <c r="K393" s="156">
        <v>84040.59</v>
      </c>
      <c r="L393" s="156">
        <v>100000</v>
      </c>
      <c r="M393" s="156">
        <v>138586.5</v>
      </c>
      <c r="N393" s="156">
        <v>100000</v>
      </c>
      <c r="O393" s="156">
        <v>100000</v>
      </c>
      <c r="P393" s="156">
        <v>100000</v>
      </c>
      <c r="Q393" s="156">
        <v>100000</v>
      </c>
      <c r="R393" s="156">
        <v>100000</v>
      </c>
      <c r="S393" s="156">
        <f t="shared" si="152"/>
        <v>0</v>
      </c>
      <c r="T393" s="156">
        <f t="shared" si="153"/>
        <v>0</v>
      </c>
      <c r="U393" s="140">
        <f t="shared" si="154"/>
        <v>0</v>
      </c>
      <c r="V393" s="140">
        <f t="shared" si="155"/>
        <v>1.2495626000000002</v>
      </c>
      <c r="W393" s="140">
        <f t="shared" si="156"/>
        <v>-0.15959410000000004</v>
      </c>
      <c r="X393" s="140">
        <f t="shared" si="157"/>
        <v>0.38586500000000001</v>
      </c>
      <c r="Y393" s="140">
        <f t="shared" si="158"/>
        <v>1</v>
      </c>
      <c r="Z393" s="140">
        <f t="shared" si="159"/>
        <v>-0.25282728295714024</v>
      </c>
      <c r="AA393" s="140">
        <f t="shared" si="160"/>
        <v>0</v>
      </c>
      <c r="AB393" s="140">
        <f t="shared" si="161"/>
        <v>0.64904244484718643</v>
      </c>
      <c r="AC393" s="140">
        <f t="shared" si="162"/>
        <v>0</v>
      </c>
      <c r="AD393" s="140">
        <f t="shared" si="163"/>
        <v>1</v>
      </c>
      <c r="AE393" s="140">
        <f t="shared" si="164"/>
        <v>0</v>
      </c>
      <c r="AF393" s="140">
        <f t="shared" si="165"/>
        <v>0</v>
      </c>
      <c r="AG393" s="140">
        <f t="shared" si="166"/>
        <v>0</v>
      </c>
      <c r="AH393" s="140">
        <f t="shared" si="167"/>
        <v>0</v>
      </c>
      <c r="AI393" s="140">
        <f t="shared" si="168"/>
        <v>1</v>
      </c>
      <c r="AJ393" s="140">
        <f t="shared" si="169"/>
        <v>1</v>
      </c>
      <c r="AK393" s="140">
        <f t="shared" si="170"/>
        <v>1</v>
      </c>
      <c r="AL393" s="140">
        <f t="shared" si="171"/>
        <v>1</v>
      </c>
      <c r="AM393" t="str">
        <f t="shared" si="172"/>
        <v>4630-000: Maint &amp; repairs Supplies</v>
      </c>
      <c r="AN393" s="140">
        <f t="shared" si="173"/>
        <v>0.33333333333333331</v>
      </c>
      <c r="AO393" s="140">
        <f t="shared" si="174"/>
        <v>-0.33333333333333331</v>
      </c>
      <c r="AP393" s="1" t="str">
        <f>IF(AND(AO393&gt;0, _xlfn.XLOOKUP($AM393, Discretionaries!$A$2:'Discretionaries'!$A$150, Discretionaries!$B$2:'Discretionaries'!$B$150)), (1+AN393)*$N393, "")</f>
        <v/>
      </c>
      <c r="AQ393" s="1" t="str">
        <f>IF(AND(AO393&gt;0, _xlfn.XLOOKUP($AM393, Discretionaries!$A$2:'Discretionaries'!$A$150, Discretionaries!$B$2:'Discretionaries'!$B$150)),AP393-$Q393,"")</f>
        <v/>
      </c>
      <c r="AR393" s="140">
        <f>IF(AG393="", 0-CPI!$B$15, AG393-CPI!$B$15)</f>
        <v>-3.8999999999999993E-2</v>
      </c>
      <c r="AS393" s="1" t="str">
        <f>IF(AND(AR393&gt;0, _xlfn.XLOOKUP($AM393, Discretionaries!$A$2:'Discretionaries'!$A$150, Discretionaries!$B$2:'Discretionaries'!$B$150)), (1+CPI!$B$15)*$N393, "")</f>
        <v/>
      </c>
      <c r="AT393" s="1" t="str">
        <f>IF(AND(AR393&gt;0, _xlfn.XLOOKUP($AM393, Discretionaries!$A$2:'Discretionaries'!$A$150, Discretionaries!$B$2:'Discretionaries'!$B$150)),AS393-$Q393,"")</f>
        <v/>
      </c>
    </row>
    <row r="394" spans="1:46" x14ac:dyDescent="0.3">
      <c r="A394" t="s">
        <v>437</v>
      </c>
      <c r="B394" t="str">
        <f t="shared" si="150"/>
        <v>26</v>
      </c>
      <c r="C394" t="s">
        <v>426</v>
      </c>
      <c r="D394" t="str">
        <f t="shared" si="151"/>
        <v>01</v>
      </c>
      <c r="E394" t="s">
        <v>30</v>
      </c>
      <c r="F394" s="139" t="s">
        <v>168</v>
      </c>
      <c r="G394" t="s">
        <v>169</v>
      </c>
      <c r="H394" s="156">
        <v>90000</v>
      </c>
      <c r="I394" s="156">
        <v>105610.21</v>
      </c>
      <c r="J394" s="156">
        <v>90000</v>
      </c>
      <c r="K394" s="156">
        <v>63533.7</v>
      </c>
      <c r="L394" s="156">
        <v>90000</v>
      </c>
      <c r="M394" s="156">
        <v>84327.75</v>
      </c>
      <c r="N394" s="156">
        <v>90000</v>
      </c>
      <c r="O394" s="156">
        <v>90000</v>
      </c>
      <c r="P394" s="156">
        <v>90000</v>
      </c>
      <c r="Q394" s="156">
        <v>90000</v>
      </c>
      <c r="R394" s="156">
        <v>90000</v>
      </c>
      <c r="S394" s="156">
        <f t="shared" si="152"/>
        <v>0</v>
      </c>
      <c r="T394" s="156">
        <f t="shared" si="153"/>
        <v>0</v>
      </c>
      <c r="U394" s="140">
        <f t="shared" si="154"/>
        <v>0</v>
      </c>
      <c r="V394" s="140">
        <f t="shared" si="155"/>
        <v>0.17344677777777784</v>
      </c>
      <c r="W394" s="140">
        <f t="shared" si="156"/>
        <v>-0.29407000000000005</v>
      </c>
      <c r="X394" s="140">
        <f t="shared" si="157"/>
        <v>-6.3024999999999998E-2</v>
      </c>
      <c r="Y394" s="140">
        <f t="shared" si="158"/>
        <v>0</v>
      </c>
      <c r="Z394" s="140">
        <f t="shared" si="159"/>
        <v>-0.39841327841313834</v>
      </c>
      <c r="AA394" s="140">
        <f t="shared" si="160"/>
        <v>0</v>
      </c>
      <c r="AB394" s="140">
        <f t="shared" si="161"/>
        <v>0.32729165781309766</v>
      </c>
      <c r="AC394" s="140">
        <f t="shared" si="162"/>
        <v>0</v>
      </c>
      <c r="AD394" s="140">
        <f t="shared" si="163"/>
        <v>0</v>
      </c>
      <c r="AE394" s="140">
        <f t="shared" si="164"/>
        <v>0</v>
      </c>
      <c r="AF394" s="140">
        <f t="shared" si="165"/>
        <v>0</v>
      </c>
      <c r="AG394" s="140">
        <f t="shared" si="166"/>
        <v>0</v>
      </c>
      <c r="AH394" s="140">
        <f t="shared" si="167"/>
        <v>0</v>
      </c>
      <c r="AI394" s="140">
        <f t="shared" si="168"/>
        <v>0</v>
      </c>
      <c r="AJ394" s="140">
        <f t="shared" si="169"/>
        <v>0</v>
      </c>
      <c r="AK394" s="140">
        <f t="shared" si="170"/>
        <v>0</v>
      </c>
      <c r="AL394" s="140">
        <f t="shared" si="171"/>
        <v>0</v>
      </c>
      <c r="AM394" t="str">
        <f t="shared" si="172"/>
        <v>4635-000: Gasoline Supplies</v>
      </c>
      <c r="AN394" s="140">
        <f t="shared" si="173"/>
        <v>0</v>
      </c>
      <c r="AO394" s="140">
        <f t="shared" si="174"/>
        <v>0</v>
      </c>
      <c r="AP394" s="1" t="str">
        <f>IF(AND(AO394&gt;0, _xlfn.XLOOKUP($AM394, Discretionaries!$A$2:'Discretionaries'!$A$150, Discretionaries!$B$2:'Discretionaries'!$B$150)), (1+AN394)*$N394, "")</f>
        <v/>
      </c>
      <c r="AQ394" s="1" t="str">
        <f>IF(AND(AO394&gt;0, _xlfn.XLOOKUP($AM394, Discretionaries!$A$2:'Discretionaries'!$A$150, Discretionaries!$B$2:'Discretionaries'!$B$150)),AP394-$Q394,"")</f>
        <v/>
      </c>
      <c r="AR394" s="140">
        <f>IF(AG394="", 0-CPI!$B$15, AG394-CPI!$B$15)</f>
        <v>-3.8999999999999993E-2</v>
      </c>
      <c r="AS394" s="1" t="str">
        <f>IF(AND(AR394&gt;0, _xlfn.XLOOKUP($AM394, Discretionaries!$A$2:'Discretionaries'!$A$150, Discretionaries!$B$2:'Discretionaries'!$B$150)), (1+CPI!$B$15)*$N394, "")</f>
        <v/>
      </c>
      <c r="AT394" s="1" t="str">
        <f>IF(AND(AR394&gt;0, _xlfn.XLOOKUP($AM394, Discretionaries!$A$2:'Discretionaries'!$A$150, Discretionaries!$B$2:'Discretionaries'!$B$150)),AS394-$Q394,"")</f>
        <v/>
      </c>
    </row>
    <row r="395" spans="1:46" x14ac:dyDescent="0.3">
      <c r="A395" t="s">
        <v>437</v>
      </c>
      <c r="B395" t="str">
        <f t="shared" si="150"/>
        <v>26</v>
      </c>
      <c r="C395" t="s">
        <v>426</v>
      </c>
      <c r="D395" t="str">
        <f t="shared" si="151"/>
        <v>01</v>
      </c>
      <c r="E395" t="s">
        <v>30</v>
      </c>
      <c r="F395" s="139" t="s">
        <v>33</v>
      </c>
      <c r="G395" t="s">
        <v>34</v>
      </c>
      <c r="H395" s="156">
        <v>27000</v>
      </c>
      <c r="I395" s="156">
        <v>54460.13</v>
      </c>
      <c r="J395" s="156">
        <v>27000</v>
      </c>
      <c r="K395" s="156">
        <v>32584.240000000002</v>
      </c>
      <c r="L395" s="156">
        <v>27000</v>
      </c>
      <c r="M395" s="156">
        <v>30294.12</v>
      </c>
      <c r="N395" s="156">
        <v>31000</v>
      </c>
      <c r="O395" s="156">
        <v>31000</v>
      </c>
      <c r="P395" s="156">
        <v>31000</v>
      </c>
      <c r="Q395" s="156">
        <v>31000</v>
      </c>
      <c r="R395" s="156">
        <v>31000</v>
      </c>
      <c r="S395" s="156">
        <f t="shared" si="152"/>
        <v>0</v>
      </c>
      <c r="T395" s="156">
        <f t="shared" si="153"/>
        <v>0</v>
      </c>
      <c r="U395" s="140">
        <f t="shared" si="154"/>
        <v>0</v>
      </c>
      <c r="V395" s="140">
        <f t="shared" si="155"/>
        <v>1.0170418518518518</v>
      </c>
      <c r="W395" s="140">
        <f t="shared" si="156"/>
        <v>0.20682370370370376</v>
      </c>
      <c r="X395" s="140">
        <f t="shared" si="157"/>
        <v>0.1220044444444444</v>
      </c>
      <c r="Y395" s="140">
        <f t="shared" si="158"/>
        <v>0</v>
      </c>
      <c r="Z395" s="140">
        <f t="shared" si="159"/>
        <v>-0.40168633457173158</v>
      </c>
      <c r="AA395" s="140">
        <f t="shared" si="160"/>
        <v>0</v>
      </c>
      <c r="AB395" s="140">
        <f t="shared" si="161"/>
        <v>-7.0283057085265832E-2</v>
      </c>
      <c r="AC395" s="140">
        <f t="shared" si="162"/>
        <v>0.14814814814814814</v>
      </c>
      <c r="AD395" s="140">
        <f t="shared" si="163"/>
        <v>0.14814814814814814</v>
      </c>
      <c r="AE395" s="140">
        <f t="shared" si="164"/>
        <v>0</v>
      </c>
      <c r="AF395" s="140">
        <f t="shared" si="165"/>
        <v>0</v>
      </c>
      <c r="AG395" s="140">
        <f t="shared" si="166"/>
        <v>0</v>
      </c>
      <c r="AH395" s="140">
        <f t="shared" si="167"/>
        <v>0</v>
      </c>
      <c r="AI395" s="140">
        <f t="shared" si="168"/>
        <v>0.14814814814814814</v>
      </c>
      <c r="AJ395" s="140">
        <f t="shared" si="169"/>
        <v>0.14814814814814814</v>
      </c>
      <c r="AK395" s="140">
        <f t="shared" si="170"/>
        <v>0.14814814814814814</v>
      </c>
      <c r="AL395" s="140">
        <f t="shared" si="171"/>
        <v>0.14814814814814814</v>
      </c>
      <c r="AM395" t="str">
        <f t="shared" si="172"/>
        <v>4680-000: Dept. expense Supplies</v>
      </c>
      <c r="AN395" s="140">
        <f t="shared" si="173"/>
        <v>4.9382716049382713E-2</v>
      </c>
      <c r="AO395" s="140">
        <f t="shared" si="174"/>
        <v>-4.9382716049382713E-2</v>
      </c>
      <c r="AP395" s="1" t="str">
        <f>IF(AND(AO395&gt;0, _xlfn.XLOOKUP($AM395, Discretionaries!$A$2:'Discretionaries'!$A$150, Discretionaries!$B$2:'Discretionaries'!$B$150)), (1+AN395)*$N395, "")</f>
        <v/>
      </c>
      <c r="AQ395" s="1" t="str">
        <f>IF(AND(AO395&gt;0, _xlfn.XLOOKUP($AM395, Discretionaries!$A$2:'Discretionaries'!$A$150, Discretionaries!$B$2:'Discretionaries'!$B$150)),AP395-$Q395,"")</f>
        <v/>
      </c>
      <c r="AR395" s="140">
        <f>IF(AG395="", 0-CPI!$B$15, AG395-CPI!$B$15)</f>
        <v>-3.8999999999999993E-2</v>
      </c>
      <c r="AS395" s="1" t="str">
        <f>IF(AND(AR395&gt;0, _xlfn.XLOOKUP($AM395, Discretionaries!$A$2:'Discretionaries'!$A$150, Discretionaries!$B$2:'Discretionaries'!$B$150)), (1+CPI!$B$15)*$N395, "")</f>
        <v/>
      </c>
      <c r="AT395" s="1" t="str">
        <f>IF(AND(AR395&gt;0, _xlfn.XLOOKUP($AM395, Discretionaries!$A$2:'Discretionaries'!$A$150, Discretionaries!$B$2:'Discretionaries'!$B$150)),AS395-$Q395,"")</f>
        <v/>
      </c>
    </row>
    <row r="396" spans="1:46" x14ac:dyDescent="0.3">
      <c r="A396" t="s">
        <v>437</v>
      </c>
      <c r="B396" t="str">
        <f t="shared" si="150"/>
        <v>26</v>
      </c>
      <c r="C396" t="s">
        <v>426</v>
      </c>
      <c r="D396" t="str">
        <f t="shared" si="151"/>
        <v>01</v>
      </c>
      <c r="E396" t="s">
        <v>54</v>
      </c>
      <c r="F396" s="139" t="s">
        <v>114</v>
      </c>
      <c r="G396" t="s">
        <v>115</v>
      </c>
      <c r="M396" s="156">
        <v>15619.5</v>
      </c>
      <c r="O396" s="156">
        <v>57465</v>
      </c>
      <c r="P396" s="156">
        <v>47465</v>
      </c>
      <c r="Q396" s="156">
        <v>47465</v>
      </c>
      <c r="R396" s="156">
        <v>0</v>
      </c>
      <c r="S396" s="156">
        <f t="shared" si="152"/>
        <v>47465</v>
      </c>
      <c r="T396" s="156">
        <f t="shared" si="153"/>
        <v>47465</v>
      </c>
      <c r="U396" s="140" t="str">
        <f t="shared" si="154"/>
        <v/>
      </c>
      <c r="V396" s="140" t="str">
        <f t="shared" si="155"/>
        <v/>
      </c>
      <c r="W396" s="140" t="str">
        <f t="shared" si="156"/>
        <v/>
      </c>
      <c r="X396" s="140" t="str">
        <f t="shared" si="157"/>
        <v/>
      </c>
      <c r="Y396" s="140" t="str">
        <f t="shared" si="158"/>
        <v/>
      </c>
      <c r="Z396" s="140" t="str">
        <f t="shared" si="159"/>
        <v/>
      </c>
      <c r="AA396" s="140" t="str">
        <f t="shared" si="160"/>
        <v/>
      </c>
      <c r="AB396" s="140" t="str">
        <f t="shared" si="161"/>
        <v/>
      </c>
      <c r="AC396" s="140" t="str">
        <f t="shared" si="162"/>
        <v/>
      </c>
      <c r="AD396" s="140" t="str">
        <f t="shared" si="163"/>
        <v/>
      </c>
      <c r="AE396" s="140" t="str">
        <f t="shared" si="164"/>
        <v/>
      </c>
      <c r="AF396" s="140" t="str">
        <f t="shared" si="165"/>
        <v/>
      </c>
      <c r="AG396" s="140" t="str">
        <f t="shared" si="166"/>
        <v/>
      </c>
      <c r="AH396" s="140" t="str">
        <f t="shared" si="167"/>
        <v/>
      </c>
      <c r="AI396" s="140" t="str">
        <f t="shared" si="168"/>
        <v/>
      </c>
      <c r="AJ396" s="140" t="str">
        <f t="shared" si="169"/>
        <v/>
      </c>
      <c r="AK396" s="140" t="str">
        <f t="shared" si="170"/>
        <v/>
      </c>
      <c r="AL396" s="140" t="str">
        <f t="shared" si="171"/>
        <v/>
      </c>
      <c r="AM396" t="str">
        <f t="shared" si="172"/>
        <v>4740-000: Mach &amp; equip Property</v>
      </c>
      <c r="AN396" s="140">
        <f t="shared" si="173"/>
        <v>0</v>
      </c>
      <c r="AO396" s="140">
        <f t="shared" si="174"/>
        <v>0</v>
      </c>
      <c r="AP396" s="1" t="str">
        <f>IF(AND(AO396&gt;0, _xlfn.XLOOKUP($AM396, Discretionaries!$A$2:'Discretionaries'!$A$150, Discretionaries!$B$2:'Discretionaries'!$B$150)), (1+AN396)*$N396, "")</f>
        <v/>
      </c>
      <c r="AQ396" s="1" t="str">
        <f>IF(AND(AO396&gt;0, _xlfn.XLOOKUP($AM396, Discretionaries!$A$2:'Discretionaries'!$A$150, Discretionaries!$B$2:'Discretionaries'!$B$150)),AP396-$Q396,"")</f>
        <v/>
      </c>
      <c r="AR396" s="140">
        <f>IF(AG396="", 0-CPI!$B$15, AG396-CPI!$B$15)</f>
        <v>-3.8999999999999993E-2</v>
      </c>
      <c r="AS396" s="1" t="str">
        <f>IF(AND(AR396&gt;0, _xlfn.XLOOKUP($AM396, Discretionaries!$A$2:'Discretionaries'!$A$150, Discretionaries!$B$2:'Discretionaries'!$B$150)), (1+CPI!$B$15)*$N396, "")</f>
        <v/>
      </c>
      <c r="AT396" s="1" t="str">
        <f>IF(AND(AR396&gt;0, _xlfn.XLOOKUP($AM396, Discretionaries!$A$2:'Discretionaries'!$A$150, Discretionaries!$B$2:'Discretionaries'!$B$150)),AS396-$Q396,"")</f>
        <v/>
      </c>
    </row>
    <row r="397" spans="1:46" x14ac:dyDescent="0.3">
      <c r="A397" t="s">
        <v>437</v>
      </c>
      <c r="B397" t="str">
        <f t="shared" si="150"/>
        <v>26</v>
      </c>
      <c r="C397" t="s">
        <v>426</v>
      </c>
      <c r="D397" t="str">
        <f t="shared" si="151"/>
        <v>01</v>
      </c>
      <c r="E397" t="s">
        <v>54</v>
      </c>
      <c r="F397" s="139" t="s">
        <v>256</v>
      </c>
      <c r="G397" t="s">
        <v>257</v>
      </c>
      <c r="H397" s="156">
        <v>183797</v>
      </c>
      <c r="I397" s="156">
        <v>183797</v>
      </c>
      <c r="J397" s="156">
        <v>301674</v>
      </c>
      <c r="K397" s="156">
        <v>254883.89</v>
      </c>
      <c r="L397" s="156">
        <v>391674</v>
      </c>
      <c r="M397" s="156">
        <v>364116.38</v>
      </c>
      <c r="N397" s="156">
        <v>462281</v>
      </c>
      <c r="O397" s="156">
        <v>462281</v>
      </c>
      <c r="P397" s="156">
        <v>462281</v>
      </c>
      <c r="Q397" s="156">
        <v>462281</v>
      </c>
      <c r="R397" s="156">
        <v>462281</v>
      </c>
      <c r="S397" s="156">
        <f t="shared" si="152"/>
        <v>0</v>
      </c>
      <c r="T397" s="156">
        <f t="shared" si="153"/>
        <v>0</v>
      </c>
      <c r="U397" s="140">
        <f t="shared" si="154"/>
        <v>0</v>
      </c>
      <c r="V397" s="140">
        <f t="shared" si="155"/>
        <v>0</v>
      </c>
      <c r="W397" s="140">
        <f t="shared" si="156"/>
        <v>-0.15510156659175131</v>
      </c>
      <c r="X397" s="140">
        <f t="shared" si="157"/>
        <v>-7.0358563499236595E-2</v>
      </c>
      <c r="Y397" s="140">
        <f t="shared" si="158"/>
        <v>0.64134343868507104</v>
      </c>
      <c r="Z397" s="140">
        <f t="shared" si="159"/>
        <v>0.38676850002992441</v>
      </c>
      <c r="AA397" s="140">
        <f t="shared" si="160"/>
        <v>0.29833528908689511</v>
      </c>
      <c r="AB397" s="140">
        <f t="shared" si="161"/>
        <v>0.42855784255332885</v>
      </c>
      <c r="AC397" s="140">
        <f t="shared" si="162"/>
        <v>0.18026981622471749</v>
      </c>
      <c r="AD397" s="140">
        <f t="shared" si="163"/>
        <v>1.5151716295695794</v>
      </c>
      <c r="AE397" s="140">
        <f t="shared" si="164"/>
        <v>0</v>
      </c>
      <c r="AF397" s="140">
        <f t="shared" si="165"/>
        <v>0</v>
      </c>
      <c r="AG397" s="140">
        <f t="shared" si="166"/>
        <v>0</v>
      </c>
      <c r="AH397" s="140">
        <f t="shared" si="167"/>
        <v>0</v>
      </c>
      <c r="AI397" s="140">
        <f t="shared" si="168"/>
        <v>1.5151716295695794</v>
      </c>
      <c r="AJ397" s="140">
        <f t="shared" si="169"/>
        <v>1.5151716295695794</v>
      </c>
      <c r="AK397" s="140">
        <f t="shared" si="170"/>
        <v>1.5151716295695794</v>
      </c>
      <c r="AL397" s="140">
        <f t="shared" si="171"/>
        <v>1.5151716295695794</v>
      </c>
      <c r="AM397" t="str">
        <f t="shared" si="172"/>
        <v>4744-000: Capital leases Property</v>
      </c>
      <c r="AN397" s="140">
        <f t="shared" si="173"/>
        <v>0.37331618133222788</v>
      </c>
      <c r="AO397" s="140">
        <f t="shared" si="174"/>
        <v>-0.37331618133222788</v>
      </c>
      <c r="AP397" s="1" t="str">
        <f>IF(AND(AO397&gt;0, _xlfn.XLOOKUP($AM397, Discretionaries!$A$2:'Discretionaries'!$A$150, Discretionaries!$B$2:'Discretionaries'!$B$150)), (1+AN397)*$N397, "")</f>
        <v/>
      </c>
      <c r="AQ397" s="1" t="str">
        <f>IF(AND(AO397&gt;0, _xlfn.XLOOKUP($AM397, Discretionaries!$A$2:'Discretionaries'!$A$150, Discretionaries!$B$2:'Discretionaries'!$B$150)),AP397-$Q397,"")</f>
        <v/>
      </c>
      <c r="AR397" s="140">
        <f>IF(AG397="", 0-CPI!$B$15, AG397-CPI!$B$15)</f>
        <v>-3.8999999999999993E-2</v>
      </c>
      <c r="AS397" s="1" t="str">
        <f>IF(AND(AR397&gt;0, _xlfn.XLOOKUP($AM397, Discretionaries!$A$2:'Discretionaries'!$A$150, Discretionaries!$B$2:'Discretionaries'!$B$150)), (1+CPI!$B$15)*$N397, "")</f>
        <v/>
      </c>
      <c r="AT397" s="1" t="str">
        <f>IF(AND(AR397&gt;0, _xlfn.XLOOKUP($AM397, Discretionaries!$A$2:'Discretionaries'!$A$150, Discretionaries!$B$2:'Discretionaries'!$B$150)),AS397-$Q397,"")</f>
        <v/>
      </c>
    </row>
    <row r="398" spans="1:46" x14ac:dyDescent="0.3">
      <c r="A398" t="s">
        <v>437</v>
      </c>
      <c r="B398" t="str">
        <f t="shared" si="150"/>
        <v>26</v>
      </c>
      <c r="C398" t="s">
        <v>438</v>
      </c>
      <c r="D398" t="str">
        <f t="shared" si="151"/>
        <v>31</v>
      </c>
      <c r="E398" t="s">
        <v>21</v>
      </c>
      <c r="F398" s="139" t="s">
        <v>315</v>
      </c>
      <c r="G398" t="s">
        <v>316</v>
      </c>
      <c r="H398" s="156">
        <v>35000</v>
      </c>
      <c r="I398" s="156">
        <v>1495</v>
      </c>
      <c r="J398" s="156">
        <v>35000</v>
      </c>
      <c r="K398" s="156">
        <v>69345</v>
      </c>
      <c r="L398" s="156">
        <v>35000</v>
      </c>
      <c r="M398" s="156">
        <v>87365</v>
      </c>
      <c r="N398" s="156">
        <v>50000</v>
      </c>
      <c r="O398" s="156">
        <v>83925</v>
      </c>
      <c r="P398" s="156">
        <v>83925</v>
      </c>
      <c r="Q398" s="156">
        <v>83925</v>
      </c>
      <c r="R398" s="156">
        <v>50000</v>
      </c>
      <c r="S398" s="156">
        <f t="shared" si="152"/>
        <v>33925</v>
      </c>
      <c r="T398" s="156">
        <f t="shared" si="153"/>
        <v>33925</v>
      </c>
      <c r="U398" s="140">
        <f t="shared" si="154"/>
        <v>0.67849999999999999</v>
      </c>
      <c r="V398" s="140">
        <f t="shared" si="155"/>
        <v>-0.9572857142857143</v>
      </c>
      <c r="W398" s="140">
        <f t="shared" si="156"/>
        <v>0.98128571428571432</v>
      </c>
      <c r="X398" s="140">
        <f t="shared" si="157"/>
        <v>1.4961428571428572</v>
      </c>
      <c r="Y398" s="140">
        <f t="shared" si="158"/>
        <v>0</v>
      </c>
      <c r="Z398" s="140">
        <f t="shared" si="159"/>
        <v>45.384615384615387</v>
      </c>
      <c r="AA398" s="140">
        <f t="shared" si="160"/>
        <v>0</v>
      </c>
      <c r="AB398" s="140">
        <f t="shared" si="161"/>
        <v>0.25986011969139811</v>
      </c>
      <c r="AC398" s="140">
        <f t="shared" si="162"/>
        <v>0.42857142857142855</v>
      </c>
      <c r="AD398" s="140">
        <f t="shared" si="163"/>
        <v>0.42857142857142855</v>
      </c>
      <c r="AE398" s="140">
        <f t="shared" si="164"/>
        <v>0.67849999999999999</v>
      </c>
      <c r="AF398" s="140">
        <f t="shared" si="165"/>
        <v>0.67849999999999999</v>
      </c>
      <c r="AG398" s="140">
        <f t="shared" si="166"/>
        <v>0.67849999999999999</v>
      </c>
      <c r="AH398" s="140">
        <f t="shared" si="167"/>
        <v>0</v>
      </c>
      <c r="AI398" s="140">
        <f t="shared" si="168"/>
        <v>1.3978571428571429</v>
      </c>
      <c r="AJ398" s="140">
        <f t="shared" si="169"/>
        <v>1.3978571428571429</v>
      </c>
      <c r="AK398" s="140">
        <f t="shared" si="170"/>
        <v>1.3978571428571429</v>
      </c>
      <c r="AL398" s="140">
        <f t="shared" si="171"/>
        <v>0.42857142857142855</v>
      </c>
      <c r="AM398" t="str">
        <f t="shared" si="172"/>
        <v>4395-000: Snow removal Services</v>
      </c>
      <c r="AN398" s="140">
        <f t="shared" si="173"/>
        <v>0.14285714285714285</v>
      </c>
      <c r="AO398" s="140">
        <f t="shared" si="174"/>
        <v>0.53564285714285709</v>
      </c>
      <c r="AP398" s="1">
        <f>IF(AND(AO398&gt;0, _xlfn.XLOOKUP($AM398, Discretionaries!$A$2:'Discretionaries'!$A$150, Discretionaries!$B$2:'Discretionaries'!$B$150)), (1+AN398)*$N398, "")</f>
        <v>57142.857142857138</v>
      </c>
      <c r="AQ398" s="1">
        <f>IF(AND(AO398&gt;0, _xlfn.XLOOKUP($AM398, Discretionaries!$A$2:'Discretionaries'!$A$150, Discretionaries!$B$2:'Discretionaries'!$B$150)),AP398-$Q398,"")</f>
        <v>-26782.142857142862</v>
      </c>
      <c r="AR398" s="140">
        <f>IF(AG398="", 0-CPI!$B$15, AG398-CPI!$B$15)</f>
        <v>0.63949999999999996</v>
      </c>
      <c r="AS398" s="1">
        <f>IF(AND(AR398&gt;0, _xlfn.XLOOKUP($AM398, Discretionaries!$A$2:'Discretionaries'!$A$150, Discretionaries!$B$2:'Discretionaries'!$B$150)), (1+CPI!$B$15)*$N398, "")</f>
        <v>51949.999999999993</v>
      </c>
      <c r="AT398" s="1">
        <f>IF(AND(AR398&gt;0, _xlfn.XLOOKUP($AM398, Discretionaries!$A$2:'Discretionaries'!$A$150, Discretionaries!$B$2:'Discretionaries'!$B$150)),AS398-$Q398,"")</f>
        <v>-31975.000000000007</v>
      </c>
    </row>
    <row r="399" spans="1:46" x14ac:dyDescent="0.3">
      <c r="A399" t="s">
        <v>437</v>
      </c>
      <c r="B399" t="str">
        <f t="shared" si="150"/>
        <v>26</v>
      </c>
      <c r="C399" t="s">
        <v>438</v>
      </c>
      <c r="D399" t="str">
        <f t="shared" si="151"/>
        <v>31</v>
      </c>
      <c r="E399" t="s">
        <v>133</v>
      </c>
      <c r="F399" s="139" t="s">
        <v>317</v>
      </c>
      <c r="G399" t="s">
        <v>318</v>
      </c>
      <c r="H399" s="156">
        <v>541000</v>
      </c>
      <c r="I399" s="156">
        <v>474063.33</v>
      </c>
      <c r="J399" s="156">
        <v>541000</v>
      </c>
      <c r="K399" s="156">
        <v>547096.89</v>
      </c>
      <c r="L399" s="156">
        <v>541000</v>
      </c>
      <c r="M399" s="156">
        <v>590621.36</v>
      </c>
      <c r="N399" s="156">
        <v>660716</v>
      </c>
      <c r="O399" s="156">
        <v>692000</v>
      </c>
      <c r="P399" s="156">
        <v>692000</v>
      </c>
      <c r="Q399" s="156">
        <v>692000</v>
      </c>
      <c r="R399" s="156">
        <v>692000</v>
      </c>
      <c r="S399" s="156">
        <f t="shared" si="152"/>
        <v>31284</v>
      </c>
      <c r="T399" s="156">
        <f t="shared" si="153"/>
        <v>0</v>
      </c>
      <c r="U399" s="140">
        <f t="shared" si="154"/>
        <v>4.7348633906247162E-2</v>
      </c>
      <c r="V399" s="140">
        <f t="shared" si="155"/>
        <v>-0.12372767097966725</v>
      </c>
      <c r="W399" s="140">
        <f t="shared" si="156"/>
        <v>1.1269667282809637E-2</v>
      </c>
      <c r="X399" s="140">
        <f t="shared" si="157"/>
        <v>9.172155268022178E-2</v>
      </c>
      <c r="Y399" s="140">
        <f t="shared" si="158"/>
        <v>0</v>
      </c>
      <c r="Z399" s="140">
        <f t="shared" si="159"/>
        <v>0.15405865709967484</v>
      </c>
      <c r="AA399" s="140">
        <f t="shared" si="160"/>
        <v>0</v>
      </c>
      <c r="AB399" s="140">
        <f t="shared" si="161"/>
        <v>7.9555323372428544E-2</v>
      </c>
      <c r="AC399" s="140">
        <f t="shared" si="162"/>
        <v>0.22128650646950093</v>
      </c>
      <c r="AD399" s="140">
        <f t="shared" si="163"/>
        <v>0.22128650646950093</v>
      </c>
      <c r="AE399" s="140">
        <f t="shared" si="164"/>
        <v>4.7348633906247162E-2</v>
      </c>
      <c r="AF399" s="140">
        <f t="shared" si="165"/>
        <v>4.7348633906247162E-2</v>
      </c>
      <c r="AG399" s="140">
        <f t="shared" si="166"/>
        <v>4.7348633906247162E-2</v>
      </c>
      <c r="AH399" s="140">
        <f t="shared" si="167"/>
        <v>4.7348633906247162E-2</v>
      </c>
      <c r="AI399" s="140">
        <f t="shared" si="168"/>
        <v>0.27911275415896486</v>
      </c>
      <c r="AJ399" s="140">
        <f t="shared" si="169"/>
        <v>0.27911275415896486</v>
      </c>
      <c r="AK399" s="140">
        <f t="shared" si="170"/>
        <v>0.27911275415896486</v>
      </c>
      <c r="AL399" s="140">
        <f t="shared" si="171"/>
        <v>0.27911275415896486</v>
      </c>
      <c r="AM399" t="str">
        <f t="shared" si="172"/>
        <v>4414-000: Hydrants Services</v>
      </c>
      <c r="AN399" s="140">
        <f t="shared" si="173"/>
        <v>7.3762168823166982E-2</v>
      </c>
      <c r="AO399" s="140">
        <f t="shared" si="174"/>
        <v>-2.641353491691982E-2</v>
      </c>
      <c r="AP399" s="1" t="str">
        <f>IF(AND(AO399&gt;0, _xlfn.XLOOKUP($AM399, Discretionaries!$A$2:'Discretionaries'!$A$150, Discretionaries!$B$2:'Discretionaries'!$B$150)), (1+AN399)*$N399, "")</f>
        <v/>
      </c>
      <c r="AQ399" s="1" t="str">
        <f>IF(AND(AO399&gt;0, _xlfn.XLOOKUP($AM399, Discretionaries!$A$2:'Discretionaries'!$A$150, Discretionaries!$B$2:'Discretionaries'!$B$150)),AP399-$Q399,"")</f>
        <v/>
      </c>
      <c r="AR399" s="140">
        <f>IF(AG399="", 0-CPI!$B$15, AG399-CPI!$B$15)</f>
        <v>8.3486339062471687E-3</v>
      </c>
      <c r="AS399" s="1">
        <f>IF(AND(AR399&gt;0, _xlfn.XLOOKUP($AM399, Discretionaries!$A$2:'Discretionaries'!$A$150, Discretionaries!$B$2:'Discretionaries'!$B$150)), (1+CPI!$B$15)*$N399, "")</f>
        <v>686483.924</v>
      </c>
      <c r="AT399" s="1">
        <f>IF(AND(AR399&gt;0, _xlfn.XLOOKUP($AM399, Discretionaries!$A$2:'Discretionaries'!$A$150, Discretionaries!$B$2:'Discretionaries'!$B$150)),AS399-$Q399,"")</f>
        <v>-5516.0760000000009</v>
      </c>
    </row>
    <row r="400" spans="1:46" x14ac:dyDescent="0.3">
      <c r="A400" t="s">
        <v>437</v>
      </c>
      <c r="B400" t="str">
        <f t="shared" si="150"/>
        <v>26</v>
      </c>
      <c r="C400" t="s">
        <v>438</v>
      </c>
      <c r="D400" t="str">
        <f t="shared" si="151"/>
        <v>31</v>
      </c>
      <c r="E400" t="s">
        <v>133</v>
      </c>
      <c r="F400" s="139" t="s">
        <v>319</v>
      </c>
      <c r="G400" t="s">
        <v>320</v>
      </c>
      <c r="H400" s="156">
        <v>40000</v>
      </c>
      <c r="I400" s="156">
        <v>24865.07</v>
      </c>
      <c r="J400" s="156">
        <v>25000</v>
      </c>
      <c r="K400" s="156">
        <v>21524.06</v>
      </c>
      <c r="L400" s="156">
        <v>25000</v>
      </c>
      <c r="M400" s="156">
        <v>21633.35</v>
      </c>
      <c r="N400" s="156">
        <v>25000</v>
      </c>
      <c r="O400" s="156">
        <v>25000</v>
      </c>
      <c r="P400" s="156">
        <v>25000</v>
      </c>
      <c r="Q400" s="156">
        <v>25000</v>
      </c>
      <c r="R400" s="156">
        <v>25000</v>
      </c>
      <c r="S400" s="156">
        <f t="shared" si="152"/>
        <v>0</v>
      </c>
      <c r="T400" s="156">
        <f t="shared" si="153"/>
        <v>0</v>
      </c>
      <c r="U400" s="140">
        <f t="shared" si="154"/>
        <v>0</v>
      </c>
      <c r="V400" s="140">
        <f t="shared" si="155"/>
        <v>-0.37837324999999999</v>
      </c>
      <c r="W400" s="140">
        <f t="shared" si="156"/>
        <v>-0.13903759999999996</v>
      </c>
      <c r="X400" s="140">
        <f t="shared" si="157"/>
        <v>-0.13466600000000006</v>
      </c>
      <c r="Y400" s="140">
        <f t="shared" si="158"/>
        <v>-0.375</v>
      </c>
      <c r="Z400" s="140">
        <f t="shared" si="159"/>
        <v>-0.13436559800555553</v>
      </c>
      <c r="AA400" s="140">
        <f t="shared" si="160"/>
        <v>0</v>
      </c>
      <c r="AB400" s="140">
        <f t="shared" si="161"/>
        <v>5.0775736547843311E-3</v>
      </c>
      <c r="AC400" s="140">
        <f t="shared" si="162"/>
        <v>0</v>
      </c>
      <c r="AD400" s="140">
        <f t="shared" si="163"/>
        <v>-0.375</v>
      </c>
      <c r="AE400" s="140">
        <f t="shared" si="164"/>
        <v>0</v>
      </c>
      <c r="AF400" s="140">
        <f t="shared" si="165"/>
        <v>0</v>
      </c>
      <c r="AG400" s="140">
        <f t="shared" si="166"/>
        <v>0</v>
      </c>
      <c r="AH400" s="140">
        <f t="shared" si="167"/>
        <v>0</v>
      </c>
      <c r="AI400" s="140">
        <f t="shared" si="168"/>
        <v>-0.375</v>
      </c>
      <c r="AJ400" s="140">
        <f t="shared" si="169"/>
        <v>-0.375</v>
      </c>
      <c r="AK400" s="140">
        <f t="shared" si="170"/>
        <v>-0.375</v>
      </c>
      <c r="AL400" s="140">
        <f t="shared" si="171"/>
        <v>-0.375</v>
      </c>
      <c r="AM400" t="str">
        <f t="shared" si="172"/>
        <v>4415-000: Street lighting Service</v>
      </c>
      <c r="AN400" s="140">
        <f t="shared" si="173"/>
        <v>-0.125</v>
      </c>
      <c r="AO400" s="140">
        <f t="shared" si="174"/>
        <v>0.125</v>
      </c>
      <c r="AP400" s="1">
        <f>IF(AND(AO400&gt;0, _xlfn.XLOOKUP($AM400, Discretionaries!$A$2:'Discretionaries'!$A$150, Discretionaries!$B$2:'Discretionaries'!$B$150)), (1+AN400)*$N400, "")</f>
        <v>21875</v>
      </c>
      <c r="AQ400" s="1">
        <f>IF(AND(AO400&gt;0, _xlfn.XLOOKUP($AM400, Discretionaries!$A$2:'Discretionaries'!$A$150, Discretionaries!$B$2:'Discretionaries'!$B$150)),AP400-$Q400,"")</f>
        <v>-3125</v>
      </c>
      <c r="AR400" s="140">
        <f>IF(AG400="", 0-CPI!$B$15, AG400-CPI!$B$15)</f>
        <v>-3.8999999999999993E-2</v>
      </c>
      <c r="AS400" s="1" t="str">
        <f>IF(AND(AR400&gt;0, _xlfn.XLOOKUP($AM400, Discretionaries!$A$2:'Discretionaries'!$A$150, Discretionaries!$B$2:'Discretionaries'!$B$150)), (1+CPI!$B$15)*$N400, "")</f>
        <v/>
      </c>
      <c r="AT400" s="1" t="str">
        <f>IF(AND(AR400&gt;0, _xlfn.XLOOKUP($AM400, Discretionaries!$A$2:'Discretionaries'!$A$150, Discretionaries!$B$2:'Discretionaries'!$B$150)),AS400-$Q400,"")</f>
        <v/>
      </c>
    </row>
    <row r="401" spans="1:46" x14ac:dyDescent="0.3">
      <c r="A401" t="s">
        <v>437</v>
      </c>
      <c r="B401" t="str">
        <f t="shared" si="150"/>
        <v>26</v>
      </c>
      <c r="C401" t="s">
        <v>438</v>
      </c>
      <c r="D401" t="str">
        <f t="shared" si="151"/>
        <v>31</v>
      </c>
      <c r="E401" t="s">
        <v>133</v>
      </c>
      <c r="F401" s="139" t="s">
        <v>321</v>
      </c>
      <c r="G401" t="s">
        <v>322</v>
      </c>
      <c r="H401" s="156">
        <v>1792523</v>
      </c>
      <c r="I401" s="156">
        <v>1793363.94</v>
      </c>
      <c r="J401" s="156">
        <v>1226773</v>
      </c>
      <c r="K401" s="156">
        <v>1227670.32</v>
      </c>
      <c r="L401" s="156">
        <v>1000000</v>
      </c>
      <c r="M401" s="156">
        <v>1022896.06</v>
      </c>
      <c r="N401" s="156">
        <v>1000000</v>
      </c>
      <c r="O401" s="156">
        <v>1000000</v>
      </c>
      <c r="P401" s="156">
        <v>1000000</v>
      </c>
      <c r="Q401" s="156">
        <v>1000000</v>
      </c>
      <c r="R401" s="156">
        <v>1000000</v>
      </c>
      <c r="S401" s="156">
        <f t="shared" si="152"/>
        <v>0</v>
      </c>
      <c r="T401" s="156">
        <f t="shared" si="153"/>
        <v>0</v>
      </c>
      <c r="U401" s="140">
        <f t="shared" si="154"/>
        <v>0</v>
      </c>
      <c r="V401" s="140">
        <f t="shared" si="155"/>
        <v>4.6913763449615105E-4</v>
      </c>
      <c r="W401" s="140">
        <f t="shared" si="156"/>
        <v>7.3144746420084658E-4</v>
      </c>
      <c r="X401" s="140">
        <f t="shared" si="157"/>
        <v>2.2896060000000055E-2</v>
      </c>
      <c r="Y401" s="140">
        <f t="shared" si="158"/>
        <v>-0.3156165918094217</v>
      </c>
      <c r="Z401" s="140">
        <f t="shared" si="159"/>
        <v>-0.3154371554944948</v>
      </c>
      <c r="AA401" s="140">
        <f t="shared" si="160"/>
        <v>-0.18485326951277864</v>
      </c>
      <c r="AB401" s="140">
        <f t="shared" si="161"/>
        <v>-0.1667990637747111</v>
      </c>
      <c r="AC401" s="140">
        <f t="shared" si="162"/>
        <v>0</v>
      </c>
      <c r="AD401" s="140">
        <f t="shared" si="163"/>
        <v>-0.44212710241374864</v>
      </c>
      <c r="AE401" s="140">
        <f t="shared" si="164"/>
        <v>0</v>
      </c>
      <c r="AF401" s="140">
        <f t="shared" si="165"/>
        <v>0</v>
      </c>
      <c r="AG401" s="140">
        <f t="shared" si="166"/>
        <v>0</v>
      </c>
      <c r="AH401" s="140">
        <f t="shared" si="167"/>
        <v>0</v>
      </c>
      <c r="AI401" s="140">
        <f t="shared" si="168"/>
        <v>-0.44212710241374864</v>
      </c>
      <c r="AJ401" s="140">
        <f t="shared" si="169"/>
        <v>-0.44212710241374864</v>
      </c>
      <c r="AK401" s="140">
        <f t="shared" si="170"/>
        <v>-0.44212710241374864</v>
      </c>
      <c r="AL401" s="140">
        <f t="shared" si="171"/>
        <v>-0.44212710241374864</v>
      </c>
      <c r="AM401" t="str">
        <f t="shared" si="172"/>
        <v>4436-000: Road Maintenance Services</v>
      </c>
      <c r="AN401" s="140">
        <f t="shared" si="173"/>
        <v>-0.1668232871074001</v>
      </c>
      <c r="AO401" s="140">
        <f t="shared" si="174"/>
        <v>0.1668232871074001</v>
      </c>
      <c r="AP401" s="1">
        <f>IF(AND(AO401&gt;0, _xlfn.XLOOKUP($AM401, Discretionaries!$A$2:'Discretionaries'!$A$150, Discretionaries!$B$2:'Discretionaries'!$B$150)), (1+AN401)*$N401, "")</f>
        <v>833176.71289259987</v>
      </c>
      <c r="AQ401" s="1">
        <f>IF(AND(AO401&gt;0, _xlfn.XLOOKUP($AM401, Discretionaries!$A$2:'Discretionaries'!$A$150, Discretionaries!$B$2:'Discretionaries'!$B$150)),AP401-$Q401,"")</f>
        <v>-166823.28710740013</v>
      </c>
      <c r="AR401" s="140">
        <f>IF(AG401="", 0-CPI!$B$15, AG401-CPI!$B$15)</f>
        <v>-3.8999999999999993E-2</v>
      </c>
      <c r="AS401" s="1" t="str">
        <f>IF(AND(AR401&gt;0, _xlfn.XLOOKUP($AM401, Discretionaries!$A$2:'Discretionaries'!$A$150, Discretionaries!$B$2:'Discretionaries'!$B$150)), (1+CPI!$B$15)*$N401, "")</f>
        <v/>
      </c>
      <c r="AT401" s="1" t="str">
        <f>IF(AND(AR401&gt;0, _xlfn.XLOOKUP($AM401, Discretionaries!$A$2:'Discretionaries'!$A$150, Discretionaries!$B$2:'Discretionaries'!$B$150)),AS401-$Q401,"")</f>
        <v/>
      </c>
    </row>
    <row r="402" spans="1:46" x14ac:dyDescent="0.3">
      <c r="A402" t="s">
        <v>437</v>
      </c>
      <c r="B402" t="str">
        <f t="shared" si="150"/>
        <v>26</v>
      </c>
      <c r="C402" t="s">
        <v>438</v>
      </c>
      <c r="D402" t="str">
        <f t="shared" si="151"/>
        <v>31</v>
      </c>
      <c r="E402" t="s">
        <v>133</v>
      </c>
      <c r="F402" s="139" t="s">
        <v>323</v>
      </c>
      <c r="G402" t="s">
        <v>324</v>
      </c>
      <c r="H402" s="156">
        <v>72700</v>
      </c>
      <c r="I402" s="156">
        <v>72700</v>
      </c>
      <c r="J402" s="156">
        <v>72700</v>
      </c>
      <c r="K402" s="156">
        <v>72700</v>
      </c>
      <c r="L402" s="156">
        <v>72700</v>
      </c>
      <c r="M402" s="156">
        <v>72700</v>
      </c>
      <c r="N402" s="156">
        <v>72700</v>
      </c>
      <c r="O402" s="156">
        <v>72700</v>
      </c>
      <c r="P402" s="156">
        <v>72700</v>
      </c>
      <c r="Q402" s="156">
        <v>72700</v>
      </c>
      <c r="R402" s="156">
        <v>72700</v>
      </c>
      <c r="S402" s="156">
        <f t="shared" si="152"/>
        <v>0</v>
      </c>
      <c r="T402" s="156">
        <f t="shared" si="153"/>
        <v>0</v>
      </c>
      <c r="U402" s="140">
        <f t="shared" si="154"/>
        <v>0</v>
      </c>
      <c r="V402" s="140">
        <f t="shared" si="155"/>
        <v>0</v>
      </c>
      <c r="W402" s="140">
        <f t="shared" si="156"/>
        <v>0</v>
      </c>
      <c r="X402" s="140">
        <f t="shared" si="157"/>
        <v>0</v>
      </c>
      <c r="Y402" s="140">
        <f t="shared" si="158"/>
        <v>0</v>
      </c>
      <c r="Z402" s="140">
        <f t="shared" si="159"/>
        <v>0</v>
      </c>
      <c r="AA402" s="140">
        <f t="shared" si="160"/>
        <v>0</v>
      </c>
      <c r="AB402" s="140">
        <f t="shared" si="161"/>
        <v>0</v>
      </c>
      <c r="AC402" s="140">
        <f t="shared" si="162"/>
        <v>0</v>
      </c>
      <c r="AD402" s="140">
        <f t="shared" si="163"/>
        <v>0</v>
      </c>
      <c r="AE402" s="140">
        <f t="shared" si="164"/>
        <v>0</v>
      </c>
      <c r="AF402" s="140">
        <f t="shared" si="165"/>
        <v>0</v>
      </c>
      <c r="AG402" s="140">
        <f t="shared" si="166"/>
        <v>0</v>
      </c>
      <c r="AH402" s="140">
        <f t="shared" si="167"/>
        <v>0</v>
      </c>
      <c r="AI402" s="140">
        <f t="shared" si="168"/>
        <v>0</v>
      </c>
      <c r="AJ402" s="140">
        <f t="shared" si="169"/>
        <v>0</v>
      </c>
      <c r="AK402" s="140">
        <f t="shared" si="170"/>
        <v>0</v>
      </c>
      <c r="AL402" s="140">
        <f t="shared" si="171"/>
        <v>0</v>
      </c>
      <c r="AM402" t="str">
        <f t="shared" si="172"/>
        <v>4438-000: Storm drain const Services</v>
      </c>
      <c r="AN402" s="140">
        <f t="shared" si="173"/>
        <v>0</v>
      </c>
      <c r="AO402" s="140">
        <f t="shared" si="174"/>
        <v>0</v>
      </c>
      <c r="AP402" s="1" t="str">
        <f>IF(AND(AO402&gt;0, _xlfn.XLOOKUP($AM402, Discretionaries!$A$2:'Discretionaries'!$A$150, Discretionaries!$B$2:'Discretionaries'!$B$150)), (1+AN402)*$N402, "")</f>
        <v/>
      </c>
      <c r="AQ402" s="1" t="str">
        <f>IF(AND(AO402&gt;0, _xlfn.XLOOKUP($AM402, Discretionaries!$A$2:'Discretionaries'!$A$150, Discretionaries!$B$2:'Discretionaries'!$B$150)),AP402-$Q402,"")</f>
        <v/>
      </c>
      <c r="AR402" s="140">
        <f>IF(AG402="", 0-CPI!$B$15, AG402-CPI!$B$15)</f>
        <v>-3.8999999999999993E-2</v>
      </c>
      <c r="AS402" s="1" t="str">
        <f>IF(AND(AR402&gt;0, _xlfn.XLOOKUP($AM402, Discretionaries!$A$2:'Discretionaries'!$A$150, Discretionaries!$B$2:'Discretionaries'!$B$150)), (1+CPI!$B$15)*$N402, "")</f>
        <v/>
      </c>
      <c r="AT402" s="1" t="str">
        <f>IF(AND(AR402&gt;0, _xlfn.XLOOKUP($AM402, Discretionaries!$A$2:'Discretionaries'!$A$150, Discretionaries!$B$2:'Discretionaries'!$B$150)),AS402-$Q402,"")</f>
        <v/>
      </c>
    </row>
    <row r="403" spans="1:46" x14ac:dyDescent="0.3">
      <c r="A403" t="s">
        <v>437</v>
      </c>
      <c r="B403" t="str">
        <f t="shared" si="150"/>
        <v>26</v>
      </c>
      <c r="C403" t="s">
        <v>438</v>
      </c>
      <c r="D403" t="str">
        <f t="shared" si="151"/>
        <v>31</v>
      </c>
      <c r="E403" t="s">
        <v>30</v>
      </c>
      <c r="F403" s="139" t="s">
        <v>325</v>
      </c>
      <c r="G403" t="s">
        <v>326</v>
      </c>
      <c r="H403" s="156">
        <v>5000</v>
      </c>
      <c r="I403" s="156">
        <v>4950.8999999999996</v>
      </c>
      <c r="J403" s="156">
        <v>5000</v>
      </c>
      <c r="K403" s="156">
        <v>7601.44</v>
      </c>
      <c r="L403" s="156">
        <v>5000</v>
      </c>
      <c r="M403" s="156">
        <v>5000</v>
      </c>
      <c r="N403" s="156">
        <v>7000</v>
      </c>
      <c r="O403" s="156">
        <v>7000</v>
      </c>
      <c r="P403" s="156">
        <v>7000</v>
      </c>
      <c r="Q403" s="156">
        <v>7000</v>
      </c>
      <c r="R403" s="156">
        <v>7000</v>
      </c>
      <c r="S403" s="156">
        <f t="shared" si="152"/>
        <v>0</v>
      </c>
      <c r="T403" s="156">
        <f t="shared" si="153"/>
        <v>0</v>
      </c>
      <c r="U403" s="140">
        <f t="shared" si="154"/>
        <v>0</v>
      </c>
      <c r="V403" s="140">
        <f t="shared" si="155"/>
        <v>-9.8200000000000735E-3</v>
      </c>
      <c r="W403" s="140">
        <f t="shared" si="156"/>
        <v>0.52028799999999997</v>
      </c>
      <c r="X403" s="140">
        <f t="shared" si="157"/>
        <v>0</v>
      </c>
      <c r="Y403" s="140">
        <f t="shared" si="158"/>
        <v>0</v>
      </c>
      <c r="Z403" s="140">
        <f t="shared" si="159"/>
        <v>0.5353652871195137</v>
      </c>
      <c r="AA403" s="140">
        <f t="shared" si="160"/>
        <v>0</v>
      </c>
      <c r="AB403" s="140">
        <f t="shared" si="161"/>
        <v>-0.34222989328337783</v>
      </c>
      <c r="AC403" s="140">
        <f t="shared" si="162"/>
        <v>0.4</v>
      </c>
      <c r="AD403" s="140">
        <f t="shared" si="163"/>
        <v>0.4</v>
      </c>
      <c r="AE403" s="140">
        <f t="shared" si="164"/>
        <v>0</v>
      </c>
      <c r="AF403" s="140">
        <f t="shared" si="165"/>
        <v>0</v>
      </c>
      <c r="AG403" s="140">
        <f t="shared" si="166"/>
        <v>0</v>
      </c>
      <c r="AH403" s="140">
        <f t="shared" si="167"/>
        <v>0</v>
      </c>
      <c r="AI403" s="140">
        <f t="shared" si="168"/>
        <v>0.4</v>
      </c>
      <c r="AJ403" s="140">
        <f t="shared" si="169"/>
        <v>0.4</v>
      </c>
      <c r="AK403" s="140">
        <f t="shared" si="170"/>
        <v>0.4</v>
      </c>
      <c r="AL403" s="140">
        <f t="shared" si="171"/>
        <v>0.4</v>
      </c>
      <c r="AM403" t="str">
        <f t="shared" si="172"/>
        <v>4695-000: Gravel Supplies</v>
      </c>
      <c r="AN403" s="140">
        <f t="shared" si="173"/>
        <v>0.13333333333333333</v>
      </c>
      <c r="AO403" s="140">
        <f t="shared" si="174"/>
        <v>-0.13333333333333333</v>
      </c>
      <c r="AP403" s="1" t="str">
        <f>IF(AND(AO403&gt;0, _xlfn.XLOOKUP($AM403, Discretionaries!$A$2:'Discretionaries'!$A$150, Discretionaries!$B$2:'Discretionaries'!$B$150)), (1+AN403)*$N403, "")</f>
        <v/>
      </c>
      <c r="AQ403" s="1" t="str">
        <f>IF(AND(AO403&gt;0, _xlfn.XLOOKUP($AM403, Discretionaries!$A$2:'Discretionaries'!$A$150, Discretionaries!$B$2:'Discretionaries'!$B$150)),AP403-$Q403,"")</f>
        <v/>
      </c>
      <c r="AR403" s="140">
        <f>IF(AG403="", 0-CPI!$B$15, AG403-CPI!$B$15)</f>
        <v>-3.8999999999999993E-2</v>
      </c>
      <c r="AS403" s="1" t="str">
        <f>IF(AND(AR403&gt;0, _xlfn.XLOOKUP($AM403, Discretionaries!$A$2:'Discretionaries'!$A$150, Discretionaries!$B$2:'Discretionaries'!$B$150)), (1+CPI!$B$15)*$N403, "")</f>
        <v/>
      </c>
      <c r="AT403" s="1" t="str">
        <f>IF(AND(AR403&gt;0, _xlfn.XLOOKUP($AM403, Discretionaries!$A$2:'Discretionaries'!$A$150, Discretionaries!$B$2:'Discretionaries'!$B$150)),AS403-$Q403,"")</f>
        <v/>
      </c>
    </row>
    <row r="404" spans="1:46" x14ac:dyDescent="0.3">
      <c r="A404" t="s">
        <v>437</v>
      </c>
      <c r="B404" t="str">
        <f t="shared" si="150"/>
        <v>26</v>
      </c>
      <c r="C404" t="s">
        <v>438</v>
      </c>
      <c r="D404" t="str">
        <f t="shared" si="151"/>
        <v>31</v>
      </c>
      <c r="E404" t="s">
        <v>30</v>
      </c>
      <c r="F404" s="139" t="s">
        <v>327</v>
      </c>
      <c r="G404" t="s">
        <v>328</v>
      </c>
      <c r="H404" s="156">
        <v>8000</v>
      </c>
      <c r="I404" s="156">
        <v>11552.21</v>
      </c>
      <c r="J404" s="156">
        <v>8000</v>
      </c>
      <c r="K404" s="156">
        <v>13177.34</v>
      </c>
      <c r="L404" s="156">
        <v>10000</v>
      </c>
      <c r="M404" s="156">
        <v>12242.87</v>
      </c>
      <c r="N404" s="156">
        <v>10000</v>
      </c>
      <c r="O404" s="156">
        <v>10000</v>
      </c>
      <c r="P404" s="156">
        <v>10000</v>
      </c>
      <c r="Q404" s="156">
        <v>10000</v>
      </c>
      <c r="R404" s="156">
        <v>10000</v>
      </c>
      <c r="S404" s="156">
        <f t="shared" si="152"/>
        <v>0</v>
      </c>
      <c r="T404" s="156">
        <f t="shared" si="153"/>
        <v>0</v>
      </c>
      <c r="U404" s="140">
        <f t="shared" si="154"/>
        <v>0</v>
      </c>
      <c r="V404" s="140">
        <f t="shared" si="155"/>
        <v>0.4440262499999999</v>
      </c>
      <c r="W404" s="140">
        <f t="shared" si="156"/>
        <v>0.64716750000000001</v>
      </c>
      <c r="X404" s="140">
        <f t="shared" si="157"/>
        <v>0.22428700000000007</v>
      </c>
      <c r="Y404" s="140">
        <f t="shared" si="158"/>
        <v>0</v>
      </c>
      <c r="Z404" s="140">
        <f t="shared" si="159"/>
        <v>0.14067697869065757</v>
      </c>
      <c r="AA404" s="140">
        <f t="shared" si="160"/>
        <v>0.25</v>
      </c>
      <c r="AB404" s="140">
        <f t="shared" si="161"/>
        <v>-7.0914919095963175E-2</v>
      </c>
      <c r="AC404" s="140">
        <f t="shared" si="162"/>
        <v>0</v>
      </c>
      <c r="AD404" s="140">
        <f t="shared" si="163"/>
        <v>0.25</v>
      </c>
      <c r="AE404" s="140">
        <f t="shared" si="164"/>
        <v>0</v>
      </c>
      <c r="AF404" s="140">
        <f t="shared" si="165"/>
        <v>0</v>
      </c>
      <c r="AG404" s="140">
        <f t="shared" si="166"/>
        <v>0</v>
      </c>
      <c r="AH404" s="140">
        <f t="shared" si="167"/>
        <v>0</v>
      </c>
      <c r="AI404" s="140">
        <f t="shared" si="168"/>
        <v>0.25</v>
      </c>
      <c r="AJ404" s="140">
        <f t="shared" si="169"/>
        <v>0.25</v>
      </c>
      <c r="AK404" s="140">
        <f t="shared" si="170"/>
        <v>0.25</v>
      </c>
      <c r="AL404" s="140">
        <f t="shared" si="171"/>
        <v>0.25</v>
      </c>
      <c r="AM404" t="str">
        <f t="shared" si="172"/>
        <v>4696-000: Street signs Supplies</v>
      </c>
      <c r="AN404" s="140">
        <f t="shared" si="173"/>
        <v>8.3333333333333329E-2</v>
      </c>
      <c r="AO404" s="140">
        <f t="shared" si="174"/>
        <v>-8.3333333333333329E-2</v>
      </c>
      <c r="AP404" s="1" t="str">
        <f>IF(AND(AO404&gt;0, _xlfn.XLOOKUP($AM404, Discretionaries!$A$2:'Discretionaries'!$A$150, Discretionaries!$B$2:'Discretionaries'!$B$150)), (1+AN404)*$N404, "")</f>
        <v/>
      </c>
      <c r="AQ404" s="1" t="str">
        <f>IF(AND(AO404&gt;0, _xlfn.XLOOKUP($AM404, Discretionaries!$A$2:'Discretionaries'!$A$150, Discretionaries!$B$2:'Discretionaries'!$B$150)),AP404-$Q404,"")</f>
        <v/>
      </c>
      <c r="AR404" s="140">
        <f>IF(AG404="", 0-CPI!$B$15, AG404-CPI!$B$15)</f>
        <v>-3.8999999999999993E-2</v>
      </c>
      <c r="AS404" s="1" t="str">
        <f>IF(AND(AR404&gt;0, _xlfn.XLOOKUP($AM404, Discretionaries!$A$2:'Discretionaries'!$A$150, Discretionaries!$B$2:'Discretionaries'!$B$150)), (1+CPI!$B$15)*$N404, "")</f>
        <v/>
      </c>
      <c r="AT404" s="1" t="str">
        <f>IF(AND(AR404&gt;0, _xlfn.XLOOKUP($AM404, Discretionaries!$A$2:'Discretionaries'!$A$150, Discretionaries!$B$2:'Discretionaries'!$B$150)),AS404-$Q404,"")</f>
        <v/>
      </c>
    </row>
    <row r="405" spans="1:46" x14ac:dyDescent="0.3">
      <c r="A405" t="s">
        <v>437</v>
      </c>
      <c r="B405" t="str">
        <f t="shared" si="150"/>
        <v>26</v>
      </c>
      <c r="C405" t="s">
        <v>438</v>
      </c>
      <c r="D405" t="str">
        <f t="shared" si="151"/>
        <v>31</v>
      </c>
      <c r="E405" t="s">
        <v>30</v>
      </c>
      <c r="F405" s="139" t="s">
        <v>329</v>
      </c>
      <c r="G405" t="s">
        <v>330</v>
      </c>
      <c r="H405" s="156">
        <v>240000</v>
      </c>
      <c r="I405" s="156">
        <v>241403.59</v>
      </c>
      <c r="J405" s="156">
        <v>290000</v>
      </c>
      <c r="K405" s="156">
        <v>200709.5</v>
      </c>
      <c r="L405" s="156">
        <v>290000</v>
      </c>
      <c r="M405" s="156">
        <v>306749.88</v>
      </c>
      <c r="N405" s="156">
        <v>290000</v>
      </c>
      <c r="O405" s="156">
        <v>290772</v>
      </c>
      <c r="P405" s="156">
        <v>290772</v>
      </c>
      <c r="Q405" s="156">
        <v>290772</v>
      </c>
      <c r="R405" s="156">
        <v>290000</v>
      </c>
      <c r="S405" s="156">
        <f t="shared" si="152"/>
        <v>772</v>
      </c>
      <c r="T405" s="156">
        <f t="shared" si="153"/>
        <v>772</v>
      </c>
      <c r="U405" s="140">
        <f t="shared" si="154"/>
        <v>2.6620689655172413E-3</v>
      </c>
      <c r="V405" s="140">
        <f t="shared" si="155"/>
        <v>5.8482916666666518E-3</v>
      </c>
      <c r="W405" s="140">
        <f t="shared" si="156"/>
        <v>-0.30789827586206897</v>
      </c>
      <c r="X405" s="140">
        <f t="shared" si="157"/>
        <v>5.7758206896551742E-2</v>
      </c>
      <c r="Y405" s="140">
        <f t="shared" si="158"/>
        <v>0.20833333333333334</v>
      </c>
      <c r="Z405" s="140">
        <f t="shared" si="159"/>
        <v>-0.1685728451677127</v>
      </c>
      <c r="AA405" s="140">
        <f t="shared" si="160"/>
        <v>0</v>
      </c>
      <c r="AB405" s="140">
        <f t="shared" si="161"/>
        <v>0.52832765763454148</v>
      </c>
      <c r="AC405" s="140">
        <f t="shared" si="162"/>
        <v>0</v>
      </c>
      <c r="AD405" s="140">
        <f t="shared" si="163"/>
        <v>0.20833333333333334</v>
      </c>
      <c r="AE405" s="140">
        <f t="shared" si="164"/>
        <v>2.6620689655172413E-3</v>
      </c>
      <c r="AF405" s="140">
        <f t="shared" si="165"/>
        <v>2.6620689655172413E-3</v>
      </c>
      <c r="AG405" s="140">
        <f t="shared" si="166"/>
        <v>2.6620689655172413E-3</v>
      </c>
      <c r="AH405" s="140">
        <f t="shared" si="167"/>
        <v>0</v>
      </c>
      <c r="AI405" s="140">
        <f t="shared" si="168"/>
        <v>0.21154999999999999</v>
      </c>
      <c r="AJ405" s="140">
        <f t="shared" si="169"/>
        <v>0.21154999999999999</v>
      </c>
      <c r="AK405" s="140">
        <f t="shared" si="170"/>
        <v>0.21154999999999999</v>
      </c>
      <c r="AL405" s="140">
        <f t="shared" si="171"/>
        <v>0.20833333333333334</v>
      </c>
      <c r="AM405" t="str">
        <f t="shared" si="172"/>
        <v>4697-000: Salt Supplies</v>
      </c>
      <c r="AN405" s="140">
        <f t="shared" si="173"/>
        <v>6.9444444444444448E-2</v>
      </c>
      <c r="AO405" s="140">
        <f t="shared" si="174"/>
        <v>-6.6782375478927208E-2</v>
      </c>
      <c r="AP405" s="1" t="str">
        <f>IF(AND(AO405&gt;0, _xlfn.XLOOKUP($AM405, Discretionaries!$A$2:'Discretionaries'!$A$150, Discretionaries!$B$2:'Discretionaries'!$B$150)), (1+AN405)*$N405, "")</f>
        <v/>
      </c>
      <c r="AQ405" s="1" t="str">
        <f>IF(AND(AO405&gt;0, _xlfn.XLOOKUP($AM405, Discretionaries!$A$2:'Discretionaries'!$A$150, Discretionaries!$B$2:'Discretionaries'!$B$150)),AP405-$Q405,"")</f>
        <v/>
      </c>
      <c r="AR405" s="140">
        <f>IF(AG405="", 0-CPI!$B$15, AG405-CPI!$B$15)</f>
        <v>-3.6337931034482754E-2</v>
      </c>
      <c r="AS405" s="1" t="str">
        <f>IF(AND(AR405&gt;0, _xlfn.XLOOKUP($AM405, Discretionaries!$A$2:'Discretionaries'!$A$150, Discretionaries!$B$2:'Discretionaries'!$B$150)), (1+CPI!$B$15)*$N405, "")</f>
        <v/>
      </c>
      <c r="AT405" s="1" t="str">
        <f>IF(AND(AR405&gt;0, _xlfn.XLOOKUP($AM405, Discretionaries!$A$2:'Discretionaries'!$A$150, Discretionaries!$B$2:'Discretionaries'!$B$150)),AS405-$Q405,"")</f>
        <v/>
      </c>
    </row>
    <row r="406" spans="1:46" x14ac:dyDescent="0.3">
      <c r="A406" t="s">
        <v>437</v>
      </c>
      <c r="B406" t="str">
        <f t="shared" si="150"/>
        <v>26</v>
      </c>
      <c r="C406" t="s">
        <v>438</v>
      </c>
      <c r="D406" t="str">
        <f t="shared" si="151"/>
        <v>31</v>
      </c>
      <c r="E406" t="s">
        <v>30</v>
      </c>
      <c r="F406" s="139" t="s">
        <v>331</v>
      </c>
      <c r="G406" t="s">
        <v>332</v>
      </c>
      <c r="H406" s="156">
        <v>25000</v>
      </c>
      <c r="I406" s="156">
        <v>0</v>
      </c>
      <c r="J406" s="156">
        <v>25000</v>
      </c>
      <c r="K406" s="156">
        <v>25000</v>
      </c>
      <c r="L406" s="156">
        <v>30000</v>
      </c>
      <c r="M406" s="156">
        <v>30205.94</v>
      </c>
      <c r="N406" s="156">
        <v>37500</v>
      </c>
      <c r="O406" s="156">
        <v>37518</v>
      </c>
      <c r="P406" s="156">
        <v>37518</v>
      </c>
      <c r="Q406" s="156">
        <v>37518</v>
      </c>
      <c r="R406" s="156">
        <v>37500</v>
      </c>
      <c r="S406" s="156">
        <f t="shared" si="152"/>
        <v>18</v>
      </c>
      <c r="T406" s="156">
        <f t="shared" si="153"/>
        <v>18</v>
      </c>
      <c r="U406" s="140">
        <f t="shared" si="154"/>
        <v>4.8000000000000001E-4</v>
      </c>
      <c r="V406" s="140">
        <f t="shared" si="155"/>
        <v>-1</v>
      </c>
      <c r="W406" s="140">
        <f t="shared" si="156"/>
        <v>0</v>
      </c>
      <c r="X406" s="140">
        <f t="shared" si="157"/>
        <v>6.8646666666666231E-3</v>
      </c>
      <c r="Y406" s="140">
        <f t="shared" si="158"/>
        <v>0</v>
      </c>
      <c r="Z406" s="140" t="str">
        <f t="shared" si="159"/>
        <v/>
      </c>
      <c r="AA406" s="140">
        <f t="shared" si="160"/>
        <v>0.2</v>
      </c>
      <c r="AB406" s="140">
        <f t="shared" si="161"/>
        <v>0.20823759999999994</v>
      </c>
      <c r="AC406" s="140">
        <f t="shared" si="162"/>
        <v>0.25</v>
      </c>
      <c r="AD406" s="140">
        <f t="shared" si="163"/>
        <v>0.5</v>
      </c>
      <c r="AE406" s="140">
        <f t="shared" si="164"/>
        <v>4.8000000000000001E-4</v>
      </c>
      <c r="AF406" s="140">
        <f t="shared" si="165"/>
        <v>4.8000000000000001E-4</v>
      </c>
      <c r="AG406" s="140">
        <f t="shared" si="166"/>
        <v>4.8000000000000001E-4</v>
      </c>
      <c r="AH406" s="140">
        <f t="shared" si="167"/>
        <v>0</v>
      </c>
      <c r="AI406" s="140">
        <f t="shared" si="168"/>
        <v>0.50072000000000005</v>
      </c>
      <c r="AJ406" s="140">
        <f t="shared" si="169"/>
        <v>0.50072000000000005</v>
      </c>
      <c r="AK406" s="140">
        <f t="shared" si="170"/>
        <v>0.50072000000000005</v>
      </c>
      <c r="AL406" s="140">
        <f t="shared" si="171"/>
        <v>0.5</v>
      </c>
      <c r="AM406" t="str">
        <f t="shared" si="172"/>
        <v>4698-000: Sand Supplies</v>
      </c>
      <c r="AN406" s="140">
        <f t="shared" si="173"/>
        <v>0.15</v>
      </c>
      <c r="AO406" s="140">
        <f t="shared" si="174"/>
        <v>-0.14951999999999999</v>
      </c>
      <c r="AP406" s="1" t="str">
        <f>IF(AND(AO406&gt;0, _xlfn.XLOOKUP($AM406, Discretionaries!$A$2:'Discretionaries'!$A$150, Discretionaries!$B$2:'Discretionaries'!$B$150)), (1+AN406)*$N406, "")</f>
        <v/>
      </c>
      <c r="AQ406" s="1" t="str">
        <f>IF(AND(AO406&gt;0, _xlfn.XLOOKUP($AM406, Discretionaries!$A$2:'Discretionaries'!$A$150, Discretionaries!$B$2:'Discretionaries'!$B$150)),AP406-$Q406,"")</f>
        <v/>
      </c>
      <c r="AR406" s="140">
        <f>IF(AG406="", 0-CPI!$B$15, AG406-CPI!$B$15)</f>
        <v>-3.8519999999999992E-2</v>
      </c>
      <c r="AS406" s="1" t="str">
        <f>IF(AND(AR406&gt;0, _xlfn.XLOOKUP($AM406, Discretionaries!$A$2:'Discretionaries'!$A$150, Discretionaries!$B$2:'Discretionaries'!$B$150)), (1+CPI!$B$15)*$N406, "")</f>
        <v/>
      </c>
      <c r="AT406" s="1" t="str">
        <f>IF(AND(AR406&gt;0, _xlfn.XLOOKUP($AM406, Discretionaries!$A$2:'Discretionaries'!$A$150, Discretionaries!$B$2:'Discretionaries'!$B$150)),AS406-$Q406,"")</f>
        <v/>
      </c>
    </row>
    <row r="407" spans="1:46" x14ac:dyDescent="0.3">
      <c r="A407" t="s">
        <v>439</v>
      </c>
      <c r="B407" t="str">
        <f t="shared" si="150"/>
        <v>27</v>
      </c>
      <c r="C407" t="s">
        <v>426</v>
      </c>
      <c r="D407" t="str">
        <f t="shared" si="151"/>
        <v>01</v>
      </c>
      <c r="E407" t="s">
        <v>11</v>
      </c>
      <c r="F407" s="139" t="s">
        <v>37</v>
      </c>
      <c r="G407" t="s">
        <v>38</v>
      </c>
      <c r="H407" s="156">
        <v>19030</v>
      </c>
      <c r="I407" s="156">
        <v>9438.35</v>
      </c>
      <c r="J407" s="156">
        <v>22026</v>
      </c>
      <c r="K407" s="156">
        <v>9257.26</v>
      </c>
      <c r="L407" s="156">
        <v>22026</v>
      </c>
      <c r="M407" s="156">
        <v>15059.36</v>
      </c>
      <c r="N407" s="156">
        <v>35319</v>
      </c>
      <c r="O407" s="156">
        <v>48048</v>
      </c>
      <c r="P407" s="156">
        <v>48048</v>
      </c>
      <c r="Q407" s="156">
        <v>48048</v>
      </c>
      <c r="R407" s="156">
        <v>48048</v>
      </c>
      <c r="S407" s="156">
        <f t="shared" si="152"/>
        <v>12729</v>
      </c>
      <c r="T407" s="156">
        <f t="shared" si="153"/>
        <v>0</v>
      </c>
      <c r="U407" s="140">
        <f t="shared" si="154"/>
        <v>0.36040091735326596</v>
      </c>
      <c r="V407" s="140">
        <f t="shared" si="155"/>
        <v>-0.50402785076195478</v>
      </c>
      <c r="W407" s="140">
        <f t="shared" si="156"/>
        <v>-0.57971215835830381</v>
      </c>
      <c r="X407" s="140">
        <f t="shared" si="157"/>
        <v>-0.31629165531644415</v>
      </c>
      <c r="Y407" s="140">
        <f t="shared" si="158"/>
        <v>0.15743562795585916</v>
      </c>
      <c r="Z407" s="140">
        <f t="shared" si="159"/>
        <v>-1.9186616304756671E-2</v>
      </c>
      <c r="AA407" s="140">
        <f t="shared" si="160"/>
        <v>0</v>
      </c>
      <c r="AB407" s="140">
        <f t="shared" si="161"/>
        <v>0.62676213047921314</v>
      </c>
      <c r="AC407" s="140">
        <f t="shared" si="162"/>
        <v>0.60351402887496597</v>
      </c>
      <c r="AD407" s="140">
        <f t="shared" si="163"/>
        <v>0.85596426694692596</v>
      </c>
      <c r="AE407" s="140">
        <f t="shared" si="164"/>
        <v>0.36040091735326596</v>
      </c>
      <c r="AF407" s="140">
        <f t="shared" si="165"/>
        <v>0.36040091735326596</v>
      </c>
      <c r="AG407" s="140">
        <f t="shared" si="166"/>
        <v>0.36040091735326596</v>
      </c>
      <c r="AH407" s="140">
        <f t="shared" si="167"/>
        <v>0.36040091735326596</v>
      </c>
      <c r="AI407" s="140">
        <f t="shared" si="168"/>
        <v>1.5248554913294798</v>
      </c>
      <c r="AJ407" s="140">
        <f t="shared" si="169"/>
        <v>1.5248554913294798</v>
      </c>
      <c r="AK407" s="140">
        <f t="shared" si="170"/>
        <v>1.5248554913294798</v>
      </c>
      <c r="AL407" s="140">
        <f t="shared" si="171"/>
        <v>1.5248554913294798</v>
      </c>
      <c r="AM407" t="str">
        <f t="shared" si="172"/>
        <v>4120-000: Part-time Salaries</v>
      </c>
      <c r="AN407" s="140">
        <f t="shared" si="173"/>
        <v>0.25364988561027507</v>
      </c>
      <c r="AO407" s="140">
        <f t="shared" si="174"/>
        <v>0.10675103174299089</v>
      </c>
      <c r="AP407" s="1" t="str">
        <f>IF(AND(AO407&gt;0, _xlfn.XLOOKUP($AM407, Discretionaries!$A$2:'Discretionaries'!$A$150, Discretionaries!$B$2:'Discretionaries'!$B$150)), (1+AN407)*$N407, "")</f>
        <v/>
      </c>
      <c r="AQ407" s="1" t="str">
        <f>IF(AND(AO407&gt;0, _xlfn.XLOOKUP($AM407, Discretionaries!$A$2:'Discretionaries'!$A$150, Discretionaries!$B$2:'Discretionaries'!$B$150)),AP407-$Q407,"")</f>
        <v/>
      </c>
      <c r="AR407" s="140">
        <f>IF(AG407="", 0-CPI!$B$15, AG407-CPI!$B$15)</f>
        <v>0.32140091735326598</v>
      </c>
      <c r="AS407" s="1" t="str">
        <f>IF(AND(AR407&gt;0, _xlfn.XLOOKUP($AM407, Discretionaries!$A$2:'Discretionaries'!$A$150, Discretionaries!$B$2:'Discretionaries'!$B$150)), (1+CPI!$B$15)*$N407, "")</f>
        <v/>
      </c>
      <c r="AT407" s="1" t="str">
        <f>IF(AND(AR407&gt;0, _xlfn.XLOOKUP($AM407, Discretionaries!$A$2:'Discretionaries'!$A$150, Discretionaries!$B$2:'Discretionaries'!$B$150)),AS407-$Q407,"")</f>
        <v/>
      </c>
    </row>
    <row r="408" spans="1:46" x14ac:dyDescent="0.3">
      <c r="A408" t="s">
        <v>439</v>
      </c>
      <c r="B408" t="str">
        <f t="shared" si="150"/>
        <v>27</v>
      </c>
      <c r="C408" t="s">
        <v>426</v>
      </c>
      <c r="D408" t="str">
        <f t="shared" si="151"/>
        <v>01</v>
      </c>
      <c r="E408" t="s">
        <v>14</v>
      </c>
      <c r="F408" s="139" t="s">
        <v>15</v>
      </c>
      <c r="G408" t="s">
        <v>16</v>
      </c>
      <c r="H408" s="156">
        <v>1180</v>
      </c>
      <c r="I408" s="156">
        <v>589.23</v>
      </c>
      <c r="J408" s="156">
        <v>1366</v>
      </c>
      <c r="K408" s="156">
        <v>547.54</v>
      </c>
      <c r="L408" s="156">
        <v>1366</v>
      </c>
      <c r="M408" s="156">
        <v>932.27</v>
      </c>
      <c r="N408" s="156">
        <v>2190</v>
      </c>
      <c r="O408" s="156">
        <v>2979</v>
      </c>
      <c r="P408" s="156">
        <v>2979</v>
      </c>
      <c r="Q408" s="156">
        <v>2979</v>
      </c>
      <c r="R408" s="156">
        <v>2979</v>
      </c>
      <c r="S408" s="156">
        <f t="shared" si="152"/>
        <v>789</v>
      </c>
      <c r="T408" s="156">
        <f t="shared" si="153"/>
        <v>0</v>
      </c>
      <c r="U408" s="140">
        <f t="shared" si="154"/>
        <v>0.36027397260273974</v>
      </c>
      <c r="V408" s="140">
        <f t="shared" si="155"/>
        <v>-0.50065254237288137</v>
      </c>
      <c r="W408" s="140">
        <f t="shared" si="156"/>
        <v>-0.59916544655929727</v>
      </c>
      <c r="X408" s="140">
        <f t="shared" si="157"/>
        <v>-0.31751830161054173</v>
      </c>
      <c r="Y408" s="140">
        <f t="shared" si="158"/>
        <v>0.15762711864406781</v>
      </c>
      <c r="Z408" s="140">
        <f t="shared" si="159"/>
        <v>-7.0753356074877469E-2</v>
      </c>
      <c r="AA408" s="140">
        <f t="shared" si="160"/>
        <v>0</v>
      </c>
      <c r="AB408" s="140">
        <f t="shared" si="161"/>
        <v>0.70265186105124744</v>
      </c>
      <c r="AC408" s="140">
        <f t="shared" si="162"/>
        <v>0.60322108345534409</v>
      </c>
      <c r="AD408" s="140">
        <f t="shared" si="163"/>
        <v>0.85593220338983056</v>
      </c>
      <c r="AE408" s="140">
        <f t="shared" si="164"/>
        <v>0.36027397260273974</v>
      </c>
      <c r="AF408" s="140">
        <f t="shared" si="165"/>
        <v>0.36027397260273974</v>
      </c>
      <c r="AG408" s="140">
        <f t="shared" si="166"/>
        <v>0.36027397260273974</v>
      </c>
      <c r="AH408" s="140">
        <f t="shared" si="167"/>
        <v>0.36027397260273974</v>
      </c>
      <c r="AI408" s="140">
        <f t="shared" si="168"/>
        <v>1.5245762711864406</v>
      </c>
      <c r="AJ408" s="140">
        <f t="shared" si="169"/>
        <v>1.5245762711864406</v>
      </c>
      <c r="AK408" s="140">
        <f t="shared" si="170"/>
        <v>1.5245762711864406</v>
      </c>
      <c r="AL408" s="140">
        <f t="shared" si="171"/>
        <v>1.5245762711864406</v>
      </c>
      <c r="AM408" t="str">
        <f t="shared" si="172"/>
        <v>4220-000: FICA Benefits</v>
      </c>
      <c r="AN408" s="140">
        <f t="shared" si="173"/>
        <v>0.25361606736647063</v>
      </c>
      <c r="AO408" s="140">
        <f t="shared" si="174"/>
        <v>0.10665790523626911</v>
      </c>
      <c r="AP408" s="1" t="str">
        <f>IF(AND(AO408&gt;0, _xlfn.XLOOKUP($AM408, Discretionaries!$A$2:'Discretionaries'!$A$150, Discretionaries!$B$2:'Discretionaries'!$B$150)), (1+AN408)*$N408, "")</f>
        <v/>
      </c>
      <c r="AQ408" s="1" t="str">
        <f>IF(AND(AO408&gt;0, _xlfn.XLOOKUP($AM408, Discretionaries!$A$2:'Discretionaries'!$A$150, Discretionaries!$B$2:'Discretionaries'!$B$150)),AP408-$Q408,"")</f>
        <v/>
      </c>
      <c r="AR408" s="140">
        <f>IF(AG408="", 0-CPI!$B$15, AG408-CPI!$B$15)</f>
        <v>0.32127397260273977</v>
      </c>
      <c r="AS408" s="1" t="str">
        <f>IF(AND(AR408&gt;0, _xlfn.XLOOKUP($AM408, Discretionaries!$A$2:'Discretionaries'!$A$150, Discretionaries!$B$2:'Discretionaries'!$B$150)), (1+CPI!$B$15)*$N408, "")</f>
        <v/>
      </c>
      <c r="AT408" s="1" t="str">
        <f>IF(AND(AR408&gt;0, _xlfn.XLOOKUP($AM408, Discretionaries!$A$2:'Discretionaries'!$A$150, Discretionaries!$B$2:'Discretionaries'!$B$150)),AS408-$Q408,"")</f>
        <v/>
      </c>
    </row>
    <row r="409" spans="1:46" x14ac:dyDescent="0.3">
      <c r="A409" t="s">
        <v>439</v>
      </c>
      <c r="B409" t="str">
        <f t="shared" si="150"/>
        <v>27</v>
      </c>
      <c r="C409" t="s">
        <v>426</v>
      </c>
      <c r="D409" t="str">
        <f t="shared" si="151"/>
        <v>01</v>
      </c>
      <c r="E409" t="s">
        <v>14</v>
      </c>
      <c r="F409" s="139" t="s">
        <v>17</v>
      </c>
      <c r="G409" t="s">
        <v>18</v>
      </c>
      <c r="H409" s="156">
        <v>276</v>
      </c>
      <c r="I409" s="156">
        <v>137.80000000000001</v>
      </c>
      <c r="J409" s="156">
        <v>319</v>
      </c>
      <c r="K409" s="156">
        <v>128.04</v>
      </c>
      <c r="L409" s="156">
        <v>319</v>
      </c>
      <c r="M409" s="156">
        <v>218</v>
      </c>
      <c r="N409" s="156">
        <v>513</v>
      </c>
      <c r="O409" s="156">
        <v>697</v>
      </c>
      <c r="P409" s="156">
        <v>697</v>
      </c>
      <c r="Q409" s="156">
        <v>697</v>
      </c>
      <c r="R409" s="156">
        <v>697</v>
      </c>
      <c r="S409" s="156">
        <f t="shared" si="152"/>
        <v>184</v>
      </c>
      <c r="T409" s="156">
        <f t="shared" si="153"/>
        <v>0</v>
      </c>
      <c r="U409" s="140">
        <f t="shared" si="154"/>
        <v>0.35867446393762181</v>
      </c>
      <c r="V409" s="140">
        <f t="shared" si="155"/>
        <v>-0.50072463768115938</v>
      </c>
      <c r="W409" s="140">
        <f t="shared" si="156"/>
        <v>-0.59862068965517246</v>
      </c>
      <c r="X409" s="140">
        <f t="shared" si="157"/>
        <v>-0.31661442006269591</v>
      </c>
      <c r="Y409" s="140">
        <f t="shared" si="158"/>
        <v>0.15579710144927536</v>
      </c>
      <c r="Z409" s="140">
        <f t="shared" si="159"/>
        <v>-7.0827285921625682E-2</v>
      </c>
      <c r="AA409" s="140">
        <f t="shared" si="160"/>
        <v>0</v>
      </c>
      <c r="AB409" s="140">
        <f t="shared" si="161"/>
        <v>0.70259293970634185</v>
      </c>
      <c r="AC409" s="140">
        <f t="shared" si="162"/>
        <v>0.60815047021943569</v>
      </c>
      <c r="AD409" s="140">
        <f t="shared" si="163"/>
        <v>0.85869565217391308</v>
      </c>
      <c r="AE409" s="140">
        <f t="shared" si="164"/>
        <v>0.35867446393762181</v>
      </c>
      <c r="AF409" s="140">
        <f t="shared" si="165"/>
        <v>0.35867446393762181</v>
      </c>
      <c r="AG409" s="140">
        <f t="shared" si="166"/>
        <v>0.35867446393762181</v>
      </c>
      <c r="AH409" s="140">
        <f t="shared" si="167"/>
        <v>0.35867446393762181</v>
      </c>
      <c r="AI409" s="140">
        <f t="shared" si="168"/>
        <v>1.5253623188405796</v>
      </c>
      <c r="AJ409" s="140">
        <f t="shared" si="169"/>
        <v>1.5253623188405796</v>
      </c>
      <c r="AK409" s="140">
        <f t="shared" si="170"/>
        <v>1.5253623188405796</v>
      </c>
      <c r="AL409" s="140">
        <f t="shared" si="171"/>
        <v>1.5253623188405796</v>
      </c>
      <c r="AM409" t="str">
        <f t="shared" si="172"/>
        <v>4225-000: Medicare Benefits</v>
      </c>
      <c r="AN409" s="140">
        <f t="shared" si="173"/>
        <v>0.25464919055623703</v>
      </c>
      <c r="AO409" s="140">
        <f t="shared" si="174"/>
        <v>0.10402527338138479</v>
      </c>
      <c r="AP409" s="1" t="str">
        <f>IF(AND(AO409&gt;0, _xlfn.XLOOKUP($AM409, Discretionaries!$A$2:'Discretionaries'!$A$150, Discretionaries!$B$2:'Discretionaries'!$B$150)), (1+AN409)*$N409, "")</f>
        <v/>
      </c>
      <c r="AQ409" s="1" t="str">
        <f>IF(AND(AO409&gt;0, _xlfn.XLOOKUP($AM409, Discretionaries!$A$2:'Discretionaries'!$A$150, Discretionaries!$B$2:'Discretionaries'!$B$150)),AP409-$Q409,"")</f>
        <v/>
      </c>
      <c r="AR409" s="140">
        <f>IF(AG409="", 0-CPI!$B$15, AG409-CPI!$B$15)</f>
        <v>0.31967446393762183</v>
      </c>
      <c r="AS409" s="1" t="str">
        <f>IF(AND(AR409&gt;0, _xlfn.XLOOKUP($AM409, Discretionaries!$A$2:'Discretionaries'!$A$150, Discretionaries!$B$2:'Discretionaries'!$B$150)), (1+CPI!$B$15)*$N409, "")</f>
        <v/>
      </c>
      <c r="AT409" s="1" t="str">
        <f>IF(AND(AR409&gt;0, _xlfn.XLOOKUP($AM409, Discretionaries!$A$2:'Discretionaries'!$A$150, Discretionaries!$B$2:'Discretionaries'!$B$150)),AS409-$Q409,"")</f>
        <v/>
      </c>
    </row>
    <row r="410" spans="1:46" x14ac:dyDescent="0.3">
      <c r="A410" t="s">
        <v>439</v>
      </c>
      <c r="B410" t="str">
        <f t="shared" si="150"/>
        <v>27</v>
      </c>
      <c r="C410" t="s">
        <v>426</v>
      </c>
      <c r="D410" t="str">
        <f t="shared" si="151"/>
        <v>01</v>
      </c>
      <c r="E410" t="s">
        <v>14</v>
      </c>
      <c r="F410" s="139" t="s">
        <v>19</v>
      </c>
      <c r="G410" t="s">
        <v>20</v>
      </c>
      <c r="H410" s="156">
        <v>202</v>
      </c>
      <c r="I410" s="156">
        <v>193.93</v>
      </c>
      <c r="J410" s="156">
        <v>216</v>
      </c>
      <c r="K410" s="156">
        <v>229.58</v>
      </c>
      <c r="L410" s="156">
        <v>257</v>
      </c>
      <c r="M410" s="156">
        <v>257.27</v>
      </c>
      <c r="N410" s="156">
        <v>304</v>
      </c>
      <c r="O410" s="156">
        <v>299</v>
      </c>
      <c r="P410" s="156">
        <v>299</v>
      </c>
      <c r="Q410" s="156">
        <v>299</v>
      </c>
      <c r="R410" s="156">
        <v>299</v>
      </c>
      <c r="S410" s="156">
        <f t="shared" si="152"/>
        <v>-5</v>
      </c>
      <c r="T410" s="156">
        <f t="shared" si="153"/>
        <v>0</v>
      </c>
      <c r="U410" s="140">
        <f t="shared" si="154"/>
        <v>-1.6447368421052631E-2</v>
      </c>
      <c r="V410" s="140">
        <f t="shared" si="155"/>
        <v>-3.9950495049504917E-2</v>
      </c>
      <c r="W410" s="140">
        <f t="shared" si="156"/>
        <v>6.2870370370370424E-2</v>
      </c>
      <c r="X410" s="140">
        <f t="shared" si="157"/>
        <v>1.0505836575874779E-3</v>
      </c>
      <c r="Y410" s="140">
        <f t="shared" si="158"/>
        <v>6.9306930693069313E-2</v>
      </c>
      <c r="Z410" s="140">
        <f t="shared" si="159"/>
        <v>0.18382921672768526</v>
      </c>
      <c r="AA410" s="140">
        <f t="shared" si="160"/>
        <v>0.18981481481481483</v>
      </c>
      <c r="AB410" s="140">
        <f t="shared" si="161"/>
        <v>0.12061155152887869</v>
      </c>
      <c r="AC410" s="140">
        <f t="shared" si="162"/>
        <v>0.1828793774319066</v>
      </c>
      <c r="AD410" s="140">
        <f t="shared" si="163"/>
        <v>0.50495049504950495</v>
      </c>
      <c r="AE410" s="140">
        <f t="shared" si="164"/>
        <v>-1.6447368421052631E-2</v>
      </c>
      <c r="AF410" s="140">
        <f t="shared" si="165"/>
        <v>-1.6447368421052631E-2</v>
      </c>
      <c r="AG410" s="140">
        <f t="shared" si="166"/>
        <v>-1.6447368421052631E-2</v>
      </c>
      <c r="AH410" s="140">
        <f t="shared" si="167"/>
        <v>-1.6447368421052631E-2</v>
      </c>
      <c r="AI410" s="140">
        <f t="shared" si="168"/>
        <v>0.48019801980198018</v>
      </c>
      <c r="AJ410" s="140">
        <f t="shared" si="169"/>
        <v>0.48019801980198018</v>
      </c>
      <c r="AK410" s="140">
        <f t="shared" si="170"/>
        <v>0.48019801980198018</v>
      </c>
      <c r="AL410" s="140">
        <f t="shared" si="171"/>
        <v>0.48019801980198018</v>
      </c>
      <c r="AM410" t="str">
        <f t="shared" si="172"/>
        <v>4260-000: Workers' comp Benefits</v>
      </c>
      <c r="AN410" s="140">
        <f t="shared" si="173"/>
        <v>0.14733370764659692</v>
      </c>
      <c r="AO410" s="140">
        <f t="shared" si="174"/>
        <v>-0.16378107606764955</v>
      </c>
      <c r="AP410" s="1" t="str">
        <f>IF(AND(AO410&gt;0, _xlfn.XLOOKUP($AM410, Discretionaries!$A$2:'Discretionaries'!$A$150, Discretionaries!$B$2:'Discretionaries'!$B$150)), (1+AN410)*$N410, "")</f>
        <v/>
      </c>
      <c r="AQ410" s="1" t="str">
        <f>IF(AND(AO410&gt;0, _xlfn.XLOOKUP($AM410, Discretionaries!$A$2:'Discretionaries'!$A$150, Discretionaries!$B$2:'Discretionaries'!$B$150)),AP410-$Q410,"")</f>
        <v/>
      </c>
      <c r="AR410" s="140">
        <f>IF(AG410="", 0-CPI!$B$15, AG410-CPI!$B$15)</f>
        <v>-5.544736842105262E-2</v>
      </c>
      <c r="AS410" s="1" t="str">
        <f>IF(AND(AR410&gt;0, _xlfn.XLOOKUP($AM410, Discretionaries!$A$2:'Discretionaries'!$A$150, Discretionaries!$B$2:'Discretionaries'!$B$150)), (1+CPI!$B$15)*$N410, "")</f>
        <v/>
      </c>
      <c r="AT410" s="1" t="str">
        <f>IF(AND(AR410&gt;0, _xlfn.XLOOKUP($AM410, Discretionaries!$A$2:'Discretionaries'!$A$150, Discretionaries!$B$2:'Discretionaries'!$B$150)),AS410-$Q410,"")</f>
        <v/>
      </c>
    </row>
    <row r="411" spans="1:46" x14ac:dyDescent="0.3">
      <c r="A411" t="s">
        <v>439</v>
      </c>
      <c r="B411" t="str">
        <f t="shared" si="150"/>
        <v>27</v>
      </c>
      <c r="C411" t="s">
        <v>426</v>
      </c>
      <c r="D411" t="str">
        <f t="shared" si="151"/>
        <v>01</v>
      </c>
      <c r="E411" t="s">
        <v>21</v>
      </c>
      <c r="F411" s="139" t="s">
        <v>338</v>
      </c>
      <c r="G411" t="s">
        <v>339</v>
      </c>
      <c r="H411" s="156">
        <v>1610293</v>
      </c>
      <c r="I411" s="156">
        <v>1717890.55</v>
      </c>
      <c r="J411" s="156">
        <v>1816402</v>
      </c>
      <c r="K411" s="156">
        <v>1836482.91</v>
      </c>
      <c r="L411" s="156">
        <v>1924908</v>
      </c>
      <c r="M411" s="156">
        <v>1928343.88</v>
      </c>
      <c r="N411" s="156">
        <v>2052980</v>
      </c>
      <c r="O411" s="156">
        <v>2243747</v>
      </c>
      <c r="P411" s="156">
        <v>2243747</v>
      </c>
      <c r="Q411" s="156">
        <v>2243747</v>
      </c>
      <c r="R411" s="156">
        <v>2243747</v>
      </c>
      <c r="S411" s="156">
        <f t="shared" si="152"/>
        <v>190767</v>
      </c>
      <c r="T411" s="156">
        <f t="shared" si="153"/>
        <v>0</v>
      </c>
      <c r="U411" s="140">
        <f t="shared" si="154"/>
        <v>9.2921996317548147E-2</v>
      </c>
      <c r="V411" s="140">
        <f t="shared" si="155"/>
        <v>6.681861623940491E-2</v>
      </c>
      <c r="W411" s="140">
        <f t="shared" si="156"/>
        <v>1.1055322555249287E-2</v>
      </c>
      <c r="X411" s="140">
        <f t="shared" si="157"/>
        <v>1.7849580343579476E-3</v>
      </c>
      <c r="Y411" s="140">
        <f t="shared" si="158"/>
        <v>0.12799471897350359</v>
      </c>
      <c r="Z411" s="140">
        <f t="shared" si="159"/>
        <v>6.9033711140677662E-2</v>
      </c>
      <c r="AA411" s="140">
        <f t="shared" si="160"/>
        <v>5.9736776330349781E-2</v>
      </c>
      <c r="AB411" s="140">
        <f t="shared" si="161"/>
        <v>5.0020051643170464E-2</v>
      </c>
      <c r="AC411" s="140">
        <f t="shared" si="162"/>
        <v>6.6534088901911162E-2</v>
      </c>
      <c r="AD411" s="140">
        <f t="shared" si="163"/>
        <v>0.27491083920752313</v>
      </c>
      <c r="AE411" s="140">
        <f t="shared" si="164"/>
        <v>9.2921996317548147E-2</v>
      </c>
      <c r="AF411" s="140">
        <f t="shared" si="165"/>
        <v>9.2921996317548147E-2</v>
      </c>
      <c r="AG411" s="140">
        <f t="shared" si="166"/>
        <v>9.2921996317548147E-2</v>
      </c>
      <c r="AH411" s="140">
        <f t="shared" si="167"/>
        <v>9.2921996317548147E-2</v>
      </c>
      <c r="AI411" s="140">
        <f t="shared" si="168"/>
        <v>0.39337809951356678</v>
      </c>
      <c r="AJ411" s="140">
        <f t="shared" si="169"/>
        <v>0.39337809951356678</v>
      </c>
      <c r="AK411" s="140">
        <f t="shared" si="170"/>
        <v>0.39337809951356678</v>
      </c>
      <c r="AL411" s="140">
        <f t="shared" si="171"/>
        <v>0.39337809951356678</v>
      </c>
      <c r="AM411" t="str">
        <f t="shared" si="172"/>
        <v>4335-000: Waste collection Services</v>
      </c>
      <c r="AN411" s="140">
        <f t="shared" si="173"/>
        <v>8.4755194735254835E-2</v>
      </c>
      <c r="AO411" s="140">
        <f t="shared" si="174"/>
        <v>8.1668015822933121E-3</v>
      </c>
      <c r="AP411" s="1">
        <f>IF(AND(AO411&gt;0, _xlfn.XLOOKUP($AM411, Discretionaries!$A$2:'Discretionaries'!$A$150, Discretionaries!$B$2:'Discretionaries'!$B$150)), (1+AN411)*$N411, "")</f>
        <v>2226980.7196875839</v>
      </c>
      <c r="AQ411" s="1">
        <f>IF(AND(AO411&gt;0, _xlfn.XLOOKUP($AM411, Discretionaries!$A$2:'Discretionaries'!$A$150, Discretionaries!$B$2:'Discretionaries'!$B$150)),AP411-$Q411,"")</f>
        <v>-16766.280312416144</v>
      </c>
      <c r="AR411" s="140">
        <f>IF(AG411="", 0-CPI!$B$15, AG411-CPI!$B$15)</f>
        <v>5.3921996317548154E-2</v>
      </c>
      <c r="AS411" s="1">
        <f>IF(AND(AR411&gt;0, _xlfn.XLOOKUP($AM411, Discretionaries!$A$2:'Discretionaries'!$A$150, Discretionaries!$B$2:'Discretionaries'!$B$150)), (1+CPI!$B$15)*$N411, "")</f>
        <v>2133046.2199999997</v>
      </c>
      <c r="AT411" s="1">
        <f>IF(AND(AR411&gt;0, _xlfn.XLOOKUP($AM411, Discretionaries!$A$2:'Discretionaries'!$A$150, Discretionaries!$B$2:'Discretionaries'!$B$150)),AS411-$Q411,"")</f>
        <v>-110700.78000000026</v>
      </c>
    </row>
    <row r="412" spans="1:46" x14ac:dyDescent="0.3">
      <c r="A412" t="s">
        <v>439</v>
      </c>
      <c r="B412" t="str">
        <f t="shared" si="150"/>
        <v>27</v>
      </c>
      <c r="C412" t="s">
        <v>426</v>
      </c>
      <c r="D412" t="str">
        <f t="shared" si="151"/>
        <v>01</v>
      </c>
      <c r="E412" t="s">
        <v>21</v>
      </c>
      <c r="F412" s="139" t="s">
        <v>340</v>
      </c>
      <c r="G412" t="s">
        <v>341</v>
      </c>
      <c r="H412" s="156">
        <v>668053</v>
      </c>
      <c r="I412" s="156">
        <v>634830.12</v>
      </c>
      <c r="J412" s="156">
        <v>757482</v>
      </c>
      <c r="K412" s="156">
        <v>668873.76</v>
      </c>
      <c r="L412" s="156">
        <v>812487</v>
      </c>
      <c r="M412" s="156">
        <v>811701.52</v>
      </c>
      <c r="N412" s="156">
        <v>855945</v>
      </c>
      <c r="O412" s="156">
        <v>1098108</v>
      </c>
      <c r="P412" s="156">
        <v>1098108</v>
      </c>
      <c r="Q412" s="156">
        <v>1098108</v>
      </c>
      <c r="R412" s="156">
        <v>1098108</v>
      </c>
      <c r="S412" s="156">
        <f t="shared" si="152"/>
        <v>242163</v>
      </c>
      <c r="T412" s="156">
        <f t="shared" si="153"/>
        <v>0</v>
      </c>
      <c r="U412" s="140">
        <f t="shared" si="154"/>
        <v>0.28291887913358921</v>
      </c>
      <c r="V412" s="140">
        <f t="shared" si="155"/>
        <v>-4.9730904583917747E-2</v>
      </c>
      <c r="W412" s="140">
        <f t="shared" si="156"/>
        <v>-0.11697735391732079</v>
      </c>
      <c r="X412" s="140">
        <f t="shared" si="157"/>
        <v>-9.6676008354592917E-4</v>
      </c>
      <c r="Y412" s="140">
        <f t="shared" si="158"/>
        <v>0.13386512746743148</v>
      </c>
      <c r="Z412" s="140">
        <f t="shared" si="159"/>
        <v>5.3626378030078366E-2</v>
      </c>
      <c r="AA412" s="140">
        <f t="shared" si="160"/>
        <v>7.2615586905035362E-2</v>
      </c>
      <c r="AB412" s="140">
        <f t="shared" si="161"/>
        <v>0.21353470346930639</v>
      </c>
      <c r="AC412" s="140">
        <f t="shared" si="162"/>
        <v>5.3487625032769756E-2</v>
      </c>
      <c r="AD412" s="140">
        <f t="shared" si="163"/>
        <v>0.2812531341076232</v>
      </c>
      <c r="AE412" s="140">
        <f t="shared" si="164"/>
        <v>0.28291887913358921</v>
      </c>
      <c r="AF412" s="140">
        <f t="shared" si="165"/>
        <v>0.28291887913358921</v>
      </c>
      <c r="AG412" s="140">
        <f t="shared" si="166"/>
        <v>0.28291887913358921</v>
      </c>
      <c r="AH412" s="140">
        <f t="shared" si="167"/>
        <v>0.28291887913358921</v>
      </c>
      <c r="AI412" s="140">
        <f t="shared" si="168"/>
        <v>0.64374383469575014</v>
      </c>
      <c r="AJ412" s="140">
        <f t="shared" si="169"/>
        <v>0.64374383469575014</v>
      </c>
      <c r="AK412" s="140">
        <f t="shared" si="170"/>
        <v>0.64374383469575014</v>
      </c>
      <c r="AL412" s="140">
        <f t="shared" si="171"/>
        <v>0.64374383469575014</v>
      </c>
      <c r="AM412" t="str">
        <f t="shared" si="172"/>
        <v>4336-000: Recycling Services</v>
      </c>
      <c r="AN412" s="140">
        <f t="shared" si="173"/>
        <v>8.6656113135078872E-2</v>
      </c>
      <c r="AO412" s="140">
        <f t="shared" si="174"/>
        <v>0.19626276599851034</v>
      </c>
      <c r="AP412" s="1">
        <f>IF(AND(AO412&gt;0, _xlfn.XLOOKUP($AM412, Discretionaries!$A$2:'Discretionaries'!$A$150, Discretionaries!$B$2:'Discretionaries'!$B$150)), (1+AN412)*$N412, "")</f>
        <v>930117.86675740511</v>
      </c>
      <c r="AQ412" s="1">
        <f>IF(AND(AO412&gt;0, _xlfn.XLOOKUP($AM412, Discretionaries!$A$2:'Discretionaries'!$A$150, Discretionaries!$B$2:'Discretionaries'!$B$150)),AP412-$Q412,"")</f>
        <v>-167990.13324259489</v>
      </c>
      <c r="AR412" s="140">
        <f>IF(AG412="", 0-CPI!$B$15, AG412-CPI!$B$15)</f>
        <v>0.24391887913358923</v>
      </c>
      <c r="AS412" s="1">
        <f>IF(AND(AR412&gt;0, _xlfn.XLOOKUP($AM412, Discretionaries!$A$2:'Discretionaries'!$A$150, Discretionaries!$B$2:'Discretionaries'!$B$150)), (1+CPI!$B$15)*$N412, "")</f>
        <v>889326.85499999998</v>
      </c>
      <c r="AT412" s="1">
        <f>IF(AND(AR412&gt;0, _xlfn.XLOOKUP($AM412, Discretionaries!$A$2:'Discretionaries'!$A$150, Discretionaries!$B$2:'Discretionaries'!$B$150)),AS412-$Q412,"")</f>
        <v>-208781.14500000002</v>
      </c>
    </row>
    <row r="413" spans="1:46" x14ac:dyDescent="0.3">
      <c r="A413" t="s">
        <v>439</v>
      </c>
      <c r="B413" t="str">
        <f t="shared" si="150"/>
        <v>27</v>
      </c>
      <c r="C413" t="s">
        <v>426</v>
      </c>
      <c r="D413" t="str">
        <f t="shared" si="151"/>
        <v>01</v>
      </c>
      <c r="E413" t="s">
        <v>21</v>
      </c>
      <c r="F413" s="139" t="s">
        <v>144</v>
      </c>
      <c r="G413" t="s">
        <v>145</v>
      </c>
      <c r="H413" s="156">
        <v>348</v>
      </c>
      <c r="I413" s="156">
        <v>53.94</v>
      </c>
      <c r="J413" s="156">
        <v>348</v>
      </c>
      <c r="K413" s="156">
        <v>0</v>
      </c>
      <c r="L413" s="156">
        <v>348</v>
      </c>
      <c r="M413" s="156">
        <v>0</v>
      </c>
      <c r="N413" s="156">
        <v>348</v>
      </c>
      <c r="O413" s="156">
        <v>348</v>
      </c>
      <c r="P413" s="156">
        <v>348</v>
      </c>
      <c r="Q413" s="156">
        <v>348</v>
      </c>
      <c r="R413" s="156">
        <v>348</v>
      </c>
      <c r="S413" s="156">
        <f t="shared" si="152"/>
        <v>0</v>
      </c>
      <c r="T413" s="156">
        <f t="shared" si="153"/>
        <v>0</v>
      </c>
      <c r="U413" s="140">
        <f t="shared" si="154"/>
        <v>0</v>
      </c>
      <c r="V413" s="140">
        <f t="shared" si="155"/>
        <v>-0.84499999999999997</v>
      </c>
      <c r="W413" s="140">
        <f t="shared" si="156"/>
        <v>-1</v>
      </c>
      <c r="X413" s="140">
        <f t="shared" si="157"/>
        <v>-1</v>
      </c>
      <c r="Y413" s="140">
        <f t="shared" si="158"/>
        <v>0</v>
      </c>
      <c r="Z413" s="140">
        <f t="shared" si="159"/>
        <v>-1</v>
      </c>
      <c r="AA413" s="140">
        <f t="shared" si="160"/>
        <v>0</v>
      </c>
      <c r="AB413" s="140" t="str">
        <f t="shared" si="161"/>
        <v/>
      </c>
      <c r="AC413" s="140">
        <f t="shared" si="162"/>
        <v>0</v>
      </c>
      <c r="AD413" s="140">
        <f t="shared" si="163"/>
        <v>0</v>
      </c>
      <c r="AE413" s="140">
        <f t="shared" si="164"/>
        <v>0</v>
      </c>
      <c r="AF413" s="140">
        <f t="shared" si="165"/>
        <v>0</v>
      </c>
      <c r="AG413" s="140">
        <f t="shared" si="166"/>
        <v>0</v>
      </c>
      <c r="AH413" s="140">
        <f t="shared" si="167"/>
        <v>0</v>
      </c>
      <c r="AI413" s="140">
        <f t="shared" si="168"/>
        <v>0</v>
      </c>
      <c r="AJ413" s="140">
        <f t="shared" si="169"/>
        <v>0</v>
      </c>
      <c r="AK413" s="140">
        <f t="shared" si="170"/>
        <v>0</v>
      </c>
      <c r="AL413" s="140">
        <f t="shared" si="171"/>
        <v>0</v>
      </c>
      <c r="AM413" t="str">
        <f t="shared" si="172"/>
        <v>4341-000: Telephone Services</v>
      </c>
      <c r="AN413" s="140">
        <f t="shared" si="173"/>
        <v>0</v>
      </c>
      <c r="AO413" s="140">
        <f t="shared" si="174"/>
        <v>0</v>
      </c>
      <c r="AP413" s="1" t="str">
        <f>IF(AND(AO413&gt;0, _xlfn.XLOOKUP($AM413, Discretionaries!$A$2:'Discretionaries'!$A$150, Discretionaries!$B$2:'Discretionaries'!$B$150)), (1+AN413)*$N413, "")</f>
        <v/>
      </c>
      <c r="AQ413" s="1" t="str">
        <f>IF(AND(AO413&gt;0, _xlfn.XLOOKUP($AM413, Discretionaries!$A$2:'Discretionaries'!$A$150, Discretionaries!$B$2:'Discretionaries'!$B$150)),AP413-$Q413,"")</f>
        <v/>
      </c>
      <c r="AR413" s="140">
        <f>IF(AG413="", 0-CPI!$B$15, AG413-CPI!$B$15)</f>
        <v>-3.8999999999999993E-2</v>
      </c>
      <c r="AS413" s="1" t="str">
        <f>IF(AND(AR413&gt;0, _xlfn.XLOOKUP($AM413, Discretionaries!$A$2:'Discretionaries'!$A$150, Discretionaries!$B$2:'Discretionaries'!$B$150)), (1+CPI!$B$15)*$N413, "")</f>
        <v/>
      </c>
      <c r="AT413" s="1" t="str">
        <f>IF(AND(AR413&gt;0, _xlfn.XLOOKUP($AM413, Discretionaries!$A$2:'Discretionaries'!$A$150, Discretionaries!$B$2:'Discretionaries'!$B$150)),AS413-$Q413,"")</f>
        <v/>
      </c>
    </row>
    <row r="414" spans="1:46" x14ac:dyDescent="0.3">
      <c r="A414" t="s">
        <v>439</v>
      </c>
      <c r="B414" t="str">
        <f t="shared" si="150"/>
        <v>27</v>
      </c>
      <c r="C414" t="s">
        <v>426</v>
      </c>
      <c r="D414" t="str">
        <f t="shared" si="151"/>
        <v>01</v>
      </c>
      <c r="E414" t="s">
        <v>133</v>
      </c>
      <c r="F414" s="139" t="s">
        <v>160</v>
      </c>
      <c r="G414" t="s">
        <v>161</v>
      </c>
      <c r="H414" s="156">
        <v>285</v>
      </c>
      <c r="I414" s="156">
        <v>345.31</v>
      </c>
      <c r="J414" s="156">
        <v>285</v>
      </c>
      <c r="K414" s="156">
        <v>266.92</v>
      </c>
      <c r="L414" s="156">
        <v>285</v>
      </c>
      <c r="M414" s="156">
        <v>312.56</v>
      </c>
      <c r="N414" s="156">
        <v>285</v>
      </c>
      <c r="O414" s="156">
        <v>313</v>
      </c>
      <c r="P414" s="156">
        <v>313</v>
      </c>
      <c r="Q414" s="156">
        <v>313</v>
      </c>
      <c r="R414" s="156">
        <v>285</v>
      </c>
      <c r="S414" s="156">
        <f t="shared" si="152"/>
        <v>28</v>
      </c>
      <c r="T414" s="156">
        <f t="shared" si="153"/>
        <v>28</v>
      </c>
      <c r="U414" s="140">
        <f t="shared" si="154"/>
        <v>9.8245614035087719E-2</v>
      </c>
      <c r="V414" s="140">
        <f t="shared" si="155"/>
        <v>0.21161403508771931</v>
      </c>
      <c r="W414" s="140">
        <f t="shared" si="156"/>
        <v>-6.3438596491228016E-2</v>
      </c>
      <c r="X414" s="140">
        <f t="shared" si="157"/>
        <v>9.6701754385964914E-2</v>
      </c>
      <c r="Y414" s="140">
        <f t="shared" si="158"/>
        <v>0</v>
      </c>
      <c r="Z414" s="140">
        <f t="shared" si="159"/>
        <v>-0.22701340824186958</v>
      </c>
      <c r="AA414" s="140">
        <f t="shared" si="160"/>
        <v>0</v>
      </c>
      <c r="AB414" s="140">
        <f t="shared" si="161"/>
        <v>0.17098756181627447</v>
      </c>
      <c r="AC414" s="140">
        <f t="shared" si="162"/>
        <v>0</v>
      </c>
      <c r="AD414" s="140">
        <f t="shared" si="163"/>
        <v>0</v>
      </c>
      <c r="AE414" s="140">
        <f t="shared" si="164"/>
        <v>9.8245614035087719E-2</v>
      </c>
      <c r="AF414" s="140">
        <f t="shared" si="165"/>
        <v>9.8245614035087719E-2</v>
      </c>
      <c r="AG414" s="140">
        <f t="shared" si="166"/>
        <v>9.8245614035087719E-2</v>
      </c>
      <c r="AH414" s="140">
        <f t="shared" si="167"/>
        <v>0</v>
      </c>
      <c r="AI414" s="140">
        <f t="shared" si="168"/>
        <v>9.8245614035087719E-2</v>
      </c>
      <c r="AJ414" s="140">
        <f t="shared" si="169"/>
        <v>9.8245614035087719E-2</v>
      </c>
      <c r="AK414" s="140">
        <f t="shared" si="170"/>
        <v>9.8245614035087719E-2</v>
      </c>
      <c r="AL414" s="140">
        <f t="shared" si="171"/>
        <v>0</v>
      </c>
      <c r="AM414" t="str">
        <f t="shared" si="172"/>
        <v>4410-000: Electric Services</v>
      </c>
      <c r="AN414" s="140">
        <f t="shared" si="173"/>
        <v>0</v>
      </c>
      <c r="AO414" s="140">
        <f t="shared" si="174"/>
        <v>9.8245614035087719E-2</v>
      </c>
      <c r="AP414" s="1">
        <f>IF(AND(AO414&gt;0, _xlfn.XLOOKUP($AM414, Discretionaries!$A$2:'Discretionaries'!$A$150, Discretionaries!$B$2:'Discretionaries'!$B$150)), (1+AN414)*$N414, "")</f>
        <v>285</v>
      </c>
      <c r="AQ414" s="1">
        <f>IF(AND(AO414&gt;0, _xlfn.XLOOKUP($AM414, Discretionaries!$A$2:'Discretionaries'!$A$150, Discretionaries!$B$2:'Discretionaries'!$B$150)),AP414-$Q414,"")</f>
        <v>-28</v>
      </c>
      <c r="AR414" s="140">
        <f>IF(AG414="", 0-CPI!$B$15, AG414-CPI!$B$15)</f>
        <v>5.9245614035087726E-2</v>
      </c>
      <c r="AS414" s="1">
        <f>IF(AND(AR414&gt;0, _xlfn.XLOOKUP($AM414, Discretionaries!$A$2:'Discretionaries'!$A$150, Discretionaries!$B$2:'Discretionaries'!$B$150)), (1+CPI!$B$15)*$N414, "")</f>
        <v>296.11499999999995</v>
      </c>
      <c r="AT414" s="1">
        <f>IF(AND(AR414&gt;0, _xlfn.XLOOKUP($AM414, Discretionaries!$A$2:'Discretionaries'!$A$150, Discretionaries!$B$2:'Discretionaries'!$B$150)),AS414-$Q414,"")</f>
        <v>-16.885000000000048</v>
      </c>
    </row>
    <row r="415" spans="1:46" x14ac:dyDescent="0.3">
      <c r="A415" t="s">
        <v>439</v>
      </c>
      <c r="B415" t="str">
        <f t="shared" si="150"/>
        <v>27</v>
      </c>
      <c r="C415" t="s">
        <v>426</v>
      </c>
      <c r="D415" t="str">
        <f t="shared" si="151"/>
        <v>01</v>
      </c>
      <c r="E415" t="s">
        <v>45</v>
      </c>
      <c r="F415" s="139" t="s">
        <v>22</v>
      </c>
      <c r="G415" t="s">
        <v>23</v>
      </c>
      <c r="H415" s="156">
        <v>1500</v>
      </c>
      <c r="I415" s="156">
        <v>1246.8800000000001</v>
      </c>
      <c r="J415" s="156">
        <v>1500</v>
      </c>
      <c r="K415" s="156">
        <v>664.21</v>
      </c>
      <c r="L415" s="156">
        <v>1500</v>
      </c>
      <c r="M415" s="156">
        <v>460.7</v>
      </c>
      <c r="N415" s="156">
        <v>1500</v>
      </c>
      <c r="O415" s="156">
        <v>1500</v>
      </c>
      <c r="P415" s="156">
        <v>1500</v>
      </c>
      <c r="Q415" s="156">
        <v>1500</v>
      </c>
      <c r="R415" s="156">
        <v>1500</v>
      </c>
      <c r="S415" s="156">
        <f t="shared" si="152"/>
        <v>0</v>
      </c>
      <c r="T415" s="156">
        <f t="shared" si="153"/>
        <v>0</v>
      </c>
      <c r="U415" s="140">
        <f t="shared" si="154"/>
        <v>0</v>
      </c>
      <c r="V415" s="140">
        <f t="shared" si="155"/>
        <v>-0.1687466666666666</v>
      </c>
      <c r="W415" s="140">
        <f t="shared" si="156"/>
        <v>-0.55719333333333332</v>
      </c>
      <c r="X415" s="140">
        <f t="shared" si="157"/>
        <v>-0.69286666666666663</v>
      </c>
      <c r="Y415" s="140">
        <f t="shared" si="158"/>
        <v>0</v>
      </c>
      <c r="Z415" s="140">
        <f t="shared" si="159"/>
        <v>-0.46730238675734637</v>
      </c>
      <c r="AA415" s="140">
        <f t="shared" si="160"/>
        <v>0</v>
      </c>
      <c r="AB415" s="140">
        <f t="shared" si="161"/>
        <v>-0.30639406211890824</v>
      </c>
      <c r="AC415" s="140">
        <f t="shared" si="162"/>
        <v>0</v>
      </c>
      <c r="AD415" s="140">
        <f t="shared" si="163"/>
        <v>0</v>
      </c>
      <c r="AE415" s="140">
        <f t="shared" si="164"/>
        <v>0</v>
      </c>
      <c r="AF415" s="140">
        <f t="shared" si="165"/>
        <v>0</v>
      </c>
      <c r="AG415" s="140">
        <f t="shared" si="166"/>
        <v>0</v>
      </c>
      <c r="AH415" s="140">
        <f t="shared" si="167"/>
        <v>0</v>
      </c>
      <c r="AI415" s="140">
        <f t="shared" si="168"/>
        <v>0</v>
      </c>
      <c r="AJ415" s="140">
        <f t="shared" si="169"/>
        <v>0</v>
      </c>
      <c r="AK415" s="140">
        <f t="shared" si="170"/>
        <v>0</v>
      </c>
      <c r="AL415" s="140">
        <f t="shared" si="171"/>
        <v>0</v>
      </c>
      <c r="AM415" t="str">
        <f t="shared" si="172"/>
        <v>4550-000: Printing Services</v>
      </c>
      <c r="AN415" s="140">
        <f t="shared" si="173"/>
        <v>0</v>
      </c>
      <c r="AO415" s="140">
        <f t="shared" si="174"/>
        <v>0</v>
      </c>
      <c r="AP415" s="1" t="str">
        <f>IF(AND(AO415&gt;0, _xlfn.XLOOKUP($AM415, Discretionaries!$A$2:'Discretionaries'!$A$150, Discretionaries!$B$2:'Discretionaries'!$B$150)), (1+AN415)*$N415, "")</f>
        <v/>
      </c>
      <c r="AQ415" s="1" t="str">
        <f>IF(AND(AO415&gt;0, _xlfn.XLOOKUP($AM415, Discretionaries!$A$2:'Discretionaries'!$A$150, Discretionaries!$B$2:'Discretionaries'!$B$150)),AP415-$Q415,"")</f>
        <v/>
      </c>
      <c r="AR415" s="140">
        <f>IF(AG415="", 0-CPI!$B$15, AG415-CPI!$B$15)</f>
        <v>-3.8999999999999993E-2</v>
      </c>
      <c r="AS415" s="1" t="str">
        <f>IF(AND(AR415&gt;0, _xlfn.XLOOKUP($AM415, Discretionaries!$A$2:'Discretionaries'!$A$150, Discretionaries!$B$2:'Discretionaries'!$B$150)), (1+CPI!$B$15)*$N415, "")</f>
        <v/>
      </c>
      <c r="AT415" s="1" t="str">
        <f>IF(AND(AR415&gt;0, _xlfn.XLOOKUP($AM415, Discretionaries!$A$2:'Discretionaries'!$A$150, Discretionaries!$B$2:'Discretionaries'!$B$150)),AS415-$Q415,"")</f>
        <v/>
      </c>
    </row>
    <row r="416" spans="1:46" x14ac:dyDescent="0.3">
      <c r="A416" t="s">
        <v>439</v>
      </c>
      <c r="B416" t="str">
        <f t="shared" si="150"/>
        <v>27</v>
      </c>
      <c r="C416" t="s">
        <v>426</v>
      </c>
      <c r="D416" t="str">
        <f t="shared" si="151"/>
        <v>01</v>
      </c>
      <c r="E416" t="s">
        <v>45</v>
      </c>
      <c r="F416" s="139" t="s">
        <v>46</v>
      </c>
      <c r="G416" t="s">
        <v>47</v>
      </c>
      <c r="H416" s="156">
        <v>2360</v>
      </c>
      <c r="I416" s="156">
        <v>2700</v>
      </c>
      <c r="J416" s="156">
        <v>2360</v>
      </c>
      <c r="K416" s="156">
        <v>2600</v>
      </c>
      <c r="L416" s="156">
        <v>2360</v>
      </c>
      <c r="M416" s="156">
        <v>601.25</v>
      </c>
      <c r="N416" s="156">
        <v>2360</v>
      </c>
      <c r="O416" s="156">
        <v>2500</v>
      </c>
      <c r="P416" s="156">
        <v>2500</v>
      </c>
      <c r="Q416" s="156">
        <v>2500</v>
      </c>
      <c r="R416" s="156">
        <v>2500</v>
      </c>
      <c r="S416" s="156">
        <f t="shared" si="152"/>
        <v>140</v>
      </c>
      <c r="T416" s="156">
        <f t="shared" si="153"/>
        <v>0</v>
      </c>
      <c r="U416" s="140">
        <f t="shared" si="154"/>
        <v>5.9322033898305086E-2</v>
      </c>
      <c r="V416" s="140">
        <f t="shared" si="155"/>
        <v>0.1440677966101695</v>
      </c>
      <c r="W416" s="140">
        <f t="shared" si="156"/>
        <v>0.10169491525423729</v>
      </c>
      <c r="X416" s="140">
        <f t="shared" si="157"/>
        <v>-0.74523305084745761</v>
      </c>
      <c r="Y416" s="140">
        <f t="shared" si="158"/>
        <v>0</v>
      </c>
      <c r="Z416" s="140">
        <f t="shared" si="159"/>
        <v>-3.7037037037037035E-2</v>
      </c>
      <c r="AA416" s="140">
        <f t="shared" si="160"/>
        <v>0</v>
      </c>
      <c r="AB416" s="140">
        <f t="shared" si="161"/>
        <v>-0.76875000000000004</v>
      </c>
      <c r="AC416" s="140">
        <f t="shared" si="162"/>
        <v>0</v>
      </c>
      <c r="AD416" s="140">
        <f t="shared" si="163"/>
        <v>0</v>
      </c>
      <c r="AE416" s="140">
        <f t="shared" si="164"/>
        <v>5.9322033898305086E-2</v>
      </c>
      <c r="AF416" s="140">
        <f t="shared" si="165"/>
        <v>5.9322033898305086E-2</v>
      </c>
      <c r="AG416" s="140">
        <f t="shared" si="166"/>
        <v>5.9322033898305086E-2</v>
      </c>
      <c r="AH416" s="140">
        <f t="shared" si="167"/>
        <v>5.9322033898305086E-2</v>
      </c>
      <c r="AI416" s="140">
        <f t="shared" si="168"/>
        <v>5.9322033898305086E-2</v>
      </c>
      <c r="AJ416" s="140">
        <f t="shared" si="169"/>
        <v>5.9322033898305086E-2</v>
      </c>
      <c r="AK416" s="140">
        <f t="shared" si="170"/>
        <v>5.9322033898305086E-2</v>
      </c>
      <c r="AL416" s="140">
        <f t="shared" si="171"/>
        <v>5.9322033898305086E-2</v>
      </c>
      <c r="AM416" t="str">
        <f t="shared" si="172"/>
        <v>4560-000: Dues &amp; subs Services</v>
      </c>
      <c r="AN416" s="140">
        <f t="shared" si="173"/>
        <v>0</v>
      </c>
      <c r="AO416" s="140">
        <f t="shared" si="174"/>
        <v>5.9322033898305086E-2</v>
      </c>
      <c r="AP416" s="1">
        <f>IF(AND(AO416&gt;0, _xlfn.XLOOKUP($AM416, Discretionaries!$A$2:'Discretionaries'!$A$150, Discretionaries!$B$2:'Discretionaries'!$B$150)), (1+AN416)*$N416, "")</f>
        <v>2360</v>
      </c>
      <c r="AQ416" s="1">
        <f>IF(AND(AO416&gt;0, _xlfn.XLOOKUP($AM416, Discretionaries!$A$2:'Discretionaries'!$A$150, Discretionaries!$B$2:'Discretionaries'!$B$150)),AP416-$Q416,"")</f>
        <v>-140</v>
      </c>
      <c r="AR416" s="140">
        <f>IF(AG416="", 0-CPI!$B$15, AG416-CPI!$B$15)</f>
        <v>2.0322033898305093E-2</v>
      </c>
      <c r="AS416" s="1">
        <f>IF(AND(AR416&gt;0, _xlfn.XLOOKUP($AM416, Discretionaries!$A$2:'Discretionaries'!$A$150, Discretionaries!$B$2:'Discretionaries'!$B$150)), (1+CPI!$B$15)*$N416, "")</f>
        <v>2452.04</v>
      </c>
      <c r="AT416" s="1">
        <f>IF(AND(AR416&gt;0, _xlfn.XLOOKUP($AM416, Discretionaries!$A$2:'Discretionaries'!$A$150, Discretionaries!$B$2:'Discretionaries'!$B$150)),AS416-$Q416,"")</f>
        <v>-47.960000000000036</v>
      </c>
    </row>
    <row r="417" spans="1:46" x14ac:dyDescent="0.3">
      <c r="A417" t="s">
        <v>439</v>
      </c>
      <c r="B417" t="str">
        <f t="shared" si="150"/>
        <v>27</v>
      </c>
      <c r="C417" t="s">
        <v>426</v>
      </c>
      <c r="D417" t="str">
        <f t="shared" si="151"/>
        <v>01</v>
      </c>
      <c r="E417" t="s">
        <v>45</v>
      </c>
      <c r="F417" s="139" t="s">
        <v>24</v>
      </c>
      <c r="G417" t="s">
        <v>25</v>
      </c>
      <c r="H417" s="156">
        <v>800</v>
      </c>
      <c r="I417" s="156">
        <v>0</v>
      </c>
      <c r="J417" s="156">
        <v>800</v>
      </c>
      <c r="K417" s="156">
        <v>410</v>
      </c>
      <c r="L417" s="156">
        <v>800</v>
      </c>
      <c r="M417" s="156">
        <v>440</v>
      </c>
      <c r="N417" s="156">
        <v>800</v>
      </c>
      <c r="O417" s="156">
        <v>440</v>
      </c>
      <c r="P417" s="156">
        <v>440</v>
      </c>
      <c r="Q417" s="156">
        <v>440</v>
      </c>
      <c r="R417" s="156">
        <v>800</v>
      </c>
      <c r="S417" s="156">
        <f t="shared" si="152"/>
        <v>-360</v>
      </c>
      <c r="T417" s="156">
        <f t="shared" si="153"/>
        <v>-360</v>
      </c>
      <c r="U417" s="140">
        <f t="shared" si="154"/>
        <v>-0.45</v>
      </c>
      <c r="V417" s="140">
        <f t="shared" si="155"/>
        <v>-1</v>
      </c>
      <c r="W417" s="140">
        <f t="shared" si="156"/>
        <v>-0.48749999999999999</v>
      </c>
      <c r="X417" s="140">
        <f t="shared" si="157"/>
        <v>-0.45</v>
      </c>
      <c r="Y417" s="140">
        <f t="shared" si="158"/>
        <v>0</v>
      </c>
      <c r="Z417" s="140" t="str">
        <f t="shared" si="159"/>
        <v/>
      </c>
      <c r="AA417" s="140">
        <f t="shared" si="160"/>
        <v>0</v>
      </c>
      <c r="AB417" s="140">
        <f t="shared" si="161"/>
        <v>7.3170731707317069E-2</v>
      </c>
      <c r="AC417" s="140">
        <f t="shared" si="162"/>
        <v>0</v>
      </c>
      <c r="AD417" s="140">
        <f t="shared" si="163"/>
        <v>0</v>
      </c>
      <c r="AE417" s="140">
        <f t="shared" si="164"/>
        <v>-0.45</v>
      </c>
      <c r="AF417" s="140">
        <f t="shared" si="165"/>
        <v>-0.45</v>
      </c>
      <c r="AG417" s="140">
        <f t="shared" si="166"/>
        <v>-0.45</v>
      </c>
      <c r="AH417" s="140">
        <f t="shared" si="167"/>
        <v>0</v>
      </c>
      <c r="AI417" s="140">
        <f t="shared" si="168"/>
        <v>-0.45</v>
      </c>
      <c r="AJ417" s="140">
        <f t="shared" si="169"/>
        <v>-0.45</v>
      </c>
      <c r="AK417" s="140">
        <f t="shared" si="170"/>
        <v>-0.45</v>
      </c>
      <c r="AL417" s="140">
        <f t="shared" si="171"/>
        <v>0</v>
      </c>
      <c r="AM417" t="str">
        <f t="shared" si="172"/>
        <v>4570-000: Sem &amp; workshops Services</v>
      </c>
      <c r="AN417" s="140">
        <f t="shared" si="173"/>
        <v>0</v>
      </c>
      <c r="AO417" s="140">
        <f t="shared" si="174"/>
        <v>-0.45</v>
      </c>
      <c r="AP417" s="1" t="str">
        <f>IF(AND(AO417&gt;0, _xlfn.XLOOKUP($AM417, Discretionaries!$A$2:'Discretionaries'!$A$150, Discretionaries!$B$2:'Discretionaries'!$B$150)), (1+AN417)*$N417, "")</f>
        <v/>
      </c>
      <c r="AQ417" s="1" t="str">
        <f>IF(AND(AO417&gt;0, _xlfn.XLOOKUP($AM417, Discretionaries!$A$2:'Discretionaries'!$A$150, Discretionaries!$B$2:'Discretionaries'!$B$150)),AP417-$Q417,"")</f>
        <v/>
      </c>
      <c r="AR417" s="140">
        <f>IF(AG417="", 0-CPI!$B$15, AG417-CPI!$B$15)</f>
        <v>-0.48899999999999999</v>
      </c>
      <c r="AS417" s="1" t="str">
        <f>IF(AND(AR417&gt;0, _xlfn.XLOOKUP($AM417, Discretionaries!$A$2:'Discretionaries'!$A$150, Discretionaries!$B$2:'Discretionaries'!$B$150)), (1+CPI!$B$15)*$N417, "")</f>
        <v/>
      </c>
      <c r="AT417" s="1" t="str">
        <f>IF(AND(AR417&gt;0, _xlfn.XLOOKUP($AM417, Discretionaries!$A$2:'Discretionaries'!$A$150, Discretionaries!$B$2:'Discretionaries'!$B$150)),AS417-$Q417,"")</f>
        <v/>
      </c>
    </row>
    <row r="418" spans="1:46" x14ac:dyDescent="0.3">
      <c r="A418" t="s">
        <v>439</v>
      </c>
      <c r="B418" t="str">
        <f t="shared" si="150"/>
        <v>27</v>
      </c>
      <c r="C418" t="s">
        <v>426</v>
      </c>
      <c r="D418" t="str">
        <f t="shared" si="151"/>
        <v>01</v>
      </c>
      <c r="E418" t="s">
        <v>45</v>
      </c>
      <c r="F418" s="139" t="s">
        <v>26</v>
      </c>
      <c r="G418" t="s">
        <v>27</v>
      </c>
      <c r="H418" s="156">
        <v>250</v>
      </c>
      <c r="I418" s="156">
        <v>0</v>
      </c>
      <c r="J418" s="156">
        <v>250</v>
      </c>
      <c r="K418" s="156">
        <v>0</v>
      </c>
      <c r="L418" s="156">
        <v>250</v>
      </c>
      <c r="M418" s="156">
        <v>0</v>
      </c>
      <c r="N418" s="156">
        <v>250</v>
      </c>
      <c r="O418" s="156">
        <v>250</v>
      </c>
      <c r="P418" s="156">
        <v>250</v>
      </c>
      <c r="Q418" s="156">
        <v>250</v>
      </c>
      <c r="R418" s="156">
        <v>250</v>
      </c>
      <c r="S418" s="156">
        <f t="shared" si="152"/>
        <v>0</v>
      </c>
      <c r="T418" s="156">
        <f t="shared" si="153"/>
        <v>0</v>
      </c>
      <c r="U418" s="140">
        <f t="shared" si="154"/>
        <v>0</v>
      </c>
      <c r="V418" s="140">
        <f t="shared" si="155"/>
        <v>-1</v>
      </c>
      <c r="W418" s="140">
        <f t="shared" si="156"/>
        <v>-1</v>
      </c>
      <c r="X418" s="140">
        <f t="shared" si="157"/>
        <v>-1</v>
      </c>
      <c r="Y418" s="140">
        <f t="shared" si="158"/>
        <v>0</v>
      </c>
      <c r="Z418" s="140" t="str">
        <f t="shared" si="159"/>
        <v/>
      </c>
      <c r="AA418" s="140">
        <f t="shared" si="160"/>
        <v>0</v>
      </c>
      <c r="AB418" s="140" t="str">
        <f t="shared" si="161"/>
        <v/>
      </c>
      <c r="AC418" s="140">
        <f t="shared" si="162"/>
        <v>0</v>
      </c>
      <c r="AD418" s="140">
        <f t="shared" si="163"/>
        <v>0</v>
      </c>
      <c r="AE418" s="140">
        <f t="shared" si="164"/>
        <v>0</v>
      </c>
      <c r="AF418" s="140">
        <f t="shared" si="165"/>
        <v>0</v>
      </c>
      <c r="AG418" s="140">
        <f t="shared" si="166"/>
        <v>0</v>
      </c>
      <c r="AH418" s="140">
        <f t="shared" si="167"/>
        <v>0</v>
      </c>
      <c r="AI418" s="140">
        <f t="shared" si="168"/>
        <v>0</v>
      </c>
      <c r="AJ418" s="140">
        <f t="shared" si="169"/>
        <v>0</v>
      </c>
      <c r="AK418" s="140">
        <f t="shared" si="170"/>
        <v>0</v>
      </c>
      <c r="AL418" s="140">
        <f t="shared" si="171"/>
        <v>0</v>
      </c>
      <c r="AM418" t="str">
        <f t="shared" si="172"/>
        <v>4575-000: Travel &amp; mileage Services</v>
      </c>
      <c r="AN418" s="140">
        <f t="shared" si="173"/>
        <v>0</v>
      </c>
      <c r="AO418" s="140">
        <f t="shared" si="174"/>
        <v>0</v>
      </c>
      <c r="AP418" s="1" t="str">
        <f>IF(AND(AO418&gt;0, _xlfn.XLOOKUP($AM418, Discretionaries!$A$2:'Discretionaries'!$A$150, Discretionaries!$B$2:'Discretionaries'!$B$150)), (1+AN418)*$N418, "")</f>
        <v/>
      </c>
      <c r="AQ418" s="1" t="str">
        <f>IF(AND(AO418&gt;0, _xlfn.XLOOKUP($AM418, Discretionaries!$A$2:'Discretionaries'!$A$150, Discretionaries!$B$2:'Discretionaries'!$B$150)),AP418-$Q418,"")</f>
        <v/>
      </c>
      <c r="AR418" s="140">
        <f>IF(AG418="", 0-CPI!$B$15, AG418-CPI!$B$15)</f>
        <v>-3.8999999999999993E-2</v>
      </c>
      <c r="AS418" s="1" t="str">
        <f>IF(AND(AR418&gt;0, _xlfn.XLOOKUP($AM418, Discretionaries!$A$2:'Discretionaries'!$A$150, Discretionaries!$B$2:'Discretionaries'!$B$150)), (1+CPI!$B$15)*$N418, "")</f>
        <v/>
      </c>
      <c r="AT418" s="1" t="str">
        <f>IF(AND(AR418&gt;0, _xlfn.XLOOKUP($AM418, Discretionaries!$A$2:'Discretionaries'!$A$150, Discretionaries!$B$2:'Discretionaries'!$B$150)),AS418-$Q418,"")</f>
        <v/>
      </c>
    </row>
    <row r="419" spans="1:46" x14ac:dyDescent="0.3">
      <c r="A419" t="s">
        <v>439</v>
      </c>
      <c r="B419" t="str">
        <f t="shared" si="150"/>
        <v>27</v>
      </c>
      <c r="C419" t="s">
        <v>426</v>
      </c>
      <c r="D419" t="str">
        <f t="shared" si="151"/>
        <v>01</v>
      </c>
      <c r="E419" t="s">
        <v>30</v>
      </c>
      <c r="F419" s="139" t="s">
        <v>31</v>
      </c>
      <c r="G419" t="s">
        <v>32</v>
      </c>
      <c r="H419" s="156">
        <v>930</v>
      </c>
      <c r="I419" s="156">
        <v>2602.44</v>
      </c>
      <c r="J419" s="156">
        <v>930</v>
      </c>
      <c r="K419" s="156">
        <v>1113.42</v>
      </c>
      <c r="L419" s="156">
        <v>930</v>
      </c>
      <c r="M419" s="156">
        <v>827.62</v>
      </c>
      <c r="N419" s="156">
        <v>930</v>
      </c>
      <c r="O419" s="156">
        <v>930</v>
      </c>
      <c r="P419" s="156">
        <v>930</v>
      </c>
      <c r="Q419" s="156">
        <v>930</v>
      </c>
      <c r="R419" s="156">
        <v>930</v>
      </c>
      <c r="S419" s="156">
        <f t="shared" si="152"/>
        <v>0</v>
      </c>
      <c r="T419" s="156">
        <f t="shared" si="153"/>
        <v>0</v>
      </c>
      <c r="U419" s="140">
        <f t="shared" si="154"/>
        <v>0</v>
      </c>
      <c r="V419" s="140">
        <f t="shared" si="155"/>
        <v>1.7983225806451613</v>
      </c>
      <c r="W419" s="140">
        <f t="shared" si="156"/>
        <v>0.19722580645161297</v>
      </c>
      <c r="X419" s="140">
        <f t="shared" si="157"/>
        <v>-0.11008602150537634</v>
      </c>
      <c r="Y419" s="140">
        <f t="shared" si="158"/>
        <v>0</v>
      </c>
      <c r="Z419" s="140">
        <f t="shared" si="159"/>
        <v>-0.57216304698667397</v>
      </c>
      <c r="AA419" s="140">
        <f t="shared" si="160"/>
        <v>0</v>
      </c>
      <c r="AB419" s="140">
        <f t="shared" si="161"/>
        <v>-0.25668660523432313</v>
      </c>
      <c r="AC419" s="140">
        <f t="shared" si="162"/>
        <v>0</v>
      </c>
      <c r="AD419" s="140">
        <f t="shared" si="163"/>
        <v>0</v>
      </c>
      <c r="AE419" s="140">
        <f t="shared" si="164"/>
        <v>0</v>
      </c>
      <c r="AF419" s="140">
        <f t="shared" si="165"/>
        <v>0</v>
      </c>
      <c r="AG419" s="140">
        <f t="shared" si="166"/>
        <v>0</v>
      </c>
      <c r="AH419" s="140">
        <f t="shared" si="167"/>
        <v>0</v>
      </c>
      <c r="AI419" s="140">
        <f t="shared" si="168"/>
        <v>0</v>
      </c>
      <c r="AJ419" s="140">
        <f t="shared" si="169"/>
        <v>0</v>
      </c>
      <c r="AK419" s="140">
        <f t="shared" si="170"/>
        <v>0</v>
      </c>
      <c r="AL419" s="140">
        <f t="shared" si="171"/>
        <v>0</v>
      </c>
      <c r="AM419" t="str">
        <f t="shared" si="172"/>
        <v>4610-000: General expenses Supplies</v>
      </c>
      <c r="AN419" s="140">
        <f t="shared" si="173"/>
        <v>0</v>
      </c>
      <c r="AO419" s="140">
        <f t="shared" si="174"/>
        <v>0</v>
      </c>
      <c r="AP419" s="1" t="str">
        <f>IF(AND(AO419&gt;0, _xlfn.XLOOKUP($AM419, Discretionaries!$A$2:'Discretionaries'!$A$150, Discretionaries!$B$2:'Discretionaries'!$B$150)), (1+AN419)*$N419, "")</f>
        <v/>
      </c>
      <c r="AQ419" s="1" t="str">
        <f>IF(AND(AO419&gt;0, _xlfn.XLOOKUP($AM419, Discretionaries!$A$2:'Discretionaries'!$A$150, Discretionaries!$B$2:'Discretionaries'!$B$150)),AP419-$Q419,"")</f>
        <v/>
      </c>
      <c r="AR419" s="140">
        <f>IF(AG419="", 0-CPI!$B$15, AG419-CPI!$B$15)</f>
        <v>-3.8999999999999993E-2</v>
      </c>
      <c r="AS419" s="1" t="str">
        <f>IF(AND(AR419&gt;0, _xlfn.XLOOKUP($AM419, Discretionaries!$A$2:'Discretionaries'!$A$150, Discretionaries!$B$2:'Discretionaries'!$B$150)), (1+CPI!$B$15)*$N419, "")</f>
        <v/>
      </c>
      <c r="AT419" s="1" t="str">
        <f>IF(AND(AR419&gt;0, _xlfn.XLOOKUP($AM419, Discretionaries!$A$2:'Discretionaries'!$A$150, Discretionaries!$B$2:'Discretionaries'!$B$150)),AS419-$Q419,"")</f>
        <v/>
      </c>
    </row>
    <row r="420" spans="1:46" x14ac:dyDescent="0.3">
      <c r="A420" t="s">
        <v>439</v>
      </c>
      <c r="B420" t="str">
        <f t="shared" si="150"/>
        <v>27</v>
      </c>
      <c r="C420" t="s">
        <v>426</v>
      </c>
      <c r="D420" t="str">
        <f t="shared" si="151"/>
        <v>01</v>
      </c>
      <c r="E420" t="s">
        <v>30</v>
      </c>
      <c r="F420" s="139" t="s">
        <v>51</v>
      </c>
      <c r="G420" t="s">
        <v>48</v>
      </c>
      <c r="H420" s="156">
        <v>270</v>
      </c>
      <c r="I420" s="156">
        <v>201.57</v>
      </c>
      <c r="J420" s="156">
        <v>270</v>
      </c>
      <c r="K420" s="156">
        <v>34.49</v>
      </c>
      <c r="L420" s="156">
        <v>270</v>
      </c>
      <c r="M420" s="156">
        <v>309.61</v>
      </c>
      <c r="N420" s="156">
        <v>270</v>
      </c>
      <c r="O420" s="156">
        <v>310</v>
      </c>
      <c r="P420" s="156">
        <v>310</v>
      </c>
      <c r="Q420" s="156">
        <v>310</v>
      </c>
      <c r="R420" s="156">
        <v>270</v>
      </c>
      <c r="S420" s="156">
        <f t="shared" si="152"/>
        <v>40</v>
      </c>
      <c r="T420" s="156">
        <f t="shared" si="153"/>
        <v>40</v>
      </c>
      <c r="U420" s="140">
        <f t="shared" si="154"/>
        <v>0.14814814814814814</v>
      </c>
      <c r="V420" s="140">
        <f t="shared" si="155"/>
        <v>-0.25344444444444447</v>
      </c>
      <c r="W420" s="140">
        <f t="shared" si="156"/>
        <v>-0.87225925925925918</v>
      </c>
      <c r="X420" s="140">
        <f t="shared" si="157"/>
        <v>0.14670370370370375</v>
      </c>
      <c r="Y420" s="140">
        <f t="shared" si="158"/>
        <v>0</v>
      </c>
      <c r="Z420" s="140">
        <f t="shared" si="159"/>
        <v>-0.82889318847050653</v>
      </c>
      <c r="AA420" s="140">
        <f t="shared" si="160"/>
        <v>0</v>
      </c>
      <c r="AB420" s="140">
        <f t="shared" si="161"/>
        <v>7.9768048709770945</v>
      </c>
      <c r="AC420" s="140">
        <f t="shared" si="162"/>
        <v>0</v>
      </c>
      <c r="AD420" s="140">
        <f t="shared" si="163"/>
        <v>0</v>
      </c>
      <c r="AE420" s="140">
        <f t="shared" si="164"/>
        <v>0.14814814814814814</v>
      </c>
      <c r="AF420" s="140">
        <f t="shared" si="165"/>
        <v>0.14814814814814814</v>
      </c>
      <c r="AG420" s="140">
        <f t="shared" si="166"/>
        <v>0.14814814814814814</v>
      </c>
      <c r="AH420" s="140">
        <f t="shared" si="167"/>
        <v>0</v>
      </c>
      <c r="AI420" s="140">
        <f t="shared" si="168"/>
        <v>0.14814814814814814</v>
      </c>
      <c r="AJ420" s="140">
        <f t="shared" si="169"/>
        <v>0.14814814814814814</v>
      </c>
      <c r="AK420" s="140">
        <f t="shared" si="170"/>
        <v>0.14814814814814814</v>
      </c>
      <c r="AL420" s="140">
        <f t="shared" si="171"/>
        <v>0</v>
      </c>
      <c r="AM420" t="str">
        <f t="shared" si="172"/>
        <v>4620-000: Office supplies Supplies</v>
      </c>
      <c r="AN420" s="140">
        <f t="shared" si="173"/>
        <v>0</v>
      </c>
      <c r="AO420" s="140">
        <f t="shared" si="174"/>
        <v>0.14814814814814814</v>
      </c>
      <c r="AP420" s="1">
        <f>IF(AND(AO420&gt;0, _xlfn.XLOOKUP($AM420, Discretionaries!$A$2:'Discretionaries'!$A$150, Discretionaries!$B$2:'Discretionaries'!$B$150)), (1+AN420)*$N420, "")</f>
        <v>270</v>
      </c>
      <c r="AQ420" s="1">
        <f>IF(AND(AO420&gt;0, _xlfn.XLOOKUP($AM420, Discretionaries!$A$2:'Discretionaries'!$A$150, Discretionaries!$B$2:'Discretionaries'!$B$150)),AP420-$Q420,"")</f>
        <v>-40</v>
      </c>
      <c r="AR420" s="140">
        <f>IF(AG420="", 0-CPI!$B$15, AG420-CPI!$B$15)</f>
        <v>0.10914814814814815</v>
      </c>
      <c r="AS420" s="1">
        <f>IF(AND(AR420&gt;0, _xlfn.XLOOKUP($AM420, Discretionaries!$A$2:'Discretionaries'!$A$150, Discretionaries!$B$2:'Discretionaries'!$B$150)), (1+CPI!$B$15)*$N420, "")</f>
        <v>280.52999999999997</v>
      </c>
      <c r="AT420" s="1">
        <f>IF(AND(AR420&gt;0, _xlfn.XLOOKUP($AM420, Discretionaries!$A$2:'Discretionaries'!$A$150, Discretionaries!$B$2:'Discretionaries'!$B$150)),AS420-$Q420,"")</f>
        <v>-29.470000000000027</v>
      </c>
    </row>
    <row r="421" spans="1:46" x14ac:dyDescent="0.3">
      <c r="A421" t="s">
        <v>439</v>
      </c>
      <c r="B421" t="str">
        <f t="shared" si="150"/>
        <v>27</v>
      </c>
      <c r="C421" t="s">
        <v>426</v>
      </c>
      <c r="D421" t="str">
        <f t="shared" si="151"/>
        <v>01</v>
      </c>
      <c r="E421" t="s">
        <v>30</v>
      </c>
      <c r="F421" s="139" t="s">
        <v>52</v>
      </c>
      <c r="G421" t="s">
        <v>49</v>
      </c>
      <c r="H421" s="156">
        <v>425</v>
      </c>
      <c r="I421" s="156">
        <v>786.28</v>
      </c>
      <c r="J421" s="156">
        <v>425</v>
      </c>
      <c r="K421" s="156">
        <v>723.49</v>
      </c>
      <c r="L421" s="156">
        <v>425</v>
      </c>
      <c r="M421" s="156">
        <v>708.52</v>
      </c>
      <c r="N421" s="156">
        <v>425</v>
      </c>
      <c r="O421" s="156">
        <v>800</v>
      </c>
      <c r="P421" s="156">
        <v>800</v>
      </c>
      <c r="Q421" s="156">
        <v>800</v>
      </c>
      <c r="R421" s="156">
        <v>425</v>
      </c>
      <c r="S421" s="156">
        <f t="shared" si="152"/>
        <v>375</v>
      </c>
      <c r="T421" s="156">
        <f t="shared" si="153"/>
        <v>375</v>
      </c>
      <c r="U421" s="140">
        <f t="shared" si="154"/>
        <v>0.88235294117647056</v>
      </c>
      <c r="V421" s="140">
        <f t="shared" si="155"/>
        <v>0.85007058823529402</v>
      </c>
      <c r="W421" s="140">
        <f t="shared" si="156"/>
        <v>0.70232941176470587</v>
      </c>
      <c r="X421" s="140">
        <f t="shared" si="157"/>
        <v>0.6671058823529411</v>
      </c>
      <c r="Y421" s="140">
        <f t="shared" si="158"/>
        <v>0</v>
      </c>
      <c r="Z421" s="140">
        <f t="shared" si="159"/>
        <v>-7.9857048379712012E-2</v>
      </c>
      <c r="AA421" s="140">
        <f t="shared" si="160"/>
        <v>0</v>
      </c>
      <c r="AB421" s="140">
        <f t="shared" si="161"/>
        <v>-2.0691370993379352E-2</v>
      </c>
      <c r="AC421" s="140">
        <f t="shared" si="162"/>
        <v>0</v>
      </c>
      <c r="AD421" s="140">
        <f t="shared" si="163"/>
        <v>0</v>
      </c>
      <c r="AE421" s="140">
        <f t="shared" si="164"/>
        <v>0.88235294117647056</v>
      </c>
      <c r="AF421" s="140">
        <f t="shared" si="165"/>
        <v>0.88235294117647056</v>
      </c>
      <c r="AG421" s="140">
        <f t="shared" si="166"/>
        <v>0.88235294117647056</v>
      </c>
      <c r="AH421" s="140">
        <f t="shared" si="167"/>
        <v>0</v>
      </c>
      <c r="AI421" s="140">
        <f t="shared" si="168"/>
        <v>0.88235294117647056</v>
      </c>
      <c r="AJ421" s="140">
        <f t="shared" si="169"/>
        <v>0.88235294117647056</v>
      </c>
      <c r="AK421" s="140">
        <f t="shared" si="170"/>
        <v>0.88235294117647056</v>
      </c>
      <c r="AL421" s="140">
        <f t="shared" si="171"/>
        <v>0</v>
      </c>
      <c r="AM421" t="str">
        <f t="shared" si="172"/>
        <v>4625-000: Postage Supplies</v>
      </c>
      <c r="AN421" s="140">
        <f t="shared" si="173"/>
        <v>0</v>
      </c>
      <c r="AO421" s="140">
        <f t="shared" si="174"/>
        <v>0.88235294117647056</v>
      </c>
      <c r="AP421" s="1">
        <f>IF(AND(AO421&gt;0, _xlfn.XLOOKUP($AM421, Discretionaries!$A$2:'Discretionaries'!$A$150, Discretionaries!$B$2:'Discretionaries'!$B$150)), (1+AN421)*$N421, "")</f>
        <v>425</v>
      </c>
      <c r="AQ421" s="1">
        <f>IF(AND(AO421&gt;0, _xlfn.XLOOKUP($AM421, Discretionaries!$A$2:'Discretionaries'!$A$150, Discretionaries!$B$2:'Discretionaries'!$B$150)),AP421-$Q421,"")</f>
        <v>-375</v>
      </c>
      <c r="AR421" s="140">
        <f>IF(AG421="", 0-CPI!$B$15, AG421-CPI!$B$15)</f>
        <v>0.84335294117647053</v>
      </c>
      <c r="AS421" s="1">
        <f>IF(AND(AR421&gt;0, _xlfn.XLOOKUP($AM421, Discretionaries!$A$2:'Discretionaries'!$A$150, Discretionaries!$B$2:'Discretionaries'!$B$150)), (1+CPI!$B$15)*$N421, "")</f>
        <v>441.57499999999999</v>
      </c>
      <c r="AT421" s="1">
        <f>IF(AND(AR421&gt;0, _xlfn.XLOOKUP($AM421, Discretionaries!$A$2:'Discretionaries'!$A$150, Discretionaries!$B$2:'Discretionaries'!$B$150)),AS421-$Q421,"")</f>
        <v>-358.42500000000001</v>
      </c>
    </row>
    <row r="422" spans="1:46" x14ac:dyDescent="0.3">
      <c r="A422" t="s">
        <v>439</v>
      </c>
      <c r="B422" t="str">
        <f t="shared" si="150"/>
        <v>27</v>
      </c>
      <c r="C422" t="s">
        <v>426</v>
      </c>
      <c r="D422" t="str">
        <f t="shared" si="151"/>
        <v>01</v>
      </c>
      <c r="E422" t="s">
        <v>30</v>
      </c>
      <c r="F422" s="139" t="s">
        <v>210</v>
      </c>
      <c r="G422" t="s">
        <v>211</v>
      </c>
      <c r="H422" s="156">
        <v>110</v>
      </c>
      <c r="I422" s="156">
        <v>0</v>
      </c>
      <c r="J422" s="156">
        <v>110</v>
      </c>
      <c r="K422" s="156">
        <v>0</v>
      </c>
      <c r="L422" s="156">
        <v>110</v>
      </c>
      <c r="M422" s="156">
        <v>0</v>
      </c>
      <c r="N422" s="156">
        <v>110</v>
      </c>
      <c r="O422" s="156">
        <v>110</v>
      </c>
      <c r="P422" s="156">
        <v>110</v>
      </c>
      <c r="Q422" s="156">
        <v>110</v>
      </c>
      <c r="R422" s="156">
        <v>110</v>
      </c>
      <c r="S422" s="156">
        <f t="shared" si="152"/>
        <v>0</v>
      </c>
      <c r="T422" s="156">
        <f t="shared" si="153"/>
        <v>0</v>
      </c>
      <c r="U422" s="140">
        <f t="shared" si="154"/>
        <v>0</v>
      </c>
      <c r="V422" s="140">
        <f t="shared" si="155"/>
        <v>-1</v>
      </c>
      <c r="W422" s="140">
        <f t="shared" si="156"/>
        <v>-1</v>
      </c>
      <c r="X422" s="140">
        <f t="shared" si="157"/>
        <v>-1</v>
      </c>
      <c r="Y422" s="140">
        <f t="shared" si="158"/>
        <v>0</v>
      </c>
      <c r="Z422" s="140" t="str">
        <f t="shared" si="159"/>
        <v/>
      </c>
      <c r="AA422" s="140">
        <f t="shared" si="160"/>
        <v>0</v>
      </c>
      <c r="AB422" s="140" t="str">
        <f t="shared" si="161"/>
        <v/>
      </c>
      <c r="AC422" s="140">
        <f t="shared" si="162"/>
        <v>0</v>
      </c>
      <c r="AD422" s="140">
        <f t="shared" si="163"/>
        <v>0</v>
      </c>
      <c r="AE422" s="140">
        <f t="shared" si="164"/>
        <v>0</v>
      </c>
      <c r="AF422" s="140">
        <f t="shared" si="165"/>
        <v>0</v>
      </c>
      <c r="AG422" s="140">
        <f t="shared" si="166"/>
        <v>0</v>
      </c>
      <c r="AH422" s="140">
        <f t="shared" si="167"/>
        <v>0</v>
      </c>
      <c r="AI422" s="140">
        <f t="shared" si="168"/>
        <v>0</v>
      </c>
      <c r="AJ422" s="140">
        <f t="shared" si="169"/>
        <v>0</v>
      </c>
      <c r="AK422" s="140">
        <f t="shared" si="170"/>
        <v>0</v>
      </c>
      <c r="AL422" s="140">
        <f t="shared" si="171"/>
        <v>0</v>
      </c>
      <c r="AM422" t="str">
        <f t="shared" si="172"/>
        <v>4690-000: Other misc Supplies</v>
      </c>
      <c r="AN422" s="140">
        <f t="shared" si="173"/>
        <v>0</v>
      </c>
      <c r="AO422" s="140">
        <f t="shared" si="174"/>
        <v>0</v>
      </c>
      <c r="AP422" s="1" t="str">
        <f>IF(AND(AO422&gt;0, _xlfn.XLOOKUP($AM422, Discretionaries!$A$2:'Discretionaries'!$A$150, Discretionaries!$B$2:'Discretionaries'!$B$150)), (1+AN422)*$N422, "")</f>
        <v/>
      </c>
      <c r="AQ422" s="1" t="str">
        <f>IF(AND(AO422&gt;0, _xlfn.XLOOKUP($AM422, Discretionaries!$A$2:'Discretionaries'!$A$150, Discretionaries!$B$2:'Discretionaries'!$B$150)),AP422-$Q422,"")</f>
        <v/>
      </c>
      <c r="AR422" s="140">
        <f>IF(AG422="", 0-CPI!$B$15, AG422-CPI!$B$15)</f>
        <v>-3.8999999999999993E-2</v>
      </c>
      <c r="AS422" s="1" t="str">
        <f>IF(AND(AR422&gt;0, _xlfn.XLOOKUP($AM422, Discretionaries!$A$2:'Discretionaries'!$A$150, Discretionaries!$B$2:'Discretionaries'!$B$150)), (1+CPI!$B$15)*$N422, "")</f>
        <v/>
      </c>
      <c r="AT422" s="1" t="str">
        <f>IF(AND(AR422&gt;0, _xlfn.XLOOKUP($AM422, Discretionaries!$A$2:'Discretionaries'!$A$150, Discretionaries!$B$2:'Discretionaries'!$B$150)),AS422-$Q422,"")</f>
        <v/>
      </c>
    </row>
    <row r="423" spans="1:46" x14ac:dyDescent="0.3">
      <c r="A423" t="s">
        <v>440</v>
      </c>
      <c r="B423" t="str">
        <f t="shared" si="150"/>
        <v>28</v>
      </c>
      <c r="C423" t="s">
        <v>408</v>
      </c>
      <c r="D423" t="str">
        <f t="shared" si="151"/>
        <v>00</v>
      </c>
      <c r="E423" t="s">
        <v>172</v>
      </c>
      <c r="F423" s="139" t="s">
        <v>346</v>
      </c>
      <c r="G423" t="s">
        <v>347</v>
      </c>
      <c r="H423" s="156">
        <v>50000</v>
      </c>
      <c r="I423" s="156">
        <v>50000</v>
      </c>
      <c r="J423" s="156">
        <v>50000</v>
      </c>
      <c r="K423" s="156">
        <v>47983</v>
      </c>
      <c r="L423" s="156">
        <v>50000</v>
      </c>
      <c r="M423" s="156">
        <v>48154.400000000001</v>
      </c>
      <c r="N423" s="156">
        <v>50000</v>
      </c>
      <c r="O423" s="156">
        <v>50000</v>
      </c>
      <c r="P423" s="156">
        <v>50000</v>
      </c>
      <c r="Q423" s="156">
        <v>50000</v>
      </c>
      <c r="R423" s="156">
        <v>50000</v>
      </c>
      <c r="S423" s="156">
        <f t="shared" si="152"/>
        <v>0</v>
      </c>
      <c r="T423" s="156">
        <f t="shared" si="153"/>
        <v>0</v>
      </c>
      <c r="U423" s="140">
        <f t="shared" si="154"/>
        <v>0</v>
      </c>
      <c r="V423" s="140">
        <f t="shared" si="155"/>
        <v>0</v>
      </c>
      <c r="W423" s="140">
        <f t="shared" si="156"/>
        <v>-4.0340000000000001E-2</v>
      </c>
      <c r="X423" s="140">
        <f t="shared" si="157"/>
        <v>-3.6911999999999973E-2</v>
      </c>
      <c r="Y423" s="140">
        <f t="shared" si="158"/>
        <v>0</v>
      </c>
      <c r="Z423" s="140">
        <f t="shared" si="159"/>
        <v>-4.0340000000000001E-2</v>
      </c>
      <c r="AA423" s="140">
        <f t="shared" si="160"/>
        <v>0</v>
      </c>
      <c r="AB423" s="140">
        <f t="shared" si="161"/>
        <v>3.5720984515349489E-3</v>
      </c>
      <c r="AC423" s="140">
        <f t="shared" si="162"/>
        <v>0</v>
      </c>
      <c r="AD423" s="140">
        <f t="shared" si="163"/>
        <v>0</v>
      </c>
      <c r="AE423" s="140">
        <f t="shared" si="164"/>
        <v>0</v>
      </c>
      <c r="AF423" s="140">
        <f t="shared" si="165"/>
        <v>0</v>
      </c>
      <c r="AG423" s="140">
        <f t="shared" si="166"/>
        <v>0</v>
      </c>
      <c r="AH423" s="140">
        <f t="shared" si="167"/>
        <v>0</v>
      </c>
      <c r="AI423" s="140">
        <f t="shared" si="168"/>
        <v>0</v>
      </c>
      <c r="AJ423" s="140">
        <f t="shared" si="169"/>
        <v>0</v>
      </c>
      <c r="AK423" s="140">
        <f t="shared" si="170"/>
        <v>0</v>
      </c>
      <c r="AL423" s="140">
        <f t="shared" si="171"/>
        <v>0</v>
      </c>
      <c r="AM423" t="str">
        <f t="shared" si="172"/>
        <v>4830-000: Social service agencies Other</v>
      </c>
      <c r="AN423" s="140">
        <f t="shared" si="173"/>
        <v>0</v>
      </c>
      <c r="AO423" s="140">
        <f t="shared" si="174"/>
        <v>0</v>
      </c>
      <c r="AP423" s="1" t="str">
        <f>IF(AND(AO423&gt;0, _xlfn.XLOOKUP($AM423, Discretionaries!$A$2:'Discretionaries'!$A$150, Discretionaries!$B$2:'Discretionaries'!$B$150)), (1+AN423)*$N423, "")</f>
        <v/>
      </c>
      <c r="AQ423" s="1" t="str">
        <f>IF(AND(AO423&gt;0, _xlfn.XLOOKUP($AM423, Discretionaries!$A$2:'Discretionaries'!$A$150, Discretionaries!$B$2:'Discretionaries'!$B$150)),AP423-$Q423,"")</f>
        <v/>
      </c>
      <c r="AR423" s="140">
        <f>IF(AG423="", 0-CPI!$B$15, AG423-CPI!$B$15)</f>
        <v>-3.8999999999999993E-2</v>
      </c>
      <c r="AS423" s="1" t="str">
        <f>IF(AND(AR423&gt;0, _xlfn.XLOOKUP($AM423, Discretionaries!$A$2:'Discretionaries'!$A$150, Discretionaries!$B$2:'Discretionaries'!$B$150)), (1+CPI!$B$15)*$N423, "")</f>
        <v/>
      </c>
      <c r="AT423" s="1" t="str">
        <f>IF(AND(AR423&gt;0, _xlfn.XLOOKUP($AM423, Discretionaries!$A$2:'Discretionaries'!$A$150, Discretionaries!$B$2:'Discretionaries'!$B$150)),AS423-$Q423,"")</f>
        <v/>
      </c>
    </row>
    <row r="424" spans="1:46" x14ac:dyDescent="0.3">
      <c r="A424" t="s">
        <v>440</v>
      </c>
      <c r="B424" t="str">
        <f t="shared" si="150"/>
        <v>28</v>
      </c>
      <c r="C424" t="s">
        <v>441</v>
      </c>
      <c r="D424" t="str">
        <f t="shared" si="151"/>
        <v>41</v>
      </c>
      <c r="E424" t="s">
        <v>21</v>
      </c>
      <c r="F424" s="139" t="s">
        <v>142</v>
      </c>
      <c r="G424" t="s">
        <v>143</v>
      </c>
      <c r="H424" s="156">
        <v>63250</v>
      </c>
      <c r="I424" s="156">
        <v>63999.96</v>
      </c>
      <c r="J424" s="156">
        <v>63250</v>
      </c>
      <c r="K424" s="156">
        <v>63249.96</v>
      </c>
      <c r="L424" s="156">
        <v>63250</v>
      </c>
      <c r="M424" s="156">
        <v>63249.96</v>
      </c>
      <c r="N424" s="156">
        <v>75000</v>
      </c>
      <c r="O424" s="156">
        <v>77625</v>
      </c>
      <c r="P424" s="156">
        <v>77625</v>
      </c>
      <c r="Q424" s="156">
        <v>77625</v>
      </c>
      <c r="R424" s="156">
        <v>77625</v>
      </c>
      <c r="S424" s="156">
        <f t="shared" si="152"/>
        <v>2625</v>
      </c>
      <c r="T424" s="156">
        <f t="shared" si="153"/>
        <v>0</v>
      </c>
      <c r="U424" s="140">
        <f t="shared" si="154"/>
        <v>3.5000000000000003E-2</v>
      </c>
      <c r="V424" s="140">
        <f t="shared" si="155"/>
        <v>1.1857075098814215E-2</v>
      </c>
      <c r="W424" s="140">
        <f t="shared" si="156"/>
        <v>-6.3241106720748007E-7</v>
      </c>
      <c r="X424" s="140">
        <f t="shared" si="157"/>
        <v>-6.3241106720748007E-7</v>
      </c>
      <c r="Y424" s="140">
        <f t="shared" si="158"/>
        <v>0</v>
      </c>
      <c r="Z424" s="140">
        <f t="shared" si="159"/>
        <v>-1.1718757324223329E-2</v>
      </c>
      <c r="AA424" s="140">
        <f t="shared" si="160"/>
        <v>0</v>
      </c>
      <c r="AB424" s="140">
        <f t="shared" si="161"/>
        <v>0</v>
      </c>
      <c r="AC424" s="140">
        <f t="shared" si="162"/>
        <v>0.1857707509881423</v>
      </c>
      <c r="AD424" s="140">
        <f t="shared" si="163"/>
        <v>0.1857707509881423</v>
      </c>
      <c r="AE424" s="140">
        <f t="shared" si="164"/>
        <v>3.5000000000000003E-2</v>
      </c>
      <c r="AF424" s="140">
        <f t="shared" si="165"/>
        <v>3.5000000000000003E-2</v>
      </c>
      <c r="AG424" s="140">
        <f t="shared" si="166"/>
        <v>3.5000000000000003E-2</v>
      </c>
      <c r="AH424" s="140">
        <f t="shared" si="167"/>
        <v>3.5000000000000003E-2</v>
      </c>
      <c r="AI424" s="140">
        <f t="shared" si="168"/>
        <v>0.22727272727272727</v>
      </c>
      <c r="AJ424" s="140">
        <f t="shared" si="169"/>
        <v>0.22727272727272727</v>
      </c>
      <c r="AK424" s="140">
        <f t="shared" si="170"/>
        <v>0.22727272727272727</v>
      </c>
      <c r="AL424" s="140">
        <f t="shared" si="171"/>
        <v>0.22727272727272727</v>
      </c>
      <c r="AM424" t="str">
        <f t="shared" si="172"/>
        <v>4332-000: Contracted services Services</v>
      </c>
      <c r="AN424" s="140">
        <f t="shared" si="173"/>
        <v>6.1923583662714103E-2</v>
      </c>
      <c r="AO424" s="140">
        <f t="shared" si="174"/>
        <v>-2.69235836627141E-2</v>
      </c>
      <c r="AP424" s="1" t="str">
        <f>IF(AND(AO424&gt;0, _xlfn.XLOOKUP($AM424, Discretionaries!$A$2:'Discretionaries'!$A$150, Discretionaries!$B$2:'Discretionaries'!$B$150)), (1+AN424)*$N424, "")</f>
        <v/>
      </c>
      <c r="AQ424" s="1" t="str">
        <f>IF(AND(AO424&gt;0, _xlfn.XLOOKUP($AM424, Discretionaries!$A$2:'Discretionaries'!$A$150, Discretionaries!$B$2:'Discretionaries'!$B$150)),AP424-$Q424,"")</f>
        <v/>
      </c>
      <c r="AR424" s="140">
        <f>IF(AG424="", 0-CPI!$B$15, AG424-CPI!$B$15)</f>
        <v>-3.9999999999999897E-3</v>
      </c>
      <c r="AS424" s="1" t="str">
        <f>IF(AND(AR424&gt;0, _xlfn.XLOOKUP($AM424, Discretionaries!$A$2:'Discretionaries'!$A$150, Discretionaries!$B$2:'Discretionaries'!$B$150)), (1+CPI!$B$15)*$N424, "")</f>
        <v/>
      </c>
      <c r="AT424" s="1" t="str">
        <f>IF(AND(AR424&gt;0, _xlfn.XLOOKUP($AM424, Discretionaries!$A$2:'Discretionaries'!$A$150, Discretionaries!$B$2:'Discretionaries'!$B$150)),AS424-$Q424,"")</f>
        <v/>
      </c>
    </row>
    <row r="425" spans="1:46" x14ac:dyDescent="0.3">
      <c r="A425" t="s">
        <v>440</v>
      </c>
      <c r="B425" t="str">
        <f t="shared" si="150"/>
        <v>28</v>
      </c>
      <c r="C425" t="s">
        <v>441</v>
      </c>
      <c r="D425" t="str">
        <f t="shared" si="151"/>
        <v>41</v>
      </c>
      <c r="E425" t="s">
        <v>133</v>
      </c>
      <c r="F425" s="139" t="s">
        <v>160</v>
      </c>
      <c r="G425" t="s">
        <v>161</v>
      </c>
      <c r="H425" s="156">
        <v>4000</v>
      </c>
      <c r="I425" s="156">
        <v>910</v>
      </c>
      <c r="J425" s="156">
        <v>4000</v>
      </c>
      <c r="K425" s="156">
        <v>1695</v>
      </c>
      <c r="L425" s="156">
        <v>4000</v>
      </c>
      <c r="M425" s="156">
        <v>200</v>
      </c>
      <c r="N425" s="156">
        <v>4000</v>
      </c>
      <c r="O425" s="156">
        <v>4000</v>
      </c>
      <c r="P425" s="156">
        <v>4000</v>
      </c>
      <c r="Q425" s="156">
        <v>4000</v>
      </c>
      <c r="R425" s="156">
        <v>4000</v>
      </c>
      <c r="S425" s="156">
        <f t="shared" si="152"/>
        <v>0</v>
      </c>
      <c r="T425" s="156">
        <f t="shared" si="153"/>
        <v>0</v>
      </c>
      <c r="U425" s="140">
        <f t="shared" si="154"/>
        <v>0</v>
      </c>
      <c r="V425" s="140">
        <f t="shared" si="155"/>
        <v>-0.77249999999999996</v>
      </c>
      <c r="W425" s="140">
        <f t="shared" si="156"/>
        <v>-0.57625000000000004</v>
      </c>
      <c r="X425" s="140">
        <f t="shared" si="157"/>
        <v>-0.95</v>
      </c>
      <c r="Y425" s="140">
        <f t="shared" si="158"/>
        <v>0</v>
      </c>
      <c r="Z425" s="140">
        <f t="shared" si="159"/>
        <v>0.86263736263736268</v>
      </c>
      <c r="AA425" s="140">
        <f t="shared" si="160"/>
        <v>0</v>
      </c>
      <c r="AB425" s="140">
        <f t="shared" si="161"/>
        <v>-0.88200589970501475</v>
      </c>
      <c r="AC425" s="140">
        <f t="shared" si="162"/>
        <v>0</v>
      </c>
      <c r="AD425" s="140">
        <f t="shared" si="163"/>
        <v>0</v>
      </c>
      <c r="AE425" s="140">
        <f t="shared" si="164"/>
        <v>0</v>
      </c>
      <c r="AF425" s="140">
        <f t="shared" si="165"/>
        <v>0</v>
      </c>
      <c r="AG425" s="140">
        <f t="shared" si="166"/>
        <v>0</v>
      </c>
      <c r="AH425" s="140">
        <f t="shared" si="167"/>
        <v>0</v>
      </c>
      <c r="AI425" s="140">
        <f t="shared" si="168"/>
        <v>0</v>
      </c>
      <c r="AJ425" s="140">
        <f t="shared" si="169"/>
        <v>0</v>
      </c>
      <c r="AK425" s="140">
        <f t="shared" si="170"/>
        <v>0</v>
      </c>
      <c r="AL425" s="140">
        <f t="shared" si="171"/>
        <v>0</v>
      </c>
      <c r="AM425" t="str">
        <f t="shared" si="172"/>
        <v>4410-000: Electric Services</v>
      </c>
      <c r="AN425" s="140">
        <f t="shared" si="173"/>
        <v>0</v>
      </c>
      <c r="AO425" s="140">
        <f t="shared" si="174"/>
        <v>0</v>
      </c>
      <c r="AP425" s="1" t="str">
        <f>IF(AND(AO425&gt;0, _xlfn.XLOOKUP($AM425, Discretionaries!$A$2:'Discretionaries'!$A$150, Discretionaries!$B$2:'Discretionaries'!$B$150)), (1+AN425)*$N425, "")</f>
        <v/>
      </c>
      <c r="AQ425" s="1" t="str">
        <f>IF(AND(AO425&gt;0, _xlfn.XLOOKUP($AM425, Discretionaries!$A$2:'Discretionaries'!$A$150, Discretionaries!$B$2:'Discretionaries'!$B$150)),AP425-$Q425,"")</f>
        <v/>
      </c>
      <c r="AR425" s="140">
        <f>IF(AG425="", 0-CPI!$B$15, AG425-CPI!$B$15)</f>
        <v>-3.8999999999999993E-2</v>
      </c>
      <c r="AS425" s="1" t="str">
        <f>IF(AND(AR425&gt;0, _xlfn.XLOOKUP($AM425, Discretionaries!$A$2:'Discretionaries'!$A$150, Discretionaries!$B$2:'Discretionaries'!$B$150)), (1+CPI!$B$15)*$N425, "")</f>
        <v/>
      </c>
      <c r="AT425" s="1" t="str">
        <f>IF(AND(AR425&gt;0, _xlfn.XLOOKUP($AM425, Discretionaries!$A$2:'Discretionaries'!$A$150, Discretionaries!$B$2:'Discretionaries'!$B$150)),AS425-$Q425,"")</f>
        <v/>
      </c>
    </row>
    <row r="426" spans="1:46" x14ac:dyDescent="0.3">
      <c r="A426" t="s">
        <v>440</v>
      </c>
      <c r="B426" t="str">
        <f t="shared" si="150"/>
        <v>28</v>
      </c>
      <c r="C426" t="s">
        <v>441</v>
      </c>
      <c r="D426" t="str">
        <f t="shared" si="151"/>
        <v>41</v>
      </c>
      <c r="E426" t="s">
        <v>30</v>
      </c>
      <c r="F426" s="139" t="s">
        <v>210</v>
      </c>
      <c r="G426" t="s">
        <v>211</v>
      </c>
      <c r="H426" s="156">
        <v>500</v>
      </c>
      <c r="I426" s="156">
        <v>750</v>
      </c>
      <c r="J426" s="156">
        <v>500</v>
      </c>
      <c r="K426" s="156">
        <v>1640</v>
      </c>
      <c r="L426" s="156">
        <v>500</v>
      </c>
      <c r="M426" s="156">
        <v>2000</v>
      </c>
      <c r="N426" s="156">
        <v>500</v>
      </c>
      <c r="O426" s="156">
        <v>500</v>
      </c>
      <c r="P426" s="156">
        <v>500</v>
      </c>
      <c r="Q426" s="156">
        <v>500</v>
      </c>
      <c r="R426" s="156">
        <v>500</v>
      </c>
      <c r="S426" s="156">
        <f t="shared" si="152"/>
        <v>0</v>
      </c>
      <c r="T426" s="156">
        <f t="shared" si="153"/>
        <v>0</v>
      </c>
      <c r="U426" s="140">
        <f t="shared" si="154"/>
        <v>0</v>
      </c>
      <c r="V426" s="140">
        <f t="shared" si="155"/>
        <v>0.5</v>
      </c>
      <c r="W426" s="140">
        <f t="shared" si="156"/>
        <v>2.2799999999999998</v>
      </c>
      <c r="X426" s="140">
        <f t="shared" si="157"/>
        <v>3</v>
      </c>
      <c r="Y426" s="140">
        <f t="shared" si="158"/>
        <v>0</v>
      </c>
      <c r="Z426" s="140">
        <f t="shared" si="159"/>
        <v>1.1866666666666668</v>
      </c>
      <c r="AA426" s="140">
        <f t="shared" si="160"/>
        <v>0</v>
      </c>
      <c r="AB426" s="140">
        <f t="shared" si="161"/>
        <v>0.21951219512195122</v>
      </c>
      <c r="AC426" s="140">
        <f t="shared" si="162"/>
        <v>0</v>
      </c>
      <c r="AD426" s="140">
        <f t="shared" si="163"/>
        <v>0</v>
      </c>
      <c r="AE426" s="140">
        <f t="shared" si="164"/>
        <v>0</v>
      </c>
      <c r="AF426" s="140">
        <f t="shared" si="165"/>
        <v>0</v>
      </c>
      <c r="AG426" s="140">
        <f t="shared" si="166"/>
        <v>0</v>
      </c>
      <c r="AH426" s="140">
        <f t="shared" si="167"/>
        <v>0</v>
      </c>
      <c r="AI426" s="140">
        <f t="shared" si="168"/>
        <v>0</v>
      </c>
      <c r="AJ426" s="140">
        <f t="shared" si="169"/>
        <v>0</v>
      </c>
      <c r="AK426" s="140">
        <f t="shared" si="170"/>
        <v>0</v>
      </c>
      <c r="AL426" s="140">
        <f t="shared" si="171"/>
        <v>0</v>
      </c>
      <c r="AM426" t="str">
        <f t="shared" si="172"/>
        <v>4690-000: Other misc Supplies</v>
      </c>
      <c r="AN426" s="140">
        <f t="shared" si="173"/>
        <v>0</v>
      </c>
      <c r="AO426" s="140">
        <f t="shared" si="174"/>
        <v>0</v>
      </c>
      <c r="AP426" s="1" t="str">
        <f>IF(AND(AO426&gt;0, _xlfn.XLOOKUP($AM426, Discretionaries!$A$2:'Discretionaries'!$A$150, Discretionaries!$B$2:'Discretionaries'!$B$150)), (1+AN426)*$N426, "")</f>
        <v/>
      </c>
      <c r="AQ426" s="1" t="str">
        <f>IF(AND(AO426&gt;0, _xlfn.XLOOKUP($AM426, Discretionaries!$A$2:'Discretionaries'!$A$150, Discretionaries!$B$2:'Discretionaries'!$B$150)),AP426-$Q426,"")</f>
        <v/>
      </c>
      <c r="AR426" s="140">
        <f>IF(AG426="", 0-CPI!$B$15, AG426-CPI!$B$15)</f>
        <v>-3.8999999999999993E-2</v>
      </c>
      <c r="AS426" s="1" t="str">
        <f>IF(AND(AR426&gt;0, _xlfn.XLOOKUP($AM426, Discretionaries!$A$2:'Discretionaries'!$A$150, Discretionaries!$B$2:'Discretionaries'!$B$150)), (1+CPI!$B$15)*$N426, "")</f>
        <v/>
      </c>
      <c r="AT426" s="1" t="str">
        <f>IF(AND(AR426&gt;0, _xlfn.XLOOKUP($AM426, Discretionaries!$A$2:'Discretionaries'!$A$150, Discretionaries!$B$2:'Discretionaries'!$B$150)),AS426-$Q426,"")</f>
        <v/>
      </c>
    </row>
    <row r="427" spans="1:46" x14ac:dyDescent="0.3">
      <c r="A427" t="s">
        <v>440</v>
      </c>
      <c r="B427" t="str">
        <f t="shared" si="150"/>
        <v>28</v>
      </c>
      <c r="C427" t="s">
        <v>441</v>
      </c>
      <c r="D427" t="str">
        <f t="shared" si="151"/>
        <v>41</v>
      </c>
      <c r="E427" t="s">
        <v>30</v>
      </c>
      <c r="F427" s="139" t="s">
        <v>349</v>
      </c>
      <c r="G427" t="s">
        <v>350</v>
      </c>
      <c r="H427" s="156">
        <v>16000</v>
      </c>
      <c r="I427" s="156">
        <v>5660.76</v>
      </c>
      <c r="J427" s="156">
        <v>16000</v>
      </c>
      <c r="K427" s="156">
        <v>7817.63</v>
      </c>
      <c r="L427" s="156">
        <v>16000</v>
      </c>
      <c r="M427" s="156">
        <v>5746</v>
      </c>
      <c r="N427" s="156">
        <v>16000</v>
      </c>
      <c r="O427" s="156">
        <v>16000</v>
      </c>
      <c r="P427" s="156">
        <v>16000</v>
      </c>
      <c r="Q427" s="156">
        <v>16000</v>
      </c>
      <c r="R427" s="156">
        <v>16000</v>
      </c>
      <c r="S427" s="156">
        <f t="shared" si="152"/>
        <v>0</v>
      </c>
      <c r="T427" s="156">
        <f t="shared" si="153"/>
        <v>0</v>
      </c>
      <c r="U427" s="140">
        <f t="shared" si="154"/>
        <v>0</v>
      </c>
      <c r="V427" s="140">
        <f t="shared" si="155"/>
        <v>-0.64620250000000001</v>
      </c>
      <c r="W427" s="140">
        <f t="shared" si="156"/>
        <v>-0.51139812500000004</v>
      </c>
      <c r="X427" s="140">
        <f t="shared" si="157"/>
        <v>-0.64087499999999997</v>
      </c>
      <c r="Y427" s="140">
        <f t="shared" si="158"/>
        <v>0</v>
      </c>
      <c r="Z427" s="140">
        <f t="shared" si="159"/>
        <v>0.38102127629505578</v>
      </c>
      <c r="AA427" s="140">
        <f t="shared" si="160"/>
        <v>0</v>
      </c>
      <c r="AB427" s="140">
        <f t="shared" si="161"/>
        <v>-0.26499463392358041</v>
      </c>
      <c r="AC427" s="140">
        <f t="shared" si="162"/>
        <v>0</v>
      </c>
      <c r="AD427" s="140">
        <f t="shared" si="163"/>
        <v>0</v>
      </c>
      <c r="AE427" s="140">
        <f t="shared" si="164"/>
        <v>0</v>
      </c>
      <c r="AF427" s="140">
        <f t="shared" si="165"/>
        <v>0</v>
      </c>
      <c r="AG427" s="140">
        <f t="shared" si="166"/>
        <v>0</v>
      </c>
      <c r="AH427" s="140">
        <f t="shared" si="167"/>
        <v>0</v>
      </c>
      <c r="AI427" s="140">
        <f t="shared" si="168"/>
        <v>0</v>
      </c>
      <c r="AJ427" s="140">
        <f t="shared" si="169"/>
        <v>0</v>
      </c>
      <c r="AK427" s="140">
        <f t="shared" si="170"/>
        <v>0</v>
      </c>
      <c r="AL427" s="140">
        <f t="shared" si="171"/>
        <v>0</v>
      </c>
      <c r="AM427" t="str">
        <f t="shared" si="172"/>
        <v>4693-000: Welfare rent Supplies</v>
      </c>
      <c r="AN427" s="140">
        <f t="shared" si="173"/>
        <v>0</v>
      </c>
      <c r="AO427" s="140">
        <f t="shared" si="174"/>
        <v>0</v>
      </c>
      <c r="AP427" s="1" t="str">
        <f>IF(AND(AO427&gt;0, _xlfn.XLOOKUP($AM427, Discretionaries!$A$2:'Discretionaries'!$A$150, Discretionaries!$B$2:'Discretionaries'!$B$150)), (1+AN427)*$N427, "")</f>
        <v/>
      </c>
      <c r="AQ427" s="1" t="str">
        <f>IF(AND(AO427&gt;0, _xlfn.XLOOKUP($AM427, Discretionaries!$A$2:'Discretionaries'!$A$150, Discretionaries!$B$2:'Discretionaries'!$B$150)),AP427-$Q427,"")</f>
        <v/>
      </c>
      <c r="AR427" s="140">
        <f>IF(AG427="", 0-CPI!$B$15, AG427-CPI!$B$15)</f>
        <v>-3.8999999999999993E-2</v>
      </c>
      <c r="AS427" s="1" t="str">
        <f>IF(AND(AR427&gt;0, _xlfn.XLOOKUP($AM427, Discretionaries!$A$2:'Discretionaries'!$A$150, Discretionaries!$B$2:'Discretionaries'!$B$150)), (1+CPI!$B$15)*$N427, "")</f>
        <v/>
      </c>
      <c r="AT427" s="1" t="str">
        <f>IF(AND(AR427&gt;0, _xlfn.XLOOKUP($AM427, Discretionaries!$A$2:'Discretionaries'!$A$150, Discretionaries!$B$2:'Discretionaries'!$B$150)),AS427-$Q427,"")</f>
        <v/>
      </c>
    </row>
    <row r="428" spans="1:46" x14ac:dyDescent="0.3">
      <c r="A428" t="s">
        <v>440</v>
      </c>
      <c r="B428" t="str">
        <f t="shared" si="150"/>
        <v>28</v>
      </c>
      <c r="C428" t="s">
        <v>441</v>
      </c>
      <c r="D428" t="str">
        <f t="shared" si="151"/>
        <v>41</v>
      </c>
      <c r="E428" t="s">
        <v>30</v>
      </c>
      <c r="F428" s="139" t="s">
        <v>351</v>
      </c>
      <c r="G428" t="s">
        <v>352</v>
      </c>
      <c r="H428" s="156">
        <v>500</v>
      </c>
      <c r="I428" s="156">
        <v>0</v>
      </c>
      <c r="J428" s="156">
        <v>500</v>
      </c>
      <c r="K428" s="156">
        <v>0</v>
      </c>
      <c r="L428" s="156">
        <v>500</v>
      </c>
      <c r="M428" s="156">
        <v>0</v>
      </c>
      <c r="N428" s="156">
        <v>500</v>
      </c>
      <c r="O428" s="156">
        <v>500</v>
      </c>
      <c r="P428" s="156">
        <v>500</v>
      </c>
      <c r="Q428" s="156">
        <v>500</v>
      </c>
      <c r="R428" s="156">
        <v>500</v>
      </c>
      <c r="S428" s="156">
        <f t="shared" si="152"/>
        <v>0</v>
      </c>
      <c r="T428" s="156">
        <f t="shared" si="153"/>
        <v>0</v>
      </c>
      <c r="U428" s="140">
        <f t="shared" si="154"/>
        <v>0</v>
      </c>
      <c r="V428" s="140">
        <f t="shared" si="155"/>
        <v>-1</v>
      </c>
      <c r="W428" s="140">
        <f t="shared" si="156"/>
        <v>-1</v>
      </c>
      <c r="X428" s="140">
        <f t="shared" si="157"/>
        <v>-1</v>
      </c>
      <c r="Y428" s="140">
        <f t="shared" si="158"/>
        <v>0</v>
      </c>
      <c r="Z428" s="140" t="str">
        <f t="shared" si="159"/>
        <v/>
      </c>
      <c r="AA428" s="140">
        <f t="shared" si="160"/>
        <v>0</v>
      </c>
      <c r="AB428" s="140" t="str">
        <f t="shared" si="161"/>
        <v/>
      </c>
      <c r="AC428" s="140">
        <f t="shared" si="162"/>
        <v>0</v>
      </c>
      <c r="AD428" s="140">
        <f t="shared" si="163"/>
        <v>0</v>
      </c>
      <c r="AE428" s="140">
        <f t="shared" si="164"/>
        <v>0</v>
      </c>
      <c r="AF428" s="140">
        <f t="shared" si="165"/>
        <v>0</v>
      </c>
      <c r="AG428" s="140">
        <f t="shared" si="166"/>
        <v>0</v>
      </c>
      <c r="AH428" s="140">
        <f t="shared" si="167"/>
        <v>0</v>
      </c>
      <c r="AI428" s="140">
        <f t="shared" si="168"/>
        <v>0</v>
      </c>
      <c r="AJ428" s="140">
        <f t="shared" si="169"/>
        <v>0</v>
      </c>
      <c r="AK428" s="140">
        <f t="shared" si="170"/>
        <v>0</v>
      </c>
      <c r="AL428" s="140">
        <f t="shared" si="171"/>
        <v>0</v>
      </c>
      <c r="AM428" t="str">
        <f t="shared" si="172"/>
        <v>4694-000: Welfare medical Supplies</v>
      </c>
      <c r="AN428" s="140">
        <f t="shared" si="173"/>
        <v>0</v>
      </c>
      <c r="AO428" s="140">
        <f t="shared" si="174"/>
        <v>0</v>
      </c>
      <c r="AP428" s="1" t="str">
        <f>IF(AND(AO428&gt;0, _xlfn.XLOOKUP($AM428, Discretionaries!$A$2:'Discretionaries'!$A$150, Discretionaries!$B$2:'Discretionaries'!$B$150)), (1+AN428)*$N428, "")</f>
        <v/>
      </c>
      <c r="AQ428" s="1" t="str">
        <f>IF(AND(AO428&gt;0, _xlfn.XLOOKUP($AM428, Discretionaries!$A$2:'Discretionaries'!$A$150, Discretionaries!$B$2:'Discretionaries'!$B$150)),AP428-$Q428,"")</f>
        <v/>
      </c>
      <c r="AR428" s="140">
        <f>IF(AG428="", 0-CPI!$B$15, AG428-CPI!$B$15)</f>
        <v>-3.8999999999999993E-2</v>
      </c>
      <c r="AS428" s="1" t="str">
        <f>IF(AND(AR428&gt;0, _xlfn.XLOOKUP($AM428, Discretionaries!$A$2:'Discretionaries'!$A$150, Discretionaries!$B$2:'Discretionaries'!$B$150)), (1+CPI!$B$15)*$N428, "")</f>
        <v/>
      </c>
      <c r="AT428" s="1" t="str">
        <f>IF(AND(AR428&gt;0, _xlfn.XLOOKUP($AM428, Discretionaries!$A$2:'Discretionaries'!$A$150, Discretionaries!$B$2:'Discretionaries'!$B$150)),AS428-$Q428,"")</f>
        <v/>
      </c>
    </row>
    <row r="429" spans="1:46" x14ac:dyDescent="0.3">
      <c r="A429" t="s">
        <v>440</v>
      </c>
      <c r="B429" t="str">
        <f t="shared" si="150"/>
        <v>28</v>
      </c>
      <c r="C429" t="s">
        <v>441</v>
      </c>
      <c r="D429" t="str">
        <f t="shared" si="151"/>
        <v>41</v>
      </c>
      <c r="E429" t="s">
        <v>30</v>
      </c>
      <c r="F429" s="139" t="s">
        <v>353</v>
      </c>
      <c r="G429" t="s">
        <v>354</v>
      </c>
      <c r="H429" s="156">
        <v>2000</v>
      </c>
      <c r="I429" s="156">
        <v>543.51</v>
      </c>
      <c r="J429" s="156">
        <v>2000</v>
      </c>
      <c r="K429" s="156">
        <v>0</v>
      </c>
      <c r="L429" s="156">
        <v>2000</v>
      </c>
      <c r="M429" s="156">
        <v>0</v>
      </c>
      <c r="N429" s="156">
        <v>2000</v>
      </c>
      <c r="O429" s="156">
        <v>2000</v>
      </c>
      <c r="P429" s="156">
        <v>2000</v>
      </c>
      <c r="Q429" s="156">
        <v>2000</v>
      </c>
      <c r="R429" s="156">
        <v>2000</v>
      </c>
      <c r="S429" s="156">
        <f t="shared" si="152"/>
        <v>0</v>
      </c>
      <c r="T429" s="156">
        <f t="shared" si="153"/>
        <v>0</v>
      </c>
      <c r="U429" s="140">
        <f t="shared" si="154"/>
        <v>0</v>
      </c>
      <c r="V429" s="140">
        <f t="shared" si="155"/>
        <v>-0.72824500000000003</v>
      </c>
      <c r="W429" s="140">
        <f t="shared" si="156"/>
        <v>-1</v>
      </c>
      <c r="X429" s="140">
        <f t="shared" si="157"/>
        <v>-1</v>
      </c>
      <c r="Y429" s="140">
        <f t="shared" si="158"/>
        <v>0</v>
      </c>
      <c r="Z429" s="140">
        <f t="shared" si="159"/>
        <v>-1</v>
      </c>
      <c r="AA429" s="140">
        <f t="shared" si="160"/>
        <v>0</v>
      </c>
      <c r="AB429" s="140" t="str">
        <f t="shared" si="161"/>
        <v/>
      </c>
      <c r="AC429" s="140">
        <f t="shared" si="162"/>
        <v>0</v>
      </c>
      <c r="AD429" s="140">
        <f t="shared" si="163"/>
        <v>0</v>
      </c>
      <c r="AE429" s="140">
        <f t="shared" si="164"/>
        <v>0</v>
      </c>
      <c r="AF429" s="140">
        <f t="shared" si="165"/>
        <v>0</v>
      </c>
      <c r="AG429" s="140">
        <f t="shared" si="166"/>
        <v>0</v>
      </c>
      <c r="AH429" s="140">
        <f t="shared" si="167"/>
        <v>0</v>
      </c>
      <c r="AI429" s="140">
        <f t="shared" si="168"/>
        <v>0</v>
      </c>
      <c r="AJ429" s="140">
        <f t="shared" si="169"/>
        <v>0</v>
      </c>
      <c r="AK429" s="140">
        <f t="shared" si="170"/>
        <v>0</v>
      </c>
      <c r="AL429" s="140">
        <f t="shared" si="171"/>
        <v>0</v>
      </c>
      <c r="AM429" t="str">
        <f t="shared" si="172"/>
        <v>4699-000: Welfare Heat &amp; Oil Supplies</v>
      </c>
      <c r="AN429" s="140">
        <f t="shared" si="173"/>
        <v>0</v>
      </c>
      <c r="AO429" s="140">
        <f t="shared" si="174"/>
        <v>0</v>
      </c>
      <c r="AP429" s="1" t="str">
        <f>IF(AND(AO429&gt;0, _xlfn.XLOOKUP($AM429, Discretionaries!$A$2:'Discretionaries'!$A$150, Discretionaries!$B$2:'Discretionaries'!$B$150)), (1+AN429)*$N429, "")</f>
        <v/>
      </c>
      <c r="AQ429" s="1" t="str">
        <f>IF(AND(AO429&gt;0, _xlfn.XLOOKUP($AM429, Discretionaries!$A$2:'Discretionaries'!$A$150, Discretionaries!$B$2:'Discretionaries'!$B$150)),AP429-$Q429,"")</f>
        <v/>
      </c>
      <c r="AR429" s="140">
        <f>IF(AG429="", 0-CPI!$B$15, AG429-CPI!$B$15)</f>
        <v>-3.8999999999999993E-2</v>
      </c>
      <c r="AS429" s="1" t="str">
        <f>IF(AND(AR429&gt;0, _xlfn.XLOOKUP($AM429, Discretionaries!$A$2:'Discretionaries'!$A$150, Discretionaries!$B$2:'Discretionaries'!$B$150)), (1+CPI!$B$15)*$N429, "")</f>
        <v/>
      </c>
      <c r="AT429" s="1" t="str">
        <f>IF(AND(AR429&gt;0, _xlfn.XLOOKUP($AM429, Discretionaries!$A$2:'Discretionaries'!$A$150, Discretionaries!$B$2:'Discretionaries'!$B$150)),AS429-$Q429,"")</f>
        <v/>
      </c>
    </row>
    <row r="430" spans="1:46" x14ac:dyDescent="0.3">
      <c r="A430" t="s">
        <v>442</v>
      </c>
      <c r="B430" t="str">
        <f t="shared" si="150"/>
        <v>29</v>
      </c>
      <c r="C430" t="s">
        <v>408</v>
      </c>
      <c r="D430" t="str">
        <f t="shared" si="151"/>
        <v>00</v>
      </c>
      <c r="E430" t="s">
        <v>11</v>
      </c>
      <c r="F430" s="139" t="s">
        <v>35</v>
      </c>
      <c r="G430" t="s">
        <v>36</v>
      </c>
      <c r="H430" s="156">
        <v>149064</v>
      </c>
      <c r="I430" s="156">
        <v>149915.87</v>
      </c>
      <c r="J430" s="156">
        <v>151940</v>
      </c>
      <c r="K430" s="156">
        <v>149062.14000000001</v>
      </c>
      <c r="L430" s="156">
        <v>155272</v>
      </c>
      <c r="M430" s="156">
        <v>164754.72</v>
      </c>
      <c r="N430" s="156">
        <v>170991</v>
      </c>
      <c r="O430" s="156">
        <v>185300</v>
      </c>
      <c r="P430" s="156">
        <v>185300</v>
      </c>
      <c r="Q430" s="156">
        <v>185300</v>
      </c>
      <c r="R430" s="156">
        <v>185300</v>
      </c>
      <c r="S430" s="156">
        <f t="shared" si="152"/>
        <v>14309</v>
      </c>
      <c r="T430" s="156">
        <f t="shared" si="153"/>
        <v>0</v>
      </c>
      <c r="U430" s="140">
        <f t="shared" si="154"/>
        <v>8.3682766929253583E-2</v>
      </c>
      <c r="V430" s="140">
        <f t="shared" si="155"/>
        <v>5.7147936456823601E-3</v>
      </c>
      <c r="W430" s="140">
        <f t="shared" si="156"/>
        <v>-1.8940766091878281E-2</v>
      </c>
      <c r="X430" s="140">
        <f t="shared" si="157"/>
        <v>6.1071667782987282E-2</v>
      </c>
      <c r="Y430" s="140">
        <f t="shared" si="158"/>
        <v>1.9293726184726023E-2</v>
      </c>
      <c r="Z430" s="140">
        <f t="shared" si="159"/>
        <v>-5.6947273160605442E-3</v>
      </c>
      <c r="AA430" s="140">
        <f t="shared" si="160"/>
        <v>2.1929709095695669E-2</v>
      </c>
      <c r="AB430" s="140">
        <f t="shared" si="161"/>
        <v>0.1052754240614014</v>
      </c>
      <c r="AC430" s="140">
        <f t="shared" si="162"/>
        <v>0.10123525168736153</v>
      </c>
      <c r="AD430" s="140">
        <f t="shared" si="163"/>
        <v>0.14709789083883432</v>
      </c>
      <c r="AE430" s="140">
        <f t="shared" si="164"/>
        <v>8.3682766929253583E-2</v>
      </c>
      <c r="AF430" s="140">
        <f t="shared" si="165"/>
        <v>8.3682766929253583E-2</v>
      </c>
      <c r="AG430" s="140">
        <f t="shared" si="166"/>
        <v>8.3682766929253583E-2</v>
      </c>
      <c r="AH430" s="140">
        <f t="shared" si="167"/>
        <v>8.3682766929253583E-2</v>
      </c>
      <c r="AI430" s="140">
        <f t="shared" si="168"/>
        <v>0.24309021628293886</v>
      </c>
      <c r="AJ430" s="140">
        <f t="shared" si="169"/>
        <v>0.24309021628293886</v>
      </c>
      <c r="AK430" s="140">
        <f t="shared" si="170"/>
        <v>0.24309021628293886</v>
      </c>
      <c r="AL430" s="140">
        <f t="shared" si="171"/>
        <v>0.24309021628293886</v>
      </c>
      <c r="AM430" t="str">
        <f t="shared" si="172"/>
        <v>4110-000: Regular Salaries</v>
      </c>
      <c r="AN430" s="140">
        <f t="shared" si="173"/>
        <v>4.7486228989261074E-2</v>
      </c>
      <c r="AO430" s="140">
        <f t="shared" si="174"/>
        <v>3.6196537939992508E-2</v>
      </c>
      <c r="AP430" s="1" t="str">
        <f>IF(AND(AO430&gt;0, _xlfn.XLOOKUP($AM430, Discretionaries!$A$2:'Discretionaries'!$A$150, Discretionaries!$B$2:'Discretionaries'!$B$150)), (1+AN430)*$N430, "")</f>
        <v/>
      </c>
      <c r="AQ430" s="1" t="str">
        <f>IF(AND(AO430&gt;0, _xlfn.XLOOKUP($AM430, Discretionaries!$A$2:'Discretionaries'!$A$150, Discretionaries!$B$2:'Discretionaries'!$B$150)),AP430-$Q430,"")</f>
        <v/>
      </c>
      <c r="AR430" s="140">
        <f>IF(AG430="", 0-CPI!$B$15, AG430-CPI!$B$15)</f>
        <v>4.468276692925359E-2</v>
      </c>
      <c r="AS430" s="1" t="str">
        <f>IF(AND(AR430&gt;0, _xlfn.XLOOKUP($AM430, Discretionaries!$A$2:'Discretionaries'!$A$150, Discretionaries!$B$2:'Discretionaries'!$B$150)), (1+CPI!$B$15)*$N430, "")</f>
        <v/>
      </c>
      <c r="AT430" s="1" t="str">
        <f>IF(AND(AR430&gt;0, _xlfn.XLOOKUP($AM430, Discretionaries!$A$2:'Discretionaries'!$A$150, Discretionaries!$B$2:'Discretionaries'!$B$150)),AS430-$Q430,"")</f>
        <v/>
      </c>
    </row>
    <row r="431" spans="1:46" x14ac:dyDescent="0.3">
      <c r="A431" t="s">
        <v>442</v>
      </c>
      <c r="B431" t="str">
        <f t="shared" si="150"/>
        <v>29</v>
      </c>
      <c r="C431" t="s">
        <v>408</v>
      </c>
      <c r="D431" t="str">
        <f t="shared" si="151"/>
        <v>00</v>
      </c>
      <c r="E431" t="s">
        <v>11</v>
      </c>
      <c r="F431" s="139" t="s">
        <v>37</v>
      </c>
      <c r="G431" t="s">
        <v>38</v>
      </c>
      <c r="H431" s="156">
        <v>4160</v>
      </c>
      <c r="I431" s="156">
        <v>4000</v>
      </c>
      <c r="J431" s="156">
        <v>4160</v>
      </c>
      <c r="K431" s="156">
        <v>0</v>
      </c>
      <c r="L431" s="156">
        <v>4160</v>
      </c>
      <c r="M431" s="156">
        <v>0</v>
      </c>
      <c r="N431" s="156">
        <v>4160</v>
      </c>
      <c r="O431" s="156">
        <v>4160</v>
      </c>
      <c r="P431" s="156">
        <v>4160</v>
      </c>
      <c r="Q431" s="156">
        <v>4160</v>
      </c>
      <c r="R431" s="156">
        <v>4160</v>
      </c>
      <c r="S431" s="156">
        <f t="shared" si="152"/>
        <v>0</v>
      </c>
      <c r="T431" s="156">
        <f t="shared" si="153"/>
        <v>0</v>
      </c>
      <c r="U431" s="140">
        <f t="shared" si="154"/>
        <v>0</v>
      </c>
      <c r="V431" s="140">
        <f t="shared" si="155"/>
        <v>-3.8461538461538464E-2</v>
      </c>
      <c r="W431" s="140">
        <f t="shared" si="156"/>
        <v>-1</v>
      </c>
      <c r="X431" s="140">
        <f t="shared" si="157"/>
        <v>-1</v>
      </c>
      <c r="Y431" s="140">
        <f t="shared" si="158"/>
        <v>0</v>
      </c>
      <c r="Z431" s="140">
        <f t="shared" si="159"/>
        <v>-1</v>
      </c>
      <c r="AA431" s="140">
        <f t="shared" si="160"/>
        <v>0</v>
      </c>
      <c r="AB431" s="140" t="str">
        <f t="shared" si="161"/>
        <v/>
      </c>
      <c r="AC431" s="140">
        <f t="shared" si="162"/>
        <v>0</v>
      </c>
      <c r="AD431" s="140">
        <f t="shared" si="163"/>
        <v>0</v>
      </c>
      <c r="AE431" s="140">
        <f t="shared" si="164"/>
        <v>0</v>
      </c>
      <c r="AF431" s="140">
        <f t="shared" si="165"/>
        <v>0</v>
      </c>
      <c r="AG431" s="140">
        <f t="shared" si="166"/>
        <v>0</v>
      </c>
      <c r="AH431" s="140">
        <f t="shared" si="167"/>
        <v>0</v>
      </c>
      <c r="AI431" s="140">
        <f t="shared" si="168"/>
        <v>0</v>
      </c>
      <c r="AJ431" s="140">
        <f t="shared" si="169"/>
        <v>0</v>
      </c>
      <c r="AK431" s="140">
        <f t="shared" si="170"/>
        <v>0</v>
      </c>
      <c r="AL431" s="140">
        <f t="shared" si="171"/>
        <v>0</v>
      </c>
      <c r="AM431" t="str">
        <f t="shared" si="172"/>
        <v>4120-000: Part-time Salaries</v>
      </c>
      <c r="AN431" s="140">
        <f t="shared" si="173"/>
        <v>0</v>
      </c>
      <c r="AO431" s="140">
        <f t="shared" si="174"/>
        <v>0</v>
      </c>
      <c r="AP431" s="1" t="str">
        <f>IF(AND(AO431&gt;0, _xlfn.XLOOKUP($AM431, Discretionaries!$A$2:'Discretionaries'!$A$150, Discretionaries!$B$2:'Discretionaries'!$B$150)), (1+AN431)*$N431, "")</f>
        <v/>
      </c>
      <c r="AQ431" s="1" t="str">
        <f>IF(AND(AO431&gt;0, _xlfn.XLOOKUP($AM431, Discretionaries!$A$2:'Discretionaries'!$A$150, Discretionaries!$B$2:'Discretionaries'!$B$150)),AP431-$Q431,"")</f>
        <v/>
      </c>
      <c r="AR431" s="140">
        <f>IF(AG431="", 0-CPI!$B$15, AG431-CPI!$B$15)</f>
        <v>-3.8999999999999993E-2</v>
      </c>
      <c r="AS431" s="1" t="str">
        <f>IF(AND(AR431&gt;0, _xlfn.XLOOKUP($AM431, Discretionaries!$A$2:'Discretionaries'!$A$150, Discretionaries!$B$2:'Discretionaries'!$B$150)), (1+CPI!$B$15)*$N431, "")</f>
        <v/>
      </c>
      <c r="AT431" s="1" t="str">
        <f>IF(AND(AR431&gt;0, _xlfn.XLOOKUP($AM431, Discretionaries!$A$2:'Discretionaries'!$A$150, Discretionaries!$B$2:'Discretionaries'!$B$150)),AS431-$Q431,"")</f>
        <v/>
      </c>
    </row>
    <row r="432" spans="1:46" x14ac:dyDescent="0.3">
      <c r="A432" t="s">
        <v>442</v>
      </c>
      <c r="B432" t="str">
        <f t="shared" si="150"/>
        <v>29</v>
      </c>
      <c r="C432" t="s">
        <v>408</v>
      </c>
      <c r="D432" t="str">
        <f t="shared" si="151"/>
        <v>00</v>
      </c>
      <c r="E432" t="s">
        <v>11</v>
      </c>
      <c r="F432" s="139" t="s">
        <v>39</v>
      </c>
      <c r="G432" t="s">
        <v>40</v>
      </c>
      <c r="H432" s="156">
        <v>950</v>
      </c>
      <c r="I432" s="156">
        <v>1477.16</v>
      </c>
      <c r="J432" s="156">
        <v>950</v>
      </c>
      <c r="K432" s="156">
        <v>1066.1400000000001</v>
      </c>
      <c r="L432" s="156">
        <v>950</v>
      </c>
      <c r="M432" s="156">
        <v>0</v>
      </c>
      <c r="N432" s="156">
        <v>950</v>
      </c>
      <c r="O432" s="156">
        <v>0</v>
      </c>
      <c r="P432" s="156">
        <v>0</v>
      </c>
      <c r="Q432" s="156">
        <v>0</v>
      </c>
      <c r="R432" s="156">
        <v>950</v>
      </c>
      <c r="S432" s="156">
        <f t="shared" si="152"/>
        <v>-950</v>
      </c>
      <c r="T432" s="156">
        <f t="shared" si="153"/>
        <v>-950</v>
      </c>
      <c r="U432" s="140">
        <f t="shared" si="154"/>
        <v>-1</v>
      </c>
      <c r="V432" s="140">
        <f t="shared" si="155"/>
        <v>0.55490526315789479</v>
      </c>
      <c r="W432" s="140">
        <f t="shared" si="156"/>
        <v>0.12225263157894747</v>
      </c>
      <c r="X432" s="140">
        <f t="shared" si="157"/>
        <v>-1</v>
      </c>
      <c r="Y432" s="140">
        <f t="shared" si="158"/>
        <v>0</v>
      </c>
      <c r="Z432" s="140">
        <f t="shared" si="159"/>
        <v>-0.27825015570418909</v>
      </c>
      <c r="AA432" s="140">
        <f t="shared" si="160"/>
        <v>0</v>
      </c>
      <c r="AB432" s="140">
        <f t="shared" si="161"/>
        <v>-1</v>
      </c>
      <c r="AC432" s="140">
        <f t="shared" si="162"/>
        <v>0</v>
      </c>
      <c r="AD432" s="140">
        <f t="shared" si="163"/>
        <v>0</v>
      </c>
      <c r="AE432" s="140">
        <f t="shared" si="164"/>
        <v>-1</v>
      </c>
      <c r="AF432" s="140">
        <f t="shared" si="165"/>
        <v>-1</v>
      </c>
      <c r="AG432" s="140">
        <f t="shared" si="166"/>
        <v>-1</v>
      </c>
      <c r="AH432" s="140">
        <f t="shared" si="167"/>
        <v>0</v>
      </c>
      <c r="AI432" s="140">
        <f t="shared" si="168"/>
        <v>-1</v>
      </c>
      <c r="AJ432" s="140">
        <f t="shared" si="169"/>
        <v>-1</v>
      </c>
      <c r="AK432" s="140">
        <f t="shared" si="170"/>
        <v>-1</v>
      </c>
      <c r="AL432" s="140">
        <f t="shared" si="171"/>
        <v>0</v>
      </c>
      <c r="AM432" t="str">
        <f t="shared" si="172"/>
        <v>4140-000: Overtime Salaries</v>
      </c>
      <c r="AN432" s="140">
        <f t="shared" si="173"/>
        <v>0</v>
      </c>
      <c r="AO432" s="140">
        <f t="shared" si="174"/>
        <v>-1</v>
      </c>
      <c r="AP432" s="1" t="str">
        <f>IF(AND(AO432&gt;0, _xlfn.XLOOKUP($AM432, Discretionaries!$A$2:'Discretionaries'!$A$150, Discretionaries!$B$2:'Discretionaries'!$B$150)), (1+AN432)*$N432, "")</f>
        <v/>
      </c>
      <c r="AQ432" s="1" t="str">
        <f>IF(AND(AO432&gt;0, _xlfn.XLOOKUP($AM432, Discretionaries!$A$2:'Discretionaries'!$A$150, Discretionaries!$B$2:'Discretionaries'!$B$150)),AP432-$Q432,"")</f>
        <v/>
      </c>
      <c r="AR432" s="140">
        <f>IF(AG432="", 0-CPI!$B$15, AG432-CPI!$B$15)</f>
        <v>-1.0389999999999999</v>
      </c>
      <c r="AS432" s="1" t="str">
        <f>IF(AND(AR432&gt;0, _xlfn.XLOOKUP($AM432, Discretionaries!$A$2:'Discretionaries'!$A$150, Discretionaries!$B$2:'Discretionaries'!$B$150)), (1+CPI!$B$15)*$N432, "")</f>
        <v/>
      </c>
      <c r="AT432" s="1" t="str">
        <f>IF(AND(AR432&gt;0, _xlfn.XLOOKUP($AM432, Discretionaries!$A$2:'Discretionaries'!$A$150, Discretionaries!$B$2:'Discretionaries'!$B$150)),AS432-$Q432,"")</f>
        <v/>
      </c>
    </row>
    <row r="433" spans="1:46" x14ac:dyDescent="0.3">
      <c r="A433" t="s">
        <v>442</v>
      </c>
      <c r="B433" t="str">
        <f t="shared" si="150"/>
        <v>29</v>
      </c>
      <c r="C433" t="s">
        <v>408</v>
      </c>
      <c r="D433" t="str">
        <f t="shared" si="151"/>
        <v>00</v>
      </c>
      <c r="E433" t="s">
        <v>14</v>
      </c>
      <c r="F433" s="139" t="s">
        <v>41</v>
      </c>
      <c r="G433" t="s">
        <v>42</v>
      </c>
      <c r="H433" s="156">
        <v>1938</v>
      </c>
      <c r="I433" s="156">
        <v>1734.79</v>
      </c>
      <c r="J433" s="156">
        <v>1938</v>
      </c>
      <c r="K433" s="156">
        <v>1734.79</v>
      </c>
      <c r="L433" s="156">
        <v>1847</v>
      </c>
      <c r="M433" s="156">
        <v>1608.28</v>
      </c>
      <c r="N433" s="156">
        <v>1300</v>
      </c>
      <c r="O433" s="156">
        <v>1574</v>
      </c>
      <c r="P433" s="156">
        <v>1574</v>
      </c>
      <c r="Q433" s="156">
        <v>1574</v>
      </c>
      <c r="R433" s="156">
        <v>1574</v>
      </c>
      <c r="S433" s="156">
        <f t="shared" si="152"/>
        <v>274</v>
      </c>
      <c r="T433" s="156">
        <f t="shared" si="153"/>
        <v>0</v>
      </c>
      <c r="U433" s="140">
        <f t="shared" si="154"/>
        <v>0.21076923076923076</v>
      </c>
      <c r="V433" s="140">
        <f t="shared" si="155"/>
        <v>-0.10485552115583077</v>
      </c>
      <c r="W433" s="140">
        <f t="shared" si="156"/>
        <v>-0.10485552115583077</v>
      </c>
      <c r="X433" s="140">
        <f t="shared" si="157"/>
        <v>-0.12924742826204658</v>
      </c>
      <c r="Y433" s="140">
        <f t="shared" si="158"/>
        <v>0</v>
      </c>
      <c r="Z433" s="140">
        <f t="shared" si="159"/>
        <v>0</v>
      </c>
      <c r="AA433" s="140">
        <f t="shared" si="160"/>
        <v>-4.6955624355005159E-2</v>
      </c>
      <c r="AB433" s="140">
        <f t="shared" si="161"/>
        <v>-7.2925253200675583E-2</v>
      </c>
      <c r="AC433" s="140">
        <f t="shared" si="162"/>
        <v>-0.2961559285327558</v>
      </c>
      <c r="AD433" s="140">
        <f t="shared" si="163"/>
        <v>-0.32920536635706915</v>
      </c>
      <c r="AE433" s="140">
        <f t="shared" si="164"/>
        <v>0.21076923076923076</v>
      </c>
      <c r="AF433" s="140">
        <f t="shared" si="165"/>
        <v>0.21076923076923076</v>
      </c>
      <c r="AG433" s="140">
        <f t="shared" si="166"/>
        <v>0.21076923076923076</v>
      </c>
      <c r="AH433" s="140">
        <f t="shared" si="167"/>
        <v>0.21076923076923076</v>
      </c>
      <c r="AI433" s="140">
        <f t="shared" si="168"/>
        <v>-0.18782249742002063</v>
      </c>
      <c r="AJ433" s="140">
        <f t="shared" si="169"/>
        <v>-0.18782249742002063</v>
      </c>
      <c r="AK433" s="140">
        <f t="shared" si="170"/>
        <v>-0.18782249742002063</v>
      </c>
      <c r="AL433" s="140">
        <f t="shared" si="171"/>
        <v>-0.18782249742002063</v>
      </c>
      <c r="AM433" t="str">
        <f t="shared" si="172"/>
        <v>4215-000: STD, LTD, &amp; Life Benefits</v>
      </c>
      <c r="AN433" s="140">
        <f t="shared" si="173"/>
        <v>-0.11437051762925365</v>
      </c>
      <c r="AO433" s="140">
        <f t="shared" si="174"/>
        <v>0.32513974839848442</v>
      </c>
      <c r="AP433" s="1" t="str">
        <f>IF(AND(AO433&gt;0, _xlfn.XLOOKUP($AM433, Discretionaries!$A$2:'Discretionaries'!$A$150, Discretionaries!$B$2:'Discretionaries'!$B$150)), (1+AN433)*$N433, "")</f>
        <v/>
      </c>
      <c r="AQ433" s="1" t="str">
        <f>IF(AND(AO433&gt;0, _xlfn.XLOOKUP($AM433, Discretionaries!$A$2:'Discretionaries'!$A$150, Discretionaries!$B$2:'Discretionaries'!$B$150)),AP433-$Q433,"")</f>
        <v/>
      </c>
      <c r="AR433" s="140">
        <f>IF(AG433="", 0-CPI!$B$15, AG433-CPI!$B$15)</f>
        <v>0.17176923076923079</v>
      </c>
      <c r="AS433" s="1" t="str">
        <f>IF(AND(AR433&gt;0, _xlfn.XLOOKUP($AM433, Discretionaries!$A$2:'Discretionaries'!$A$150, Discretionaries!$B$2:'Discretionaries'!$B$150)), (1+CPI!$B$15)*$N433, "")</f>
        <v/>
      </c>
      <c r="AT433" s="1" t="str">
        <f>IF(AND(AR433&gt;0, _xlfn.XLOOKUP($AM433, Discretionaries!$A$2:'Discretionaries'!$A$150, Discretionaries!$B$2:'Discretionaries'!$B$150)),AS433-$Q433,"")</f>
        <v/>
      </c>
    </row>
    <row r="434" spans="1:46" x14ac:dyDescent="0.3">
      <c r="A434" t="s">
        <v>442</v>
      </c>
      <c r="B434" t="str">
        <f t="shared" si="150"/>
        <v>29</v>
      </c>
      <c r="C434" t="s">
        <v>408</v>
      </c>
      <c r="D434" t="str">
        <f t="shared" si="151"/>
        <v>00</v>
      </c>
      <c r="E434" t="s">
        <v>14</v>
      </c>
      <c r="F434" s="139" t="s">
        <v>15</v>
      </c>
      <c r="G434" t="s">
        <v>16</v>
      </c>
      <c r="H434" s="156">
        <v>9559</v>
      </c>
      <c r="I434" s="156">
        <v>9225.65</v>
      </c>
      <c r="J434" s="156">
        <v>9559</v>
      </c>
      <c r="K434" s="156">
        <v>9225.65</v>
      </c>
      <c r="L434" s="156">
        <v>9944</v>
      </c>
      <c r="M434" s="156">
        <v>9921.64</v>
      </c>
      <c r="N434" s="156">
        <v>10921</v>
      </c>
      <c r="O434" s="156">
        <v>11747</v>
      </c>
      <c r="P434" s="156">
        <v>11747</v>
      </c>
      <c r="Q434" s="156">
        <v>11747</v>
      </c>
      <c r="R434" s="156">
        <v>11806</v>
      </c>
      <c r="S434" s="156">
        <f t="shared" si="152"/>
        <v>826</v>
      </c>
      <c r="T434" s="156">
        <f t="shared" si="153"/>
        <v>-59</v>
      </c>
      <c r="U434" s="140">
        <f t="shared" si="154"/>
        <v>7.5634099441443087E-2</v>
      </c>
      <c r="V434" s="140">
        <f t="shared" si="155"/>
        <v>-3.4872894654252577E-2</v>
      </c>
      <c r="W434" s="140">
        <f t="shared" si="156"/>
        <v>-3.4872894654252577E-2</v>
      </c>
      <c r="X434" s="140">
        <f t="shared" si="157"/>
        <v>-2.2485921158488117E-3</v>
      </c>
      <c r="Y434" s="140">
        <f t="shared" si="158"/>
        <v>0</v>
      </c>
      <c r="Z434" s="140">
        <f t="shared" si="159"/>
        <v>0</v>
      </c>
      <c r="AA434" s="140">
        <f t="shared" si="160"/>
        <v>4.0276179516685849E-2</v>
      </c>
      <c r="AB434" s="140">
        <f t="shared" si="161"/>
        <v>7.5440754851961625E-2</v>
      </c>
      <c r="AC434" s="140">
        <f t="shared" si="162"/>
        <v>9.8250201126307321E-2</v>
      </c>
      <c r="AD434" s="140">
        <f t="shared" si="163"/>
        <v>0.14248352338110681</v>
      </c>
      <c r="AE434" s="140">
        <f t="shared" si="164"/>
        <v>7.5634099441443087E-2</v>
      </c>
      <c r="AF434" s="140">
        <f t="shared" si="165"/>
        <v>7.5634099441443087E-2</v>
      </c>
      <c r="AG434" s="140">
        <f t="shared" si="166"/>
        <v>7.5634099441443087E-2</v>
      </c>
      <c r="AH434" s="140">
        <f t="shared" si="167"/>
        <v>8.1036535115831879E-2</v>
      </c>
      <c r="AI434" s="140">
        <f t="shared" si="168"/>
        <v>0.22889423579872373</v>
      </c>
      <c r="AJ434" s="140">
        <f t="shared" si="169"/>
        <v>0.22889423579872373</v>
      </c>
      <c r="AK434" s="140">
        <f t="shared" si="170"/>
        <v>0.22889423579872373</v>
      </c>
      <c r="AL434" s="140">
        <f t="shared" si="171"/>
        <v>0.23506642954283921</v>
      </c>
      <c r="AM434" t="str">
        <f t="shared" si="172"/>
        <v>4220-000: FICA Benefits</v>
      </c>
      <c r="AN434" s="140">
        <f t="shared" si="173"/>
        <v>4.6175460214331054E-2</v>
      </c>
      <c r="AO434" s="140">
        <f t="shared" si="174"/>
        <v>2.9458639227112032E-2</v>
      </c>
      <c r="AP434" s="1" t="str">
        <f>IF(AND(AO434&gt;0, _xlfn.XLOOKUP($AM434, Discretionaries!$A$2:'Discretionaries'!$A$150, Discretionaries!$B$2:'Discretionaries'!$B$150)), (1+AN434)*$N434, "")</f>
        <v/>
      </c>
      <c r="AQ434" s="1" t="str">
        <f>IF(AND(AO434&gt;0, _xlfn.XLOOKUP($AM434, Discretionaries!$A$2:'Discretionaries'!$A$150, Discretionaries!$B$2:'Discretionaries'!$B$150)),AP434-$Q434,"")</f>
        <v/>
      </c>
      <c r="AR434" s="140">
        <f>IF(AG434="", 0-CPI!$B$15, AG434-CPI!$B$15)</f>
        <v>3.6634099441443094E-2</v>
      </c>
      <c r="AS434" s="1" t="str">
        <f>IF(AND(AR434&gt;0, _xlfn.XLOOKUP($AM434, Discretionaries!$A$2:'Discretionaries'!$A$150, Discretionaries!$B$2:'Discretionaries'!$B$150)), (1+CPI!$B$15)*$N434, "")</f>
        <v/>
      </c>
      <c r="AT434" s="1" t="str">
        <f>IF(AND(AR434&gt;0, _xlfn.XLOOKUP($AM434, Discretionaries!$A$2:'Discretionaries'!$A$150, Discretionaries!$B$2:'Discretionaries'!$B$150)),AS434-$Q434,"")</f>
        <v/>
      </c>
    </row>
    <row r="435" spans="1:46" x14ac:dyDescent="0.3">
      <c r="A435" t="s">
        <v>442</v>
      </c>
      <c r="B435" t="str">
        <f t="shared" si="150"/>
        <v>29</v>
      </c>
      <c r="C435" t="s">
        <v>408</v>
      </c>
      <c r="D435" t="str">
        <f t="shared" si="151"/>
        <v>00</v>
      </c>
      <c r="E435" t="s">
        <v>14</v>
      </c>
      <c r="F435" s="139" t="s">
        <v>17</v>
      </c>
      <c r="G435" t="s">
        <v>18</v>
      </c>
      <c r="H435" s="156">
        <v>2236</v>
      </c>
      <c r="I435" s="156">
        <v>2157.61</v>
      </c>
      <c r="J435" s="156">
        <v>2236</v>
      </c>
      <c r="K435" s="156">
        <v>2157.61</v>
      </c>
      <c r="L435" s="156">
        <v>2326</v>
      </c>
      <c r="M435" s="156">
        <v>2320.39</v>
      </c>
      <c r="N435" s="156">
        <v>2555</v>
      </c>
      <c r="O435" s="156">
        <v>2748</v>
      </c>
      <c r="P435" s="156">
        <v>2748</v>
      </c>
      <c r="Q435" s="156">
        <v>2748</v>
      </c>
      <c r="R435" s="156">
        <v>2762</v>
      </c>
      <c r="S435" s="156">
        <f t="shared" si="152"/>
        <v>193</v>
      </c>
      <c r="T435" s="156">
        <f t="shared" si="153"/>
        <v>-14</v>
      </c>
      <c r="U435" s="140">
        <f t="shared" si="154"/>
        <v>7.5538160469667326E-2</v>
      </c>
      <c r="V435" s="140">
        <f t="shared" si="155"/>
        <v>-3.5058139534883667E-2</v>
      </c>
      <c r="W435" s="140">
        <f t="shared" si="156"/>
        <v>-3.5058139534883667E-2</v>
      </c>
      <c r="X435" s="140">
        <f t="shared" si="157"/>
        <v>-2.4118658641445086E-3</v>
      </c>
      <c r="Y435" s="140">
        <f t="shared" si="158"/>
        <v>0</v>
      </c>
      <c r="Z435" s="140">
        <f t="shared" si="159"/>
        <v>0</v>
      </c>
      <c r="AA435" s="140">
        <f t="shared" si="160"/>
        <v>4.0250447227191413E-2</v>
      </c>
      <c r="AB435" s="140">
        <f t="shared" si="161"/>
        <v>7.5444589151885524E-2</v>
      </c>
      <c r="AC435" s="140">
        <f t="shared" si="162"/>
        <v>9.8452278589853823E-2</v>
      </c>
      <c r="AD435" s="140">
        <f t="shared" si="163"/>
        <v>0.14266547406082289</v>
      </c>
      <c r="AE435" s="140">
        <f t="shared" si="164"/>
        <v>7.5538160469667326E-2</v>
      </c>
      <c r="AF435" s="140">
        <f t="shared" si="165"/>
        <v>7.5538160469667326E-2</v>
      </c>
      <c r="AG435" s="140">
        <f t="shared" si="166"/>
        <v>7.5538160469667326E-2</v>
      </c>
      <c r="AH435" s="140">
        <f t="shared" si="167"/>
        <v>8.1017612524461838E-2</v>
      </c>
      <c r="AI435" s="140">
        <f t="shared" si="168"/>
        <v>0.22898032200357782</v>
      </c>
      <c r="AJ435" s="140">
        <f t="shared" si="169"/>
        <v>0.22898032200357782</v>
      </c>
      <c r="AK435" s="140">
        <f t="shared" si="170"/>
        <v>0.22898032200357782</v>
      </c>
      <c r="AL435" s="140">
        <f t="shared" si="171"/>
        <v>0.23524150268336314</v>
      </c>
      <c r="AM435" t="str">
        <f t="shared" si="172"/>
        <v>4225-000: Medicare Benefits</v>
      </c>
      <c r="AN435" s="140">
        <f t="shared" si="173"/>
        <v>4.6234241939015076E-2</v>
      </c>
      <c r="AO435" s="140">
        <f t="shared" si="174"/>
        <v>2.930391853065225E-2</v>
      </c>
      <c r="AP435" s="1" t="str">
        <f>IF(AND(AO435&gt;0, _xlfn.XLOOKUP($AM435, Discretionaries!$A$2:'Discretionaries'!$A$150, Discretionaries!$B$2:'Discretionaries'!$B$150)), (1+AN435)*$N435, "")</f>
        <v/>
      </c>
      <c r="AQ435" s="1" t="str">
        <f>IF(AND(AO435&gt;0, _xlfn.XLOOKUP($AM435, Discretionaries!$A$2:'Discretionaries'!$A$150, Discretionaries!$B$2:'Discretionaries'!$B$150)),AP435-$Q435,"")</f>
        <v/>
      </c>
      <c r="AR435" s="140">
        <f>IF(AG435="", 0-CPI!$B$15, AG435-CPI!$B$15)</f>
        <v>3.6538160469667333E-2</v>
      </c>
      <c r="AS435" s="1" t="str">
        <f>IF(AND(AR435&gt;0, _xlfn.XLOOKUP($AM435, Discretionaries!$A$2:'Discretionaries'!$A$150, Discretionaries!$B$2:'Discretionaries'!$B$150)), (1+CPI!$B$15)*$N435, "")</f>
        <v/>
      </c>
      <c r="AT435" s="1" t="str">
        <f>IF(AND(AR435&gt;0, _xlfn.XLOOKUP($AM435, Discretionaries!$A$2:'Discretionaries'!$A$150, Discretionaries!$B$2:'Discretionaries'!$B$150)),AS435-$Q435,"")</f>
        <v/>
      </c>
    </row>
    <row r="436" spans="1:46" x14ac:dyDescent="0.3">
      <c r="A436" t="s">
        <v>442</v>
      </c>
      <c r="B436" t="str">
        <f t="shared" si="150"/>
        <v>29</v>
      </c>
      <c r="C436" t="s">
        <v>408</v>
      </c>
      <c r="D436" t="str">
        <f t="shared" si="151"/>
        <v>00</v>
      </c>
      <c r="E436" t="s">
        <v>14</v>
      </c>
      <c r="F436" s="139" t="s">
        <v>43</v>
      </c>
      <c r="G436" t="s">
        <v>44</v>
      </c>
      <c r="H436" s="156">
        <v>21092</v>
      </c>
      <c r="I436" s="156">
        <v>21047.38</v>
      </c>
      <c r="J436" s="156">
        <v>21092</v>
      </c>
      <c r="K436" s="156">
        <v>21047.38</v>
      </c>
      <c r="L436" s="156">
        <v>21137</v>
      </c>
      <c r="M436" s="156">
        <v>21796.959999999999</v>
      </c>
      <c r="N436" s="156">
        <v>21932</v>
      </c>
      <c r="O436" s="156">
        <v>23626</v>
      </c>
      <c r="P436" s="156">
        <v>23626</v>
      </c>
      <c r="Q436" s="156">
        <v>23626</v>
      </c>
      <c r="R436" s="156">
        <v>23748</v>
      </c>
      <c r="S436" s="156">
        <f t="shared" si="152"/>
        <v>1694</v>
      </c>
      <c r="T436" s="156">
        <f t="shared" si="153"/>
        <v>-122</v>
      </c>
      <c r="U436" s="140">
        <f t="shared" si="154"/>
        <v>7.723873791719861E-2</v>
      </c>
      <c r="V436" s="140">
        <f t="shared" si="155"/>
        <v>-2.1154940261710119E-3</v>
      </c>
      <c r="W436" s="140">
        <f t="shared" si="156"/>
        <v>-2.1154940261710119E-3</v>
      </c>
      <c r="X436" s="140">
        <f t="shared" si="157"/>
        <v>3.1222973931967598E-2</v>
      </c>
      <c r="Y436" s="140">
        <f t="shared" si="158"/>
        <v>0</v>
      </c>
      <c r="Z436" s="140">
        <f t="shared" si="159"/>
        <v>0</v>
      </c>
      <c r="AA436" s="140">
        <f t="shared" si="160"/>
        <v>2.1335103356722928E-3</v>
      </c>
      <c r="AB436" s="140">
        <f t="shared" si="161"/>
        <v>3.5613933895810218E-2</v>
      </c>
      <c r="AC436" s="140">
        <f t="shared" si="162"/>
        <v>3.7611770828405167E-2</v>
      </c>
      <c r="AD436" s="140">
        <f t="shared" si="163"/>
        <v>3.9825526265882802E-2</v>
      </c>
      <c r="AE436" s="140">
        <f t="shared" si="164"/>
        <v>7.723873791719861E-2</v>
      </c>
      <c r="AF436" s="140">
        <f t="shared" si="165"/>
        <v>7.723873791719861E-2</v>
      </c>
      <c r="AG436" s="140">
        <f t="shared" si="166"/>
        <v>7.723873791719861E-2</v>
      </c>
      <c r="AH436" s="140">
        <f t="shared" si="167"/>
        <v>8.2801386102498625E-2</v>
      </c>
      <c r="AI436" s="140">
        <f t="shared" si="168"/>
        <v>0.12014033756874644</v>
      </c>
      <c r="AJ436" s="140">
        <f t="shared" si="169"/>
        <v>0.12014033756874644</v>
      </c>
      <c r="AK436" s="140">
        <f t="shared" si="170"/>
        <v>0.12014033756874644</v>
      </c>
      <c r="AL436" s="140">
        <f t="shared" si="171"/>
        <v>0.12592452114545799</v>
      </c>
      <c r="AM436" t="str">
        <f t="shared" si="172"/>
        <v>4230-000: Retirement Benefits</v>
      </c>
      <c r="AN436" s="140">
        <f t="shared" si="173"/>
        <v>1.3248427054692487E-2</v>
      </c>
      <c r="AO436" s="140">
        <f t="shared" si="174"/>
        <v>6.3990310862506117E-2</v>
      </c>
      <c r="AP436" s="1" t="str">
        <f>IF(AND(AO436&gt;0, _xlfn.XLOOKUP($AM436, Discretionaries!$A$2:'Discretionaries'!$A$150, Discretionaries!$B$2:'Discretionaries'!$B$150)), (1+AN436)*$N436, "")</f>
        <v/>
      </c>
      <c r="AQ436" s="1" t="str">
        <f>IF(AND(AO436&gt;0, _xlfn.XLOOKUP($AM436, Discretionaries!$A$2:'Discretionaries'!$A$150, Discretionaries!$B$2:'Discretionaries'!$B$150)),AP436-$Q436,"")</f>
        <v/>
      </c>
      <c r="AR436" s="140">
        <f>IF(AG436="", 0-CPI!$B$15, AG436-CPI!$B$15)</f>
        <v>3.8238737917198617E-2</v>
      </c>
      <c r="AS436" s="1" t="str">
        <f>IF(AND(AR436&gt;0, _xlfn.XLOOKUP($AM436, Discretionaries!$A$2:'Discretionaries'!$A$150, Discretionaries!$B$2:'Discretionaries'!$B$150)), (1+CPI!$B$15)*$N436, "")</f>
        <v/>
      </c>
      <c r="AT436" s="1" t="str">
        <f>IF(AND(AR436&gt;0, _xlfn.XLOOKUP($AM436, Discretionaries!$A$2:'Discretionaries'!$A$150, Discretionaries!$B$2:'Discretionaries'!$B$150)),AS436-$Q436,"")</f>
        <v/>
      </c>
    </row>
    <row r="437" spans="1:46" x14ac:dyDescent="0.3">
      <c r="A437" t="s">
        <v>442</v>
      </c>
      <c r="B437" t="str">
        <f t="shared" si="150"/>
        <v>29</v>
      </c>
      <c r="C437" t="s">
        <v>408</v>
      </c>
      <c r="D437" t="str">
        <f t="shared" si="151"/>
        <v>00</v>
      </c>
      <c r="E437" t="s">
        <v>14</v>
      </c>
      <c r="F437" s="139" t="s">
        <v>19</v>
      </c>
      <c r="G437" t="s">
        <v>20</v>
      </c>
      <c r="H437" s="156">
        <v>241</v>
      </c>
      <c r="I437" s="156">
        <v>228.33</v>
      </c>
      <c r="J437" s="156">
        <v>241</v>
      </c>
      <c r="K437" s="156">
        <v>228.33</v>
      </c>
      <c r="L437" s="156">
        <v>303</v>
      </c>
      <c r="M437" s="156">
        <v>302.91000000000003</v>
      </c>
      <c r="N437" s="156">
        <v>358</v>
      </c>
      <c r="O437" s="156">
        <v>353</v>
      </c>
      <c r="P437" s="156">
        <v>353</v>
      </c>
      <c r="Q437" s="156">
        <v>353</v>
      </c>
      <c r="R437" s="156">
        <v>353</v>
      </c>
      <c r="S437" s="156">
        <f t="shared" si="152"/>
        <v>-5</v>
      </c>
      <c r="T437" s="156">
        <f t="shared" si="153"/>
        <v>0</v>
      </c>
      <c r="U437" s="140">
        <f t="shared" si="154"/>
        <v>-1.3966480446927373E-2</v>
      </c>
      <c r="V437" s="140">
        <f t="shared" si="155"/>
        <v>-5.2572614107883768E-2</v>
      </c>
      <c r="W437" s="140">
        <f t="shared" si="156"/>
        <v>-5.2572614107883768E-2</v>
      </c>
      <c r="X437" s="140">
        <f t="shared" si="157"/>
        <v>-2.9702970297021446E-4</v>
      </c>
      <c r="Y437" s="140">
        <f t="shared" si="158"/>
        <v>0</v>
      </c>
      <c r="Z437" s="140">
        <f t="shared" si="159"/>
        <v>0</v>
      </c>
      <c r="AA437" s="140">
        <f t="shared" si="160"/>
        <v>0.25726141078838172</v>
      </c>
      <c r="AB437" s="140">
        <f t="shared" si="161"/>
        <v>0.32663250558402318</v>
      </c>
      <c r="AC437" s="140">
        <f t="shared" si="162"/>
        <v>0.18151815181518152</v>
      </c>
      <c r="AD437" s="140">
        <f t="shared" si="163"/>
        <v>0.48547717842323651</v>
      </c>
      <c r="AE437" s="140">
        <f t="shared" si="164"/>
        <v>-1.3966480446927373E-2</v>
      </c>
      <c r="AF437" s="140">
        <f t="shared" si="165"/>
        <v>-1.3966480446927373E-2</v>
      </c>
      <c r="AG437" s="140">
        <f t="shared" si="166"/>
        <v>-1.3966480446927373E-2</v>
      </c>
      <c r="AH437" s="140">
        <f t="shared" si="167"/>
        <v>-1.3966480446927373E-2</v>
      </c>
      <c r="AI437" s="140">
        <f t="shared" si="168"/>
        <v>0.46473029045643155</v>
      </c>
      <c r="AJ437" s="140">
        <f t="shared" si="169"/>
        <v>0.46473029045643155</v>
      </c>
      <c r="AK437" s="140">
        <f t="shared" si="170"/>
        <v>0.46473029045643155</v>
      </c>
      <c r="AL437" s="140">
        <f t="shared" si="171"/>
        <v>0.46473029045643155</v>
      </c>
      <c r="AM437" t="str">
        <f t="shared" si="172"/>
        <v>4260-000: Workers' comp Benefits</v>
      </c>
      <c r="AN437" s="140">
        <f t="shared" si="173"/>
        <v>0.14625985420118773</v>
      </c>
      <c r="AO437" s="140">
        <f t="shared" si="174"/>
        <v>-0.16022633464811509</v>
      </c>
      <c r="AP437" s="1" t="str">
        <f>IF(AND(AO437&gt;0, _xlfn.XLOOKUP($AM437, Discretionaries!$A$2:'Discretionaries'!$A$150, Discretionaries!$B$2:'Discretionaries'!$B$150)), (1+AN437)*$N437, "")</f>
        <v/>
      </c>
      <c r="AQ437" s="1" t="str">
        <f>IF(AND(AO437&gt;0, _xlfn.XLOOKUP($AM437, Discretionaries!$A$2:'Discretionaries'!$A$150, Discretionaries!$B$2:'Discretionaries'!$B$150)),AP437-$Q437,"")</f>
        <v/>
      </c>
      <c r="AR437" s="140">
        <f>IF(AG437="", 0-CPI!$B$15, AG437-CPI!$B$15)</f>
        <v>-5.2966480446927366E-2</v>
      </c>
      <c r="AS437" s="1" t="str">
        <f>IF(AND(AR437&gt;0, _xlfn.XLOOKUP($AM437, Discretionaries!$A$2:'Discretionaries'!$A$150, Discretionaries!$B$2:'Discretionaries'!$B$150)), (1+CPI!$B$15)*$N437, "")</f>
        <v/>
      </c>
      <c r="AT437" s="1" t="str">
        <f>IF(AND(AR437&gt;0, _xlfn.XLOOKUP($AM437, Discretionaries!$A$2:'Discretionaries'!$A$150, Discretionaries!$B$2:'Discretionaries'!$B$150)),AS437-$Q437,"")</f>
        <v/>
      </c>
    </row>
    <row r="438" spans="1:46" x14ac:dyDescent="0.3">
      <c r="A438" t="s">
        <v>442</v>
      </c>
      <c r="B438" t="str">
        <f t="shared" si="150"/>
        <v>29</v>
      </c>
      <c r="C438" t="s">
        <v>408</v>
      </c>
      <c r="D438" t="str">
        <f t="shared" si="151"/>
        <v>00</v>
      </c>
      <c r="E438" t="s">
        <v>21</v>
      </c>
      <c r="F438" s="139" t="s">
        <v>131</v>
      </c>
      <c r="G438" t="s">
        <v>132</v>
      </c>
      <c r="H438" s="156">
        <v>7000</v>
      </c>
      <c r="I438" s="156">
        <v>0</v>
      </c>
      <c r="J438" s="156">
        <v>7000</v>
      </c>
      <c r="K438" s="156">
        <v>1099</v>
      </c>
      <c r="L438" s="156">
        <v>7000</v>
      </c>
      <c r="M438" s="156">
        <v>5486.56</v>
      </c>
      <c r="N438" s="156">
        <v>7000</v>
      </c>
      <c r="O438" s="156">
        <v>4500</v>
      </c>
      <c r="P438" s="156">
        <v>4500</v>
      </c>
      <c r="Q438" s="156">
        <v>4500</v>
      </c>
      <c r="R438" s="156">
        <v>7000</v>
      </c>
      <c r="S438" s="156">
        <f t="shared" si="152"/>
        <v>-2500</v>
      </c>
      <c r="T438" s="156">
        <f t="shared" si="153"/>
        <v>-2500</v>
      </c>
      <c r="U438" s="140">
        <f t="shared" si="154"/>
        <v>-0.35714285714285715</v>
      </c>
      <c r="V438" s="140">
        <f t="shared" si="155"/>
        <v>-1</v>
      </c>
      <c r="W438" s="140">
        <f t="shared" si="156"/>
        <v>-0.84299999999999997</v>
      </c>
      <c r="X438" s="140">
        <f t="shared" si="157"/>
        <v>-0.21620571428571422</v>
      </c>
      <c r="Y438" s="140">
        <f t="shared" si="158"/>
        <v>0</v>
      </c>
      <c r="Z438" s="140" t="str">
        <f t="shared" si="159"/>
        <v/>
      </c>
      <c r="AA438" s="140">
        <f t="shared" si="160"/>
        <v>0</v>
      </c>
      <c r="AB438" s="140">
        <f t="shared" si="161"/>
        <v>3.9923202911737947</v>
      </c>
      <c r="AC438" s="140">
        <f t="shared" si="162"/>
        <v>0</v>
      </c>
      <c r="AD438" s="140">
        <f t="shared" si="163"/>
        <v>0</v>
      </c>
      <c r="AE438" s="140">
        <f t="shared" si="164"/>
        <v>-0.35714285714285715</v>
      </c>
      <c r="AF438" s="140">
        <f t="shared" si="165"/>
        <v>-0.35714285714285715</v>
      </c>
      <c r="AG438" s="140">
        <f t="shared" si="166"/>
        <v>-0.35714285714285715</v>
      </c>
      <c r="AH438" s="140">
        <f t="shared" si="167"/>
        <v>0</v>
      </c>
      <c r="AI438" s="140">
        <f t="shared" si="168"/>
        <v>-0.35714285714285715</v>
      </c>
      <c r="AJ438" s="140">
        <f t="shared" si="169"/>
        <v>-0.35714285714285715</v>
      </c>
      <c r="AK438" s="140">
        <f t="shared" si="170"/>
        <v>-0.35714285714285715</v>
      </c>
      <c r="AL438" s="140">
        <f t="shared" si="171"/>
        <v>0</v>
      </c>
      <c r="AM438" t="str">
        <f t="shared" si="172"/>
        <v>4241-000: Training Benefits</v>
      </c>
      <c r="AN438" s="140">
        <f t="shared" si="173"/>
        <v>0</v>
      </c>
      <c r="AO438" s="140">
        <f t="shared" si="174"/>
        <v>-0.35714285714285715</v>
      </c>
      <c r="AP438" s="1" t="str">
        <f>IF(AND(AO438&gt;0, _xlfn.XLOOKUP($AM438, Discretionaries!$A$2:'Discretionaries'!$A$150, Discretionaries!$B$2:'Discretionaries'!$B$150)), (1+AN438)*$N438, "")</f>
        <v/>
      </c>
      <c r="AQ438" s="1" t="str">
        <f>IF(AND(AO438&gt;0, _xlfn.XLOOKUP($AM438, Discretionaries!$A$2:'Discretionaries'!$A$150, Discretionaries!$B$2:'Discretionaries'!$B$150)),AP438-$Q438,"")</f>
        <v/>
      </c>
      <c r="AR438" s="140">
        <f>IF(AG438="", 0-CPI!$B$15, AG438-CPI!$B$15)</f>
        <v>-0.39614285714285713</v>
      </c>
      <c r="AS438" s="1" t="str">
        <f>IF(AND(AR438&gt;0, _xlfn.XLOOKUP($AM438, Discretionaries!$A$2:'Discretionaries'!$A$150, Discretionaries!$B$2:'Discretionaries'!$B$150)), (1+CPI!$B$15)*$N438, "")</f>
        <v/>
      </c>
      <c r="AT438" s="1" t="str">
        <f>IF(AND(AR438&gt;0, _xlfn.XLOOKUP($AM438, Discretionaries!$A$2:'Discretionaries'!$A$150, Discretionaries!$B$2:'Discretionaries'!$B$150)),AS438-$Q438,"")</f>
        <v/>
      </c>
    </row>
    <row r="439" spans="1:46" x14ac:dyDescent="0.3">
      <c r="A439" t="s">
        <v>442</v>
      </c>
      <c r="B439" t="str">
        <f t="shared" si="150"/>
        <v>29</v>
      </c>
      <c r="C439" t="s">
        <v>408</v>
      </c>
      <c r="D439" t="str">
        <f t="shared" si="151"/>
        <v>00</v>
      </c>
      <c r="E439" t="s">
        <v>21</v>
      </c>
      <c r="F439" s="139" t="s">
        <v>28</v>
      </c>
      <c r="G439" t="s">
        <v>29</v>
      </c>
      <c r="H439" s="156">
        <v>4331</v>
      </c>
      <c r="I439" s="156">
        <v>2849.65</v>
      </c>
      <c r="J439" s="156">
        <v>4331</v>
      </c>
      <c r="K439" s="156">
        <v>5008.13</v>
      </c>
      <c r="L439" s="156">
        <v>4331</v>
      </c>
      <c r="M439" s="156">
        <v>5053.7</v>
      </c>
      <c r="N439" s="156">
        <v>4331</v>
      </c>
      <c r="O439" s="156">
        <v>500</v>
      </c>
      <c r="P439" s="156">
        <v>500</v>
      </c>
      <c r="Q439" s="156">
        <v>500</v>
      </c>
      <c r="R439" s="156">
        <v>4331</v>
      </c>
      <c r="S439" s="156">
        <f t="shared" si="152"/>
        <v>-3831</v>
      </c>
      <c r="T439" s="156">
        <f t="shared" si="153"/>
        <v>-3831</v>
      </c>
      <c r="U439" s="140">
        <f t="shared" si="154"/>
        <v>-0.88455322096513511</v>
      </c>
      <c r="V439" s="140">
        <f t="shared" si="155"/>
        <v>-0.34203417224659433</v>
      </c>
      <c r="W439" s="140">
        <f t="shared" si="156"/>
        <v>0.15634495497575621</v>
      </c>
      <c r="X439" s="140">
        <f t="shared" si="157"/>
        <v>0.16686677441699371</v>
      </c>
      <c r="Y439" s="140">
        <f t="shared" si="158"/>
        <v>0</v>
      </c>
      <c r="Z439" s="140">
        <f t="shared" si="159"/>
        <v>0.75745442422753673</v>
      </c>
      <c r="AA439" s="140">
        <f t="shared" si="160"/>
        <v>0</v>
      </c>
      <c r="AB439" s="140">
        <f t="shared" si="161"/>
        <v>9.0992046931688483E-3</v>
      </c>
      <c r="AC439" s="140">
        <f t="shared" si="162"/>
        <v>0</v>
      </c>
      <c r="AD439" s="140">
        <f t="shared" si="163"/>
        <v>0</v>
      </c>
      <c r="AE439" s="140">
        <f t="shared" si="164"/>
        <v>-0.88455322096513511</v>
      </c>
      <c r="AF439" s="140">
        <f t="shared" si="165"/>
        <v>-0.88455322096513511</v>
      </c>
      <c r="AG439" s="140">
        <f t="shared" si="166"/>
        <v>-0.88455322096513511</v>
      </c>
      <c r="AH439" s="140">
        <f t="shared" si="167"/>
        <v>0</v>
      </c>
      <c r="AI439" s="140">
        <f t="shared" si="168"/>
        <v>-0.88455322096513511</v>
      </c>
      <c r="AJ439" s="140">
        <f t="shared" si="169"/>
        <v>-0.88455322096513511</v>
      </c>
      <c r="AK439" s="140">
        <f t="shared" si="170"/>
        <v>-0.88455322096513511</v>
      </c>
      <c r="AL439" s="140">
        <f t="shared" si="171"/>
        <v>0</v>
      </c>
      <c r="AM439" t="str">
        <f t="shared" si="172"/>
        <v>4330-000: MGMT services Services</v>
      </c>
      <c r="AN439" s="140">
        <f t="shared" si="173"/>
        <v>0</v>
      </c>
      <c r="AO439" s="140">
        <f t="shared" si="174"/>
        <v>-0.88455322096513511</v>
      </c>
      <c r="AP439" s="1" t="str">
        <f>IF(AND(AO439&gt;0, _xlfn.XLOOKUP($AM439, Discretionaries!$A$2:'Discretionaries'!$A$150, Discretionaries!$B$2:'Discretionaries'!$B$150)), (1+AN439)*$N439, "")</f>
        <v/>
      </c>
      <c r="AQ439" s="1" t="str">
        <f>IF(AND(AO439&gt;0, _xlfn.XLOOKUP($AM439, Discretionaries!$A$2:'Discretionaries'!$A$150, Discretionaries!$B$2:'Discretionaries'!$B$150)),AP439-$Q439,"")</f>
        <v/>
      </c>
      <c r="AR439" s="140">
        <f>IF(AG439="", 0-CPI!$B$15, AG439-CPI!$B$15)</f>
        <v>-0.92355322096513515</v>
      </c>
      <c r="AS439" s="1" t="str">
        <f>IF(AND(AR439&gt;0, _xlfn.XLOOKUP($AM439, Discretionaries!$A$2:'Discretionaries'!$A$150, Discretionaries!$B$2:'Discretionaries'!$B$150)), (1+CPI!$B$15)*$N439, "")</f>
        <v/>
      </c>
      <c r="AT439" s="1" t="str">
        <f>IF(AND(AR439&gt;0, _xlfn.XLOOKUP($AM439, Discretionaries!$A$2:'Discretionaries'!$A$150, Discretionaries!$B$2:'Discretionaries'!$B$150)),AS439-$Q439,"")</f>
        <v/>
      </c>
    </row>
    <row r="440" spans="1:46" x14ac:dyDescent="0.3">
      <c r="A440" t="s">
        <v>442</v>
      </c>
      <c r="B440" t="str">
        <f t="shared" si="150"/>
        <v>29</v>
      </c>
      <c r="C440" t="s">
        <v>408</v>
      </c>
      <c r="D440" t="str">
        <f t="shared" si="151"/>
        <v>00</v>
      </c>
      <c r="E440" t="s">
        <v>21</v>
      </c>
      <c r="F440" s="139" t="s">
        <v>144</v>
      </c>
      <c r="G440" t="s">
        <v>145</v>
      </c>
      <c r="S440" s="156">
        <f t="shared" si="152"/>
        <v>0</v>
      </c>
      <c r="T440" s="156">
        <f t="shared" si="153"/>
        <v>0</v>
      </c>
      <c r="U440" s="140" t="str">
        <f t="shared" si="154"/>
        <v/>
      </c>
      <c r="V440" s="140" t="str">
        <f t="shared" si="155"/>
        <v/>
      </c>
      <c r="W440" s="140" t="str">
        <f t="shared" si="156"/>
        <v/>
      </c>
      <c r="X440" s="140" t="str">
        <f t="shared" si="157"/>
        <v/>
      </c>
      <c r="Y440" s="140" t="str">
        <f t="shared" si="158"/>
        <v/>
      </c>
      <c r="Z440" s="140" t="str">
        <f t="shared" si="159"/>
        <v/>
      </c>
      <c r="AA440" s="140" t="str">
        <f t="shared" si="160"/>
        <v/>
      </c>
      <c r="AB440" s="140" t="str">
        <f t="shared" si="161"/>
        <v/>
      </c>
      <c r="AC440" s="140" t="str">
        <f t="shared" si="162"/>
        <v/>
      </c>
      <c r="AD440" s="140" t="str">
        <f t="shared" si="163"/>
        <v/>
      </c>
      <c r="AE440" s="140" t="str">
        <f t="shared" si="164"/>
        <v/>
      </c>
      <c r="AF440" s="140" t="str">
        <f t="shared" si="165"/>
        <v/>
      </c>
      <c r="AG440" s="140" t="str">
        <f t="shared" si="166"/>
        <v/>
      </c>
      <c r="AH440" s="140" t="str">
        <f t="shared" si="167"/>
        <v/>
      </c>
      <c r="AI440" s="140" t="str">
        <f t="shared" si="168"/>
        <v/>
      </c>
      <c r="AJ440" s="140" t="str">
        <f t="shared" si="169"/>
        <v/>
      </c>
      <c r="AK440" s="140" t="str">
        <f t="shared" si="170"/>
        <v/>
      </c>
      <c r="AL440" s="140" t="str">
        <f t="shared" si="171"/>
        <v/>
      </c>
      <c r="AM440" t="str">
        <f t="shared" si="172"/>
        <v>4341-000: Telephone Services</v>
      </c>
      <c r="AN440" s="140">
        <f t="shared" si="173"/>
        <v>0</v>
      </c>
      <c r="AO440" s="140">
        <f t="shared" si="174"/>
        <v>0</v>
      </c>
      <c r="AP440" s="1" t="str">
        <f>IF(AND(AO440&gt;0, _xlfn.XLOOKUP($AM440, Discretionaries!$A$2:'Discretionaries'!$A$150, Discretionaries!$B$2:'Discretionaries'!$B$150)), (1+AN440)*$N440, "")</f>
        <v/>
      </c>
      <c r="AQ440" s="1" t="str">
        <f>IF(AND(AO440&gt;0, _xlfn.XLOOKUP($AM440, Discretionaries!$A$2:'Discretionaries'!$A$150, Discretionaries!$B$2:'Discretionaries'!$B$150)),AP440-$Q440,"")</f>
        <v/>
      </c>
      <c r="AR440" s="140">
        <f>IF(AG440="", 0-CPI!$B$15, AG440-CPI!$B$15)</f>
        <v>-3.8999999999999993E-2</v>
      </c>
      <c r="AS440" s="1" t="str">
        <f>IF(AND(AR440&gt;0, _xlfn.XLOOKUP($AM440, Discretionaries!$A$2:'Discretionaries'!$A$150, Discretionaries!$B$2:'Discretionaries'!$B$150)), (1+CPI!$B$15)*$N440, "")</f>
        <v/>
      </c>
      <c r="AT440" s="1" t="str">
        <f>IF(AND(AR440&gt;0, _xlfn.XLOOKUP($AM440, Discretionaries!$A$2:'Discretionaries'!$A$150, Discretionaries!$B$2:'Discretionaries'!$B$150)),AS440-$Q440,"")</f>
        <v/>
      </c>
    </row>
    <row r="441" spans="1:46" x14ac:dyDescent="0.3">
      <c r="A441" t="s">
        <v>442</v>
      </c>
      <c r="B441" t="str">
        <f t="shared" si="150"/>
        <v>29</v>
      </c>
      <c r="C441" t="s">
        <v>408</v>
      </c>
      <c r="D441" t="str">
        <f t="shared" si="151"/>
        <v>00</v>
      </c>
      <c r="E441" t="s">
        <v>21</v>
      </c>
      <c r="F441" s="139" t="s">
        <v>360</v>
      </c>
      <c r="G441" t="s">
        <v>361</v>
      </c>
      <c r="H441" s="156">
        <v>1000</v>
      </c>
      <c r="I441" s="156">
        <v>0</v>
      </c>
      <c r="J441" s="156">
        <v>1000</v>
      </c>
      <c r="K441" s="156">
        <v>0</v>
      </c>
      <c r="L441" s="156">
        <v>1000</v>
      </c>
      <c r="M441" s="156">
        <v>0</v>
      </c>
      <c r="N441" s="156">
        <v>1000</v>
      </c>
      <c r="O441" s="156">
        <v>0</v>
      </c>
      <c r="P441" s="156">
        <v>0</v>
      </c>
      <c r="Q441" s="156">
        <v>0</v>
      </c>
      <c r="R441" s="156">
        <v>1000</v>
      </c>
      <c r="S441" s="156">
        <f t="shared" si="152"/>
        <v>-1000</v>
      </c>
      <c r="T441" s="156">
        <f t="shared" si="153"/>
        <v>-1000</v>
      </c>
      <c r="U441" s="140">
        <f t="shared" si="154"/>
        <v>-1</v>
      </c>
      <c r="V441" s="140">
        <f t="shared" si="155"/>
        <v>-1</v>
      </c>
      <c r="W441" s="140">
        <f t="shared" si="156"/>
        <v>-1</v>
      </c>
      <c r="X441" s="140">
        <f t="shared" si="157"/>
        <v>-1</v>
      </c>
      <c r="Y441" s="140">
        <f t="shared" si="158"/>
        <v>0</v>
      </c>
      <c r="Z441" s="140" t="str">
        <f t="shared" si="159"/>
        <v/>
      </c>
      <c r="AA441" s="140">
        <f t="shared" si="160"/>
        <v>0</v>
      </c>
      <c r="AB441" s="140" t="str">
        <f t="shared" si="161"/>
        <v/>
      </c>
      <c r="AC441" s="140">
        <f t="shared" si="162"/>
        <v>0</v>
      </c>
      <c r="AD441" s="140">
        <f t="shared" si="163"/>
        <v>0</v>
      </c>
      <c r="AE441" s="140">
        <f t="shared" si="164"/>
        <v>-1</v>
      </c>
      <c r="AF441" s="140">
        <f t="shared" si="165"/>
        <v>-1</v>
      </c>
      <c r="AG441" s="140">
        <f t="shared" si="166"/>
        <v>-1</v>
      </c>
      <c r="AH441" s="140">
        <f t="shared" si="167"/>
        <v>0</v>
      </c>
      <c r="AI441" s="140">
        <f t="shared" si="168"/>
        <v>-1</v>
      </c>
      <c r="AJ441" s="140">
        <f t="shared" si="169"/>
        <v>-1</v>
      </c>
      <c r="AK441" s="140">
        <f t="shared" si="170"/>
        <v>-1</v>
      </c>
      <c r="AL441" s="140">
        <f t="shared" si="171"/>
        <v>0</v>
      </c>
      <c r="AM441" t="str">
        <f t="shared" si="172"/>
        <v>4355-000: Photo services Services</v>
      </c>
      <c r="AN441" s="140">
        <f t="shared" si="173"/>
        <v>0</v>
      </c>
      <c r="AO441" s="140">
        <f t="shared" si="174"/>
        <v>-1</v>
      </c>
      <c r="AP441" s="1" t="str">
        <f>IF(AND(AO441&gt;0, _xlfn.XLOOKUP($AM441, Discretionaries!$A$2:'Discretionaries'!$A$150, Discretionaries!$B$2:'Discretionaries'!$B$150)), (1+AN441)*$N441, "")</f>
        <v/>
      </c>
      <c r="AQ441" s="1" t="str">
        <f>IF(AND(AO441&gt;0, _xlfn.XLOOKUP($AM441, Discretionaries!$A$2:'Discretionaries'!$A$150, Discretionaries!$B$2:'Discretionaries'!$B$150)),AP441-$Q441,"")</f>
        <v/>
      </c>
      <c r="AR441" s="140">
        <f>IF(AG441="", 0-CPI!$B$15, AG441-CPI!$B$15)</f>
        <v>-1.0389999999999999</v>
      </c>
      <c r="AS441" s="1" t="str">
        <f>IF(AND(AR441&gt;0, _xlfn.XLOOKUP($AM441, Discretionaries!$A$2:'Discretionaries'!$A$150, Discretionaries!$B$2:'Discretionaries'!$B$150)), (1+CPI!$B$15)*$N441, "")</f>
        <v/>
      </c>
      <c r="AT441" s="1" t="str">
        <f>IF(AND(AR441&gt;0, _xlfn.XLOOKUP($AM441, Discretionaries!$A$2:'Discretionaries'!$A$150, Discretionaries!$B$2:'Discretionaries'!$B$150)),AS441-$Q441,"")</f>
        <v/>
      </c>
    </row>
    <row r="442" spans="1:46" x14ac:dyDescent="0.3">
      <c r="A442" t="s">
        <v>442</v>
      </c>
      <c r="B442" t="str">
        <f t="shared" si="150"/>
        <v>29</v>
      </c>
      <c r="C442" t="s">
        <v>408</v>
      </c>
      <c r="D442" t="str">
        <f t="shared" si="151"/>
        <v>00</v>
      </c>
      <c r="E442" t="s">
        <v>21</v>
      </c>
      <c r="F442" s="139" t="s">
        <v>158</v>
      </c>
      <c r="G442" t="s">
        <v>159</v>
      </c>
      <c r="H442" s="156">
        <v>8000</v>
      </c>
      <c r="I442" s="156">
        <v>9075</v>
      </c>
      <c r="J442" s="156">
        <v>8000</v>
      </c>
      <c r="K442" s="156">
        <v>11025</v>
      </c>
      <c r="L442" s="156">
        <v>8000</v>
      </c>
      <c r="M442" s="156">
        <v>10407.56</v>
      </c>
      <c r="N442" s="156">
        <v>8000</v>
      </c>
      <c r="O442" s="156">
        <v>11100</v>
      </c>
      <c r="P442" s="156">
        <v>8000</v>
      </c>
      <c r="Q442" s="156">
        <v>8000</v>
      </c>
      <c r="R442" s="156">
        <v>8000</v>
      </c>
      <c r="S442" s="156">
        <f t="shared" si="152"/>
        <v>0</v>
      </c>
      <c r="T442" s="156">
        <f t="shared" si="153"/>
        <v>0</v>
      </c>
      <c r="U442" s="140">
        <f t="shared" si="154"/>
        <v>0</v>
      </c>
      <c r="V442" s="140">
        <f t="shared" si="155"/>
        <v>0.13437499999999999</v>
      </c>
      <c r="W442" s="140">
        <f t="shared" si="156"/>
        <v>0.37812499999999999</v>
      </c>
      <c r="X442" s="140">
        <f t="shared" si="157"/>
        <v>0.30094499999999996</v>
      </c>
      <c r="Y442" s="140">
        <f t="shared" si="158"/>
        <v>0</v>
      </c>
      <c r="Z442" s="140">
        <f t="shared" si="159"/>
        <v>0.21487603305785125</v>
      </c>
      <c r="AA442" s="140">
        <f t="shared" si="160"/>
        <v>0</v>
      </c>
      <c r="AB442" s="140">
        <f t="shared" si="161"/>
        <v>-5.600362811791388E-2</v>
      </c>
      <c r="AC442" s="140">
        <f t="shared" si="162"/>
        <v>0</v>
      </c>
      <c r="AD442" s="140">
        <f t="shared" si="163"/>
        <v>0</v>
      </c>
      <c r="AE442" s="140">
        <f t="shared" si="164"/>
        <v>0.38750000000000001</v>
      </c>
      <c r="AF442" s="140">
        <f t="shared" si="165"/>
        <v>0</v>
      </c>
      <c r="AG442" s="140">
        <f t="shared" si="166"/>
        <v>0</v>
      </c>
      <c r="AH442" s="140">
        <f t="shared" si="167"/>
        <v>0</v>
      </c>
      <c r="AI442" s="140">
        <f t="shared" si="168"/>
        <v>0.38750000000000001</v>
      </c>
      <c r="AJ442" s="140">
        <f t="shared" si="169"/>
        <v>0</v>
      </c>
      <c r="AK442" s="140">
        <f t="shared" si="170"/>
        <v>0</v>
      </c>
      <c r="AL442" s="140">
        <f t="shared" si="171"/>
        <v>0</v>
      </c>
      <c r="AM442" t="str">
        <f t="shared" si="172"/>
        <v>4360-000: Custodial Services</v>
      </c>
      <c r="AN442" s="140">
        <f t="shared" si="173"/>
        <v>0</v>
      </c>
      <c r="AO442" s="140">
        <f t="shared" si="174"/>
        <v>0</v>
      </c>
      <c r="AP442" s="1" t="str">
        <f>IF(AND(AO442&gt;0, _xlfn.XLOOKUP($AM442, Discretionaries!$A$2:'Discretionaries'!$A$150, Discretionaries!$B$2:'Discretionaries'!$B$150)), (1+AN442)*$N442, "")</f>
        <v/>
      </c>
      <c r="AQ442" s="1" t="str">
        <f>IF(AND(AO442&gt;0, _xlfn.XLOOKUP($AM442, Discretionaries!$A$2:'Discretionaries'!$A$150, Discretionaries!$B$2:'Discretionaries'!$B$150)),AP442-$Q442,"")</f>
        <v/>
      </c>
      <c r="AR442" s="140">
        <f>IF(AG442="", 0-CPI!$B$15, AG442-CPI!$B$15)</f>
        <v>-3.8999999999999993E-2</v>
      </c>
      <c r="AS442" s="1" t="str">
        <f>IF(AND(AR442&gt;0, _xlfn.XLOOKUP($AM442, Discretionaries!$A$2:'Discretionaries'!$A$150, Discretionaries!$B$2:'Discretionaries'!$B$150)), (1+CPI!$B$15)*$N442, "")</f>
        <v/>
      </c>
      <c r="AT442" s="1" t="str">
        <f>IF(AND(AR442&gt;0, _xlfn.XLOOKUP($AM442, Discretionaries!$A$2:'Discretionaries'!$A$150, Discretionaries!$B$2:'Discretionaries'!$B$150)),AS442-$Q442,"")</f>
        <v/>
      </c>
    </row>
    <row r="443" spans="1:46" x14ac:dyDescent="0.3">
      <c r="A443" t="s">
        <v>442</v>
      </c>
      <c r="B443" t="str">
        <f t="shared" si="150"/>
        <v>29</v>
      </c>
      <c r="C443" t="s">
        <v>408</v>
      </c>
      <c r="D443" t="str">
        <f t="shared" si="151"/>
        <v>00</v>
      </c>
      <c r="E443" t="s">
        <v>133</v>
      </c>
      <c r="F443" s="139" t="s">
        <v>160</v>
      </c>
      <c r="G443" t="s">
        <v>161</v>
      </c>
      <c r="H443" s="156">
        <v>8800</v>
      </c>
      <c r="I443" s="156">
        <v>5851.67</v>
      </c>
      <c r="J443" s="156">
        <v>8800</v>
      </c>
      <c r="K443" s="156">
        <v>5924.7</v>
      </c>
      <c r="L443" s="156">
        <v>7800</v>
      </c>
      <c r="M443" s="156">
        <v>5472.49</v>
      </c>
      <c r="N443" s="156">
        <v>7800</v>
      </c>
      <c r="O443" s="156">
        <v>6200</v>
      </c>
      <c r="P443" s="156">
        <v>6200</v>
      </c>
      <c r="Q443" s="156">
        <v>6200</v>
      </c>
      <c r="R443" s="156">
        <v>7800</v>
      </c>
      <c r="S443" s="156">
        <f t="shared" si="152"/>
        <v>-1600</v>
      </c>
      <c r="T443" s="156">
        <f t="shared" si="153"/>
        <v>-1600</v>
      </c>
      <c r="U443" s="140">
        <f t="shared" si="154"/>
        <v>-0.20512820512820512</v>
      </c>
      <c r="V443" s="140">
        <f t="shared" si="155"/>
        <v>-0.33503749999999999</v>
      </c>
      <c r="W443" s="140">
        <f t="shared" si="156"/>
        <v>-0.32673863636363637</v>
      </c>
      <c r="X443" s="140">
        <f t="shared" si="157"/>
        <v>-0.29839871794871797</v>
      </c>
      <c r="Y443" s="140">
        <f t="shared" si="158"/>
        <v>0</v>
      </c>
      <c r="Z443" s="140">
        <f t="shared" si="159"/>
        <v>1.2480197960582149E-2</v>
      </c>
      <c r="AA443" s="140">
        <f t="shared" si="160"/>
        <v>-0.11363636363636363</v>
      </c>
      <c r="AB443" s="140">
        <f t="shared" si="161"/>
        <v>-7.6326227488311651E-2</v>
      </c>
      <c r="AC443" s="140">
        <f t="shared" si="162"/>
        <v>0</v>
      </c>
      <c r="AD443" s="140">
        <f t="shared" si="163"/>
        <v>-0.11363636363636363</v>
      </c>
      <c r="AE443" s="140">
        <f t="shared" si="164"/>
        <v>-0.20512820512820512</v>
      </c>
      <c r="AF443" s="140">
        <f t="shared" si="165"/>
        <v>-0.20512820512820512</v>
      </c>
      <c r="AG443" s="140">
        <f t="shared" si="166"/>
        <v>-0.20512820512820512</v>
      </c>
      <c r="AH443" s="140">
        <f t="shared" si="167"/>
        <v>0</v>
      </c>
      <c r="AI443" s="140">
        <f t="shared" si="168"/>
        <v>-0.29545454545454547</v>
      </c>
      <c r="AJ443" s="140">
        <f t="shared" si="169"/>
        <v>-0.29545454545454547</v>
      </c>
      <c r="AK443" s="140">
        <f t="shared" si="170"/>
        <v>-0.29545454545454547</v>
      </c>
      <c r="AL443" s="140">
        <f t="shared" si="171"/>
        <v>-0.11363636363636363</v>
      </c>
      <c r="AM443" t="str">
        <f t="shared" si="172"/>
        <v>4410-000: Electric Services</v>
      </c>
      <c r="AN443" s="140">
        <f t="shared" si="173"/>
        <v>-3.787878787878788E-2</v>
      </c>
      <c r="AO443" s="140">
        <f t="shared" si="174"/>
        <v>-0.16724941724941725</v>
      </c>
      <c r="AP443" s="1" t="str">
        <f>IF(AND(AO443&gt;0, _xlfn.XLOOKUP($AM443, Discretionaries!$A$2:'Discretionaries'!$A$150, Discretionaries!$B$2:'Discretionaries'!$B$150)), (1+AN443)*$N443, "")</f>
        <v/>
      </c>
      <c r="AQ443" s="1" t="str">
        <f>IF(AND(AO443&gt;0, _xlfn.XLOOKUP($AM443, Discretionaries!$A$2:'Discretionaries'!$A$150, Discretionaries!$B$2:'Discretionaries'!$B$150)),AP443-$Q443,"")</f>
        <v/>
      </c>
      <c r="AR443" s="140">
        <f>IF(AG443="", 0-CPI!$B$15, AG443-CPI!$B$15)</f>
        <v>-0.2441282051282051</v>
      </c>
      <c r="AS443" s="1" t="str">
        <f>IF(AND(AR443&gt;0, _xlfn.XLOOKUP($AM443, Discretionaries!$A$2:'Discretionaries'!$A$150, Discretionaries!$B$2:'Discretionaries'!$B$150)), (1+CPI!$B$15)*$N443, "")</f>
        <v/>
      </c>
      <c r="AT443" s="1" t="str">
        <f>IF(AND(AR443&gt;0, _xlfn.XLOOKUP($AM443, Discretionaries!$A$2:'Discretionaries'!$A$150, Discretionaries!$B$2:'Discretionaries'!$B$150)),AS443-$Q443,"")</f>
        <v/>
      </c>
    </row>
    <row r="444" spans="1:46" x14ac:dyDescent="0.3">
      <c r="A444" t="s">
        <v>442</v>
      </c>
      <c r="B444" t="str">
        <f t="shared" si="150"/>
        <v>29</v>
      </c>
      <c r="C444" t="s">
        <v>408</v>
      </c>
      <c r="D444" t="str">
        <f t="shared" si="151"/>
        <v>00</v>
      </c>
      <c r="E444" t="s">
        <v>133</v>
      </c>
      <c r="F444" s="139" t="s">
        <v>162</v>
      </c>
      <c r="G444" t="s">
        <v>163</v>
      </c>
      <c r="H444" s="156">
        <v>5000</v>
      </c>
      <c r="I444" s="156">
        <v>4869.8</v>
      </c>
      <c r="J444" s="156">
        <v>5000</v>
      </c>
      <c r="K444" s="156">
        <v>4603.0200000000004</v>
      </c>
      <c r="L444" s="156">
        <v>5000</v>
      </c>
      <c r="M444" s="156">
        <v>4865.84</v>
      </c>
      <c r="N444" s="156">
        <v>5000</v>
      </c>
      <c r="O444" s="156">
        <v>6200</v>
      </c>
      <c r="P444" s="156">
        <v>6200</v>
      </c>
      <c r="Q444" s="156">
        <v>6200</v>
      </c>
      <c r="R444" s="156">
        <v>5000</v>
      </c>
      <c r="S444" s="156">
        <f t="shared" si="152"/>
        <v>1200</v>
      </c>
      <c r="T444" s="156">
        <f t="shared" si="153"/>
        <v>1200</v>
      </c>
      <c r="U444" s="140">
        <f t="shared" si="154"/>
        <v>0.24</v>
      </c>
      <c r="V444" s="140">
        <f t="shared" si="155"/>
        <v>-2.6039999999999962E-2</v>
      </c>
      <c r="W444" s="140">
        <f t="shared" si="156"/>
        <v>-7.9395999999999911E-2</v>
      </c>
      <c r="X444" s="140">
        <f t="shared" si="157"/>
        <v>-2.683199999999997E-2</v>
      </c>
      <c r="Y444" s="140">
        <f t="shared" si="158"/>
        <v>0</v>
      </c>
      <c r="Z444" s="140">
        <f t="shared" si="159"/>
        <v>-5.4782537270524401E-2</v>
      </c>
      <c r="AA444" s="140">
        <f t="shared" si="160"/>
        <v>0</v>
      </c>
      <c r="AB444" s="140">
        <f t="shared" si="161"/>
        <v>5.7097296991974765E-2</v>
      </c>
      <c r="AC444" s="140">
        <f t="shared" si="162"/>
        <v>0</v>
      </c>
      <c r="AD444" s="140">
        <f t="shared" si="163"/>
        <v>0</v>
      </c>
      <c r="AE444" s="140">
        <f t="shared" si="164"/>
        <v>0.24</v>
      </c>
      <c r="AF444" s="140">
        <f t="shared" si="165"/>
        <v>0.24</v>
      </c>
      <c r="AG444" s="140">
        <f t="shared" si="166"/>
        <v>0.24</v>
      </c>
      <c r="AH444" s="140">
        <f t="shared" si="167"/>
        <v>0</v>
      </c>
      <c r="AI444" s="140">
        <f t="shared" si="168"/>
        <v>0.24</v>
      </c>
      <c r="AJ444" s="140">
        <f t="shared" si="169"/>
        <v>0.24</v>
      </c>
      <c r="AK444" s="140">
        <f t="shared" si="170"/>
        <v>0.24</v>
      </c>
      <c r="AL444" s="140">
        <f t="shared" si="171"/>
        <v>0</v>
      </c>
      <c r="AM444" t="str">
        <f t="shared" si="172"/>
        <v>4411-000: Heat &amp; oil Services</v>
      </c>
      <c r="AN444" s="140">
        <f t="shared" si="173"/>
        <v>0</v>
      </c>
      <c r="AO444" s="140">
        <f t="shared" si="174"/>
        <v>0.24</v>
      </c>
      <c r="AP444" s="1">
        <f>IF(AND(AO444&gt;0, _xlfn.XLOOKUP($AM444, Discretionaries!$A$2:'Discretionaries'!$A$150, Discretionaries!$B$2:'Discretionaries'!$B$150)), (1+AN444)*$N444, "")</f>
        <v>5000</v>
      </c>
      <c r="AQ444" s="1">
        <f>IF(AND(AO444&gt;0, _xlfn.XLOOKUP($AM444, Discretionaries!$A$2:'Discretionaries'!$A$150, Discretionaries!$B$2:'Discretionaries'!$B$150)),AP444-$Q444,"")</f>
        <v>-1200</v>
      </c>
      <c r="AR444" s="140">
        <f>IF(AG444="", 0-CPI!$B$15, AG444-CPI!$B$15)</f>
        <v>0.20100000000000001</v>
      </c>
      <c r="AS444" s="1">
        <f>IF(AND(AR444&gt;0, _xlfn.XLOOKUP($AM444, Discretionaries!$A$2:'Discretionaries'!$A$150, Discretionaries!$B$2:'Discretionaries'!$B$150)), (1+CPI!$B$15)*$N444, "")</f>
        <v>5195</v>
      </c>
      <c r="AT444" s="1">
        <f>IF(AND(AR444&gt;0, _xlfn.XLOOKUP($AM444, Discretionaries!$A$2:'Discretionaries'!$A$150, Discretionaries!$B$2:'Discretionaries'!$B$150)),AS444-$Q444,"")</f>
        <v>-1005</v>
      </c>
    </row>
    <row r="445" spans="1:46" x14ac:dyDescent="0.3">
      <c r="A445" t="s">
        <v>442</v>
      </c>
      <c r="B445" t="str">
        <f t="shared" si="150"/>
        <v>29</v>
      </c>
      <c r="C445" t="s">
        <v>408</v>
      </c>
      <c r="D445" t="str">
        <f t="shared" si="151"/>
        <v>00</v>
      </c>
      <c r="E445" t="s">
        <v>133</v>
      </c>
      <c r="F445" s="139" t="s">
        <v>164</v>
      </c>
      <c r="G445" t="s">
        <v>165</v>
      </c>
      <c r="H445" s="156">
        <v>900</v>
      </c>
      <c r="I445" s="156">
        <v>959.83</v>
      </c>
      <c r="J445" s="156">
        <v>900</v>
      </c>
      <c r="K445" s="156">
        <v>1185.76</v>
      </c>
      <c r="L445" s="156">
        <v>900</v>
      </c>
      <c r="M445" s="156">
        <v>945.1</v>
      </c>
      <c r="N445" s="156">
        <v>1000</v>
      </c>
      <c r="O445" s="156">
        <v>1000</v>
      </c>
      <c r="P445" s="156">
        <v>1000</v>
      </c>
      <c r="Q445" s="156">
        <v>1000</v>
      </c>
      <c r="R445" s="156">
        <v>1000</v>
      </c>
      <c r="S445" s="156">
        <f t="shared" si="152"/>
        <v>0</v>
      </c>
      <c r="T445" s="156">
        <f t="shared" si="153"/>
        <v>0</v>
      </c>
      <c r="U445" s="140">
        <f t="shared" si="154"/>
        <v>0</v>
      </c>
      <c r="V445" s="140">
        <f t="shared" si="155"/>
        <v>6.647777777777783E-2</v>
      </c>
      <c r="W445" s="140">
        <f t="shared" si="156"/>
        <v>0.31751111111111108</v>
      </c>
      <c r="X445" s="140">
        <f t="shared" si="157"/>
        <v>5.0111111111111134E-2</v>
      </c>
      <c r="Y445" s="140">
        <f t="shared" si="158"/>
        <v>0</v>
      </c>
      <c r="Z445" s="140">
        <f t="shared" si="159"/>
        <v>0.23538543283706484</v>
      </c>
      <c r="AA445" s="140">
        <f t="shared" si="160"/>
        <v>0</v>
      </c>
      <c r="AB445" s="140">
        <f t="shared" si="161"/>
        <v>-0.20295844015652406</v>
      </c>
      <c r="AC445" s="140">
        <f t="shared" si="162"/>
        <v>0.1111111111111111</v>
      </c>
      <c r="AD445" s="140">
        <f t="shared" si="163"/>
        <v>0.1111111111111111</v>
      </c>
      <c r="AE445" s="140">
        <f t="shared" si="164"/>
        <v>0</v>
      </c>
      <c r="AF445" s="140">
        <f t="shared" si="165"/>
        <v>0</v>
      </c>
      <c r="AG445" s="140">
        <f t="shared" si="166"/>
        <v>0</v>
      </c>
      <c r="AH445" s="140">
        <f t="shared" si="167"/>
        <v>0</v>
      </c>
      <c r="AI445" s="140">
        <f t="shared" si="168"/>
        <v>0.1111111111111111</v>
      </c>
      <c r="AJ445" s="140">
        <f t="shared" si="169"/>
        <v>0.1111111111111111</v>
      </c>
      <c r="AK445" s="140">
        <f t="shared" si="170"/>
        <v>0.1111111111111111</v>
      </c>
      <c r="AL445" s="140">
        <f t="shared" si="171"/>
        <v>0.1111111111111111</v>
      </c>
      <c r="AM445" t="str">
        <f t="shared" si="172"/>
        <v>4412-000: Water Services</v>
      </c>
      <c r="AN445" s="140">
        <f t="shared" si="173"/>
        <v>3.7037037037037035E-2</v>
      </c>
      <c r="AO445" s="140">
        <f t="shared" si="174"/>
        <v>-3.7037037037037035E-2</v>
      </c>
      <c r="AP445" s="1" t="str">
        <f>IF(AND(AO445&gt;0, _xlfn.XLOOKUP($AM445, Discretionaries!$A$2:'Discretionaries'!$A$150, Discretionaries!$B$2:'Discretionaries'!$B$150)), (1+AN445)*$N445, "")</f>
        <v/>
      </c>
      <c r="AQ445" s="1" t="str">
        <f>IF(AND(AO445&gt;0, _xlfn.XLOOKUP($AM445, Discretionaries!$A$2:'Discretionaries'!$A$150, Discretionaries!$B$2:'Discretionaries'!$B$150)),AP445-$Q445,"")</f>
        <v/>
      </c>
      <c r="AR445" s="140">
        <f>IF(AG445="", 0-CPI!$B$15, AG445-CPI!$B$15)</f>
        <v>-3.8999999999999993E-2</v>
      </c>
      <c r="AS445" s="1" t="str">
        <f>IF(AND(AR445&gt;0, _xlfn.XLOOKUP($AM445, Discretionaries!$A$2:'Discretionaries'!$A$150, Discretionaries!$B$2:'Discretionaries'!$B$150)), (1+CPI!$B$15)*$N445, "")</f>
        <v/>
      </c>
      <c r="AT445" s="1" t="str">
        <f>IF(AND(AR445&gt;0, _xlfn.XLOOKUP($AM445, Discretionaries!$A$2:'Discretionaries'!$A$150, Discretionaries!$B$2:'Discretionaries'!$B$150)),AS445-$Q445,"")</f>
        <v/>
      </c>
    </row>
    <row r="446" spans="1:46" x14ac:dyDescent="0.3">
      <c r="A446" t="s">
        <v>442</v>
      </c>
      <c r="B446" t="str">
        <f t="shared" si="150"/>
        <v>29</v>
      </c>
      <c r="C446" t="s">
        <v>408</v>
      </c>
      <c r="D446" t="str">
        <f t="shared" si="151"/>
        <v>00</v>
      </c>
      <c r="E446" t="s">
        <v>133</v>
      </c>
      <c r="F446" s="139" t="s">
        <v>144</v>
      </c>
      <c r="G446" t="s">
        <v>145</v>
      </c>
      <c r="H446" s="156">
        <v>0</v>
      </c>
      <c r="I446" s="156">
        <v>0</v>
      </c>
      <c r="J446" s="156">
        <v>0</v>
      </c>
      <c r="K446" s="156">
        <v>0</v>
      </c>
      <c r="L446" s="156">
        <v>0</v>
      </c>
      <c r="M446" s="156">
        <v>0</v>
      </c>
      <c r="N446" s="156">
        <v>0</v>
      </c>
      <c r="O446" s="156">
        <v>5100</v>
      </c>
      <c r="P446" s="156">
        <v>5100</v>
      </c>
      <c r="Q446" s="156">
        <v>5100</v>
      </c>
      <c r="R446" s="156">
        <v>0</v>
      </c>
      <c r="S446" s="156">
        <f t="shared" si="152"/>
        <v>5100</v>
      </c>
      <c r="T446" s="156">
        <f t="shared" si="153"/>
        <v>5100</v>
      </c>
      <c r="U446" s="140" t="str">
        <f t="shared" si="154"/>
        <v/>
      </c>
      <c r="V446" s="140" t="str">
        <f t="shared" si="155"/>
        <v/>
      </c>
      <c r="W446" s="140" t="str">
        <f t="shared" si="156"/>
        <v/>
      </c>
      <c r="X446" s="140" t="str">
        <f t="shared" si="157"/>
        <v/>
      </c>
      <c r="Y446" s="140" t="str">
        <f t="shared" si="158"/>
        <v/>
      </c>
      <c r="Z446" s="140" t="str">
        <f t="shared" si="159"/>
        <v/>
      </c>
      <c r="AA446" s="140" t="str">
        <f t="shared" si="160"/>
        <v/>
      </c>
      <c r="AB446" s="140" t="str">
        <f t="shared" si="161"/>
        <v/>
      </c>
      <c r="AC446" s="140" t="str">
        <f t="shared" si="162"/>
        <v/>
      </c>
      <c r="AD446" s="140" t="str">
        <f t="shared" si="163"/>
        <v/>
      </c>
      <c r="AE446" s="140" t="str">
        <f t="shared" si="164"/>
        <v/>
      </c>
      <c r="AF446" s="140" t="str">
        <f t="shared" si="165"/>
        <v/>
      </c>
      <c r="AG446" s="140" t="str">
        <f t="shared" si="166"/>
        <v/>
      </c>
      <c r="AH446" s="140" t="str">
        <f t="shared" si="167"/>
        <v/>
      </c>
      <c r="AI446" s="140" t="str">
        <f t="shared" si="168"/>
        <v/>
      </c>
      <c r="AJ446" s="140" t="str">
        <f t="shared" si="169"/>
        <v/>
      </c>
      <c r="AK446" s="140" t="str">
        <f t="shared" si="170"/>
        <v/>
      </c>
      <c r="AL446" s="140" t="str">
        <f t="shared" si="171"/>
        <v/>
      </c>
      <c r="AM446" t="str">
        <f t="shared" si="172"/>
        <v>4341-000: Telephone Services</v>
      </c>
      <c r="AN446" s="140">
        <f t="shared" si="173"/>
        <v>0</v>
      </c>
      <c r="AO446" s="140">
        <f t="shared" si="174"/>
        <v>0</v>
      </c>
      <c r="AP446" s="1" t="str">
        <f>IF(AND(AO446&gt;0, _xlfn.XLOOKUP($AM446, Discretionaries!$A$2:'Discretionaries'!$A$150, Discretionaries!$B$2:'Discretionaries'!$B$150)), (1+AN446)*$N446, "")</f>
        <v/>
      </c>
      <c r="AQ446" s="1" t="str">
        <f>IF(AND(AO446&gt;0, _xlfn.XLOOKUP($AM446, Discretionaries!$A$2:'Discretionaries'!$A$150, Discretionaries!$B$2:'Discretionaries'!$B$150)),AP446-$Q446,"")</f>
        <v/>
      </c>
      <c r="AR446" s="140">
        <f>IF(AG446="", 0-CPI!$B$15, AG446-CPI!$B$15)</f>
        <v>-3.8999999999999993E-2</v>
      </c>
      <c r="AS446" s="1" t="str">
        <f>IF(AND(AR446&gt;0, _xlfn.XLOOKUP($AM446, Discretionaries!$A$2:'Discretionaries'!$A$150, Discretionaries!$B$2:'Discretionaries'!$B$150)), (1+CPI!$B$15)*$N446, "")</f>
        <v/>
      </c>
      <c r="AT446" s="1" t="str">
        <f>IF(AND(AR446&gt;0, _xlfn.XLOOKUP($AM446, Discretionaries!$A$2:'Discretionaries'!$A$150, Discretionaries!$B$2:'Discretionaries'!$B$150)),AS446-$Q446,"")</f>
        <v/>
      </c>
    </row>
    <row r="447" spans="1:46" x14ac:dyDescent="0.3">
      <c r="A447" t="s">
        <v>442</v>
      </c>
      <c r="B447" t="str">
        <f t="shared" si="150"/>
        <v>29</v>
      </c>
      <c r="C447" t="s">
        <v>408</v>
      </c>
      <c r="D447" t="str">
        <f t="shared" si="151"/>
        <v>00</v>
      </c>
      <c r="E447" t="s">
        <v>45</v>
      </c>
      <c r="F447" s="139" t="s">
        <v>22</v>
      </c>
      <c r="G447" t="s">
        <v>23</v>
      </c>
      <c r="H447" s="156">
        <v>150</v>
      </c>
      <c r="I447" s="156">
        <v>0</v>
      </c>
      <c r="J447" s="156">
        <v>150</v>
      </c>
      <c r="K447" s="156">
        <v>0</v>
      </c>
      <c r="L447" s="156">
        <v>150</v>
      </c>
      <c r="M447" s="156">
        <v>103.2</v>
      </c>
      <c r="N447" s="156">
        <v>150</v>
      </c>
      <c r="O447" s="156">
        <v>70</v>
      </c>
      <c r="P447" s="156">
        <v>70</v>
      </c>
      <c r="Q447" s="156">
        <v>70</v>
      </c>
      <c r="R447" s="156">
        <v>150</v>
      </c>
      <c r="S447" s="156">
        <f t="shared" si="152"/>
        <v>-80</v>
      </c>
      <c r="T447" s="156">
        <f t="shared" si="153"/>
        <v>-80</v>
      </c>
      <c r="U447" s="140">
        <f t="shared" si="154"/>
        <v>-0.53333333333333333</v>
      </c>
      <c r="V447" s="140">
        <f t="shared" si="155"/>
        <v>-1</v>
      </c>
      <c r="W447" s="140">
        <f t="shared" si="156"/>
        <v>-1</v>
      </c>
      <c r="X447" s="140">
        <f t="shared" si="157"/>
        <v>-0.312</v>
      </c>
      <c r="Y447" s="140">
        <f t="shared" si="158"/>
        <v>0</v>
      </c>
      <c r="Z447" s="140" t="str">
        <f t="shared" si="159"/>
        <v/>
      </c>
      <c r="AA447" s="140">
        <f t="shared" si="160"/>
        <v>0</v>
      </c>
      <c r="AB447" s="140" t="str">
        <f t="shared" si="161"/>
        <v/>
      </c>
      <c r="AC447" s="140">
        <f t="shared" si="162"/>
        <v>0</v>
      </c>
      <c r="AD447" s="140">
        <f t="shared" si="163"/>
        <v>0</v>
      </c>
      <c r="AE447" s="140">
        <f t="shared" si="164"/>
        <v>-0.53333333333333333</v>
      </c>
      <c r="AF447" s="140">
        <f t="shared" si="165"/>
        <v>-0.53333333333333333</v>
      </c>
      <c r="AG447" s="140">
        <f t="shared" si="166"/>
        <v>-0.53333333333333333</v>
      </c>
      <c r="AH447" s="140">
        <f t="shared" si="167"/>
        <v>0</v>
      </c>
      <c r="AI447" s="140">
        <f t="shared" si="168"/>
        <v>-0.53333333333333333</v>
      </c>
      <c r="AJ447" s="140">
        <f t="shared" si="169"/>
        <v>-0.53333333333333333</v>
      </c>
      <c r="AK447" s="140">
        <f t="shared" si="170"/>
        <v>-0.53333333333333333</v>
      </c>
      <c r="AL447" s="140">
        <f t="shared" si="171"/>
        <v>0</v>
      </c>
      <c r="AM447" t="str">
        <f t="shared" si="172"/>
        <v>4550-000: Printing Services</v>
      </c>
      <c r="AN447" s="140">
        <f t="shared" si="173"/>
        <v>0</v>
      </c>
      <c r="AO447" s="140">
        <f t="shared" si="174"/>
        <v>-0.53333333333333333</v>
      </c>
      <c r="AP447" s="1" t="str">
        <f>IF(AND(AO447&gt;0, _xlfn.XLOOKUP($AM447, Discretionaries!$A$2:'Discretionaries'!$A$150, Discretionaries!$B$2:'Discretionaries'!$B$150)), (1+AN447)*$N447, "")</f>
        <v/>
      </c>
      <c r="AQ447" s="1" t="str">
        <f>IF(AND(AO447&gt;0, _xlfn.XLOOKUP($AM447, Discretionaries!$A$2:'Discretionaries'!$A$150, Discretionaries!$B$2:'Discretionaries'!$B$150)),AP447-$Q447,"")</f>
        <v/>
      </c>
      <c r="AR447" s="140">
        <f>IF(AG447="", 0-CPI!$B$15, AG447-CPI!$B$15)</f>
        <v>-0.57233333333333336</v>
      </c>
      <c r="AS447" s="1" t="str">
        <f>IF(AND(AR447&gt;0, _xlfn.XLOOKUP($AM447, Discretionaries!$A$2:'Discretionaries'!$A$150, Discretionaries!$B$2:'Discretionaries'!$B$150)), (1+CPI!$B$15)*$N447, "")</f>
        <v/>
      </c>
      <c r="AT447" s="1" t="str">
        <f>IF(AND(AR447&gt;0, _xlfn.XLOOKUP($AM447, Discretionaries!$A$2:'Discretionaries'!$A$150, Discretionaries!$B$2:'Discretionaries'!$B$150)),AS447-$Q447,"")</f>
        <v/>
      </c>
    </row>
    <row r="448" spans="1:46" x14ac:dyDescent="0.3">
      <c r="A448" t="s">
        <v>442</v>
      </c>
      <c r="B448" t="str">
        <f t="shared" si="150"/>
        <v>29</v>
      </c>
      <c r="C448" t="s">
        <v>408</v>
      </c>
      <c r="D448" t="str">
        <f t="shared" si="151"/>
        <v>00</v>
      </c>
      <c r="E448" t="s">
        <v>45</v>
      </c>
      <c r="F448" s="139" t="s">
        <v>46</v>
      </c>
      <c r="G448" t="s">
        <v>47</v>
      </c>
      <c r="H448" s="156">
        <v>1200</v>
      </c>
      <c r="I448" s="156">
        <v>239.88</v>
      </c>
      <c r="J448" s="156">
        <v>1200</v>
      </c>
      <c r="K448" s="156">
        <v>1451.88</v>
      </c>
      <c r="L448" s="156">
        <v>1200</v>
      </c>
      <c r="M448" s="156">
        <v>2016.18</v>
      </c>
      <c r="N448" s="156">
        <v>1200</v>
      </c>
      <c r="O448" s="156">
        <v>6434</v>
      </c>
      <c r="P448" s="156">
        <v>6434</v>
      </c>
      <c r="Q448" s="156">
        <v>6434</v>
      </c>
      <c r="R448" s="156">
        <v>1634</v>
      </c>
      <c r="S448" s="156">
        <f t="shared" si="152"/>
        <v>5234</v>
      </c>
      <c r="T448" s="156">
        <f t="shared" si="153"/>
        <v>4800</v>
      </c>
      <c r="U448" s="140">
        <f t="shared" si="154"/>
        <v>4.3616666666666664</v>
      </c>
      <c r="V448" s="140">
        <f t="shared" si="155"/>
        <v>-0.80010000000000003</v>
      </c>
      <c r="W448" s="140">
        <f t="shared" si="156"/>
        <v>0.20990000000000009</v>
      </c>
      <c r="X448" s="140">
        <f t="shared" si="157"/>
        <v>0.68015000000000003</v>
      </c>
      <c r="Y448" s="140">
        <f t="shared" si="158"/>
        <v>0</v>
      </c>
      <c r="Z448" s="140">
        <f t="shared" si="159"/>
        <v>5.0525262631315657</v>
      </c>
      <c r="AA448" s="140">
        <f t="shared" si="160"/>
        <v>0</v>
      </c>
      <c r="AB448" s="140">
        <f t="shared" si="161"/>
        <v>0.38866848499876017</v>
      </c>
      <c r="AC448" s="140">
        <f t="shared" si="162"/>
        <v>0</v>
      </c>
      <c r="AD448" s="140">
        <f t="shared" si="163"/>
        <v>0</v>
      </c>
      <c r="AE448" s="140">
        <f t="shared" si="164"/>
        <v>4.3616666666666664</v>
      </c>
      <c r="AF448" s="140">
        <f t="shared" si="165"/>
        <v>4.3616666666666664</v>
      </c>
      <c r="AG448" s="140">
        <f t="shared" si="166"/>
        <v>4.3616666666666664</v>
      </c>
      <c r="AH448" s="140">
        <f t="shared" si="167"/>
        <v>0.36166666666666669</v>
      </c>
      <c r="AI448" s="140">
        <f t="shared" si="168"/>
        <v>4.3616666666666664</v>
      </c>
      <c r="AJ448" s="140">
        <f t="shared" si="169"/>
        <v>4.3616666666666664</v>
      </c>
      <c r="AK448" s="140">
        <f t="shared" si="170"/>
        <v>4.3616666666666664</v>
      </c>
      <c r="AL448" s="140">
        <f t="shared" si="171"/>
        <v>0.36166666666666669</v>
      </c>
      <c r="AM448" t="str">
        <f t="shared" si="172"/>
        <v>4560-000: Dues &amp; subs Services</v>
      </c>
      <c r="AN448" s="140">
        <f t="shared" si="173"/>
        <v>0</v>
      </c>
      <c r="AO448" s="140">
        <f t="shared" si="174"/>
        <v>4.3616666666666664</v>
      </c>
      <c r="AP448" s="1">
        <f>IF(AND(AO448&gt;0, _xlfn.XLOOKUP($AM448, Discretionaries!$A$2:'Discretionaries'!$A$150, Discretionaries!$B$2:'Discretionaries'!$B$150)), (1+AN448)*$N448, "")</f>
        <v>1200</v>
      </c>
      <c r="AQ448" s="1">
        <f>IF(AND(AO448&gt;0, _xlfn.XLOOKUP($AM448, Discretionaries!$A$2:'Discretionaries'!$A$150, Discretionaries!$B$2:'Discretionaries'!$B$150)),AP448-$Q448,"")</f>
        <v>-5234</v>
      </c>
      <c r="AR448" s="140">
        <f>IF(AG448="", 0-CPI!$B$15, AG448-CPI!$B$15)</f>
        <v>4.3226666666666667</v>
      </c>
      <c r="AS448" s="1">
        <f>IF(AND(AR448&gt;0, _xlfn.XLOOKUP($AM448, Discretionaries!$A$2:'Discretionaries'!$A$150, Discretionaries!$B$2:'Discretionaries'!$B$150)), (1+CPI!$B$15)*$N448, "")</f>
        <v>1246.8</v>
      </c>
      <c r="AT448" s="1">
        <f>IF(AND(AR448&gt;0, _xlfn.XLOOKUP($AM448, Discretionaries!$A$2:'Discretionaries'!$A$150, Discretionaries!$B$2:'Discretionaries'!$B$150)),AS448-$Q448,"")</f>
        <v>-5187.2</v>
      </c>
    </row>
    <row r="449" spans="1:46" x14ac:dyDescent="0.3">
      <c r="A449" t="s">
        <v>442</v>
      </c>
      <c r="B449" t="str">
        <f t="shared" si="150"/>
        <v>29</v>
      </c>
      <c r="C449" t="s">
        <v>408</v>
      </c>
      <c r="D449" t="str">
        <f t="shared" si="151"/>
        <v>00</v>
      </c>
      <c r="E449" t="s">
        <v>45</v>
      </c>
      <c r="F449" s="139" t="s">
        <v>26</v>
      </c>
      <c r="G449" t="s">
        <v>27</v>
      </c>
      <c r="H449" s="156">
        <v>2000</v>
      </c>
      <c r="I449" s="156">
        <v>3058.78</v>
      </c>
      <c r="J449" s="156">
        <v>2000</v>
      </c>
      <c r="K449" s="156">
        <v>3843.23</v>
      </c>
      <c r="L449" s="156">
        <v>3500</v>
      </c>
      <c r="M449" s="156">
        <v>3184.26</v>
      </c>
      <c r="N449" s="156">
        <v>3500</v>
      </c>
      <c r="O449" s="156">
        <v>9000</v>
      </c>
      <c r="P449" s="156">
        <v>9000</v>
      </c>
      <c r="Q449" s="156">
        <v>9000</v>
      </c>
      <c r="R449" s="156">
        <v>3500</v>
      </c>
      <c r="S449" s="156">
        <f t="shared" si="152"/>
        <v>5500</v>
      </c>
      <c r="T449" s="156">
        <f t="shared" si="153"/>
        <v>5500</v>
      </c>
      <c r="U449" s="140">
        <f t="shared" si="154"/>
        <v>1.5714285714285714</v>
      </c>
      <c r="V449" s="140">
        <f t="shared" si="155"/>
        <v>0.52939000000000014</v>
      </c>
      <c r="W449" s="140">
        <f t="shared" si="156"/>
        <v>0.92161499999999996</v>
      </c>
      <c r="X449" s="140">
        <f t="shared" si="157"/>
        <v>-9.0211428571428512E-2</v>
      </c>
      <c r="Y449" s="140">
        <f t="shared" si="158"/>
        <v>0</v>
      </c>
      <c r="Z449" s="140">
        <f t="shared" si="159"/>
        <v>0.25645845729343064</v>
      </c>
      <c r="AA449" s="140">
        <f t="shared" si="160"/>
        <v>0.75</v>
      </c>
      <c r="AB449" s="140">
        <f t="shared" si="161"/>
        <v>-0.17146254582733789</v>
      </c>
      <c r="AC449" s="140">
        <f t="shared" si="162"/>
        <v>0</v>
      </c>
      <c r="AD449" s="140">
        <f t="shared" si="163"/>
        <v>0.75</v>
      </c>
      <c r="AE449" s="140">
        <f t="shared" si="164"/>
        <v>1.5714285714285714</v>
      </c>
      <c r="AF449" s="140">
        <f t="shared" si="165"/>
        <v>1.5714285714285714</v>
      </c>
      <c r="AG449" s="140">
        <f t="shared" si="166"/>
        <v>1.5714285714285714</v>
      </c>
      <c r="AH449" s="140">
        <f t="shared" si="167"/>
        <v>0</v>
      </c>
      <c r="AI449" s="140">
        <f t="shared" si="168"/>
        <v>3.5</v>
      </c>
      <c r="AJ449" s="140">
        <f t="shared" si="169"/>
        <v>3.5</v>
      </c>
      <c r="AK449" s="140">
        <f t="shared" si="170"/>
        <v>3.5</v>
      </c>
      <c r="AL449" s="140">
        <f t="shared" si="171"/>
        <v>0.75</v>
      </c>
      <c r="AM449" t="str">
        <f t="shared" si="172"/>
        <v>4575-000: Travel &amp; mileage Services</v>
      </c>
      <c r="AN449" s="140">
        <f t="shared" si="173"/>
        <v>0.25</v>
      </c>
      <c r="AO449" s="140">
        <f t="shared" si="174"/>
        <v>1.3214285714285714</v>
      </c>
      <c r="AP449" s="1">
        <f>IF(AND(AO449&gt;0, _xlfn.XLOOKUP($AM449, Discretionaries!$A$2:'Discretionaries'!$A$150, Discretionaries!$B$2:'Discretionaries'!$B$150)), (1+AN449)*$N449, "")</f>
        <v>4375</v>
      </c>
      <c r="AQ449" s="1">
        <f>IF(AND(AO449&gt;0, _xlfn.XLOOKUP($AM449, Discretionaries!$A$2:'Discretionaries'!$A$150, Discretionaries!$B$2:'Discretionaries'!$B$150)),AP449-$Q449,"")</f>
        <v>-4625</v>
      </c>
      <c r="AR449" s="140">
        <f>IF(AG449="", 0-CPI!$B$15, AG449-CPI!$B$15)</f>
        <v>1.5324285714285715</v>
      </c>
      <c r="AS449" s="1">
        <f>IF(AND(AR449&gt;0, _xlfn.XLOOKUP($AM449, Discretionaries!$A$2:'Discretionaries'!$A$150, Discretionaries!$B$2:'Discretionaries'!$B$150)), (1+CPI!$B$15)*$N449, "")</f>
        <v>3636.4999999999995</v>
      </c>
      <c r="AT449" s="1">
        <f>IF(AND(AR449&gt;0, _xlfn.XLOOKUP($AM449, Discretionaries!$A$2:'Discretionaries'!$A$150, Discretionaries!$B$2:'Discretionaries'!$B$150)),AS449-$Q449,"")</f>
        <v>-5363.5</v>
      </c>
    </row>
    <row r="450" spans="1:46" x14ac:dyDescent="0.3">
      <c r="A450" t="s">
        <v>442</v>
      </c>
      <c r="B450" t="str">
        <f t="shared" ref="B450:B513" si="175">LEFT(A450, 2)</f>
        <v>29</v>
      </c>
      <c r="C450" t="s">
        <v>408</v>
      </c>
      <c r="D450" t="str">
        <f t="shared" ref="D450:D513" si="176">LEFT(C450, 2)</f>
        <v>00</v>
      </c>
      <c r="E450" t="s">
        <v>30</v>
      </c>
      <c r="F450" s="139" t="s">
        <v>31</v>
      </c>
      <c r="G450" t="s">
        <v>32</v>
      </c>
      <c r="H450" s="156">
        <v>2500</v>
      </c>
      <c r="I450" s="156">
        <v>1984.13</v>
      </c>
      <c r="J450" s="156">
        <v>2500</v>
      </c>
      <c r="K450" s="156">
        <v>1094.3900000000001</v>
      </c>
      <c r="L450" s="156">
        <v>2500</v>
      </c>
      <c r="M450" s="156">
        <v>781.85</v>
      </c>
      <c r="N450" s="156">
        <v>2500</v>
      </c>
      <c r="O450" s="156">
        <v>1500</v>
      </c>
      <c r="P450" s="156">
        <v>1500</v>
      </c>
      <c r="Q450" s="156">
        <v>1500</v>
      </c>
      <c r="R450" s="156">
        <v>2500</v>
      </c>
      <c r="S450" s="156">
        <f t="shared" ref="S450:S513" si="177">Q450 - N450</f>
        <v>-1000</v>
      </c>
      <c r="T450" s="156">
        <f t="shared" ref="T450:T513" si="178">Q450 - R450</f>
        <v>-1000</v>
      </c>
      <c r="U450" s="140">
        <f t="shared" ref="U450:U513" si="179">IFERROR((Q450 - N450) / N450, "")</f>
        <v>-0.4</v>
      </c>
      <c r="V450" s="140">
        <f t="shared" ref="V450:V513" si="180">IFERROR((I450 - H450) / H450, "")</f>
        <v>-0.20634799999999995</v>
      </c>
      <c r="W450" s="140">
        <f t="shared" ref="W450:W513" si="181">IFERROR((K450 - J450) / J450, "")</f>
        <v>-0.56224399999999997</v>
      </c>
      <c r="X450" s="140">
        <f t="shared" ref="X450:X513" si="182">IFERROR((M450 - L450) / L450, "")</f>
        <v>-0.68725999999999998</v>
      </c>
      <c r="Y450" s="140">
        <f t="shared" ref="Y450:Y513" si="183">IFERROR((J450 - H450) / H450, "")</f>
        <v>0</v>
      </c>
      <c r="Z450" s="140">
        <f t="shared" ref="Z450:Z513" si="184">IFERROR((K450 - I450) / I450, "")</f>
        <v>-0.44842827838901683</v>
      </c>
      <c r="AA450" s="140">
        <f t="shared" ref="AA450:AA513" si="185">IFERROR((L450 - J450) / J450, "")</f>
        <v>0</v>
      </c>
      <c r="AB450" s="140">
        <f t="shared" ref="AB450:AB513" si="186">IFERROR((M450 - K450) / K450, "")</f>
        <v>-0.28558374985151552</v>
      </c>
      <c r="AC450" s="140">
        <f t="shared" ref="AC450:AC513" si="187">IFERROR((N450 - L450) / L450, "")</f>
        <v>0</v>
      </c>
      <c r="AD450" s="140">
        <f t="shared" ref="AD450:AD513" si="188">IFERROR((N450 - H450) / H450, "")</f>
        <v>0</v>
      </c>
      <c r="AE450" s="140">
        <f t="shared" ref="AE450:AE513" si="189">IFERROR((O450 - N450) / N450, "")</f>
        <v>-0.4</v>
      </c>
      <c r="AF450" s="140">
        <f t="shared" ref="AF450:AF513" si="190">IFERROR((P450 - N450) / N450, "")</f>
        <v>-0.4</v>
      </c>
      <c r="AG450" s="140">
        <f t="shared" ref="AG450:AG513" si="191">IFERROR((Q450 - N450) / N450, "")</f>
        <v>-0.4</v>
      </c>
      <c r="AH450" s="140">
        <f t="shared" ref="AH450:AH513" si="192">IFERROR((R450 - N450) / N450, "")</f>
        <v>0</v>
      </c>
      <c r="AI450" s="140">
        <f t="shared" ref="AI450:AI513" si="193">IFERROR((O450 - H450) / H450, "")</f>
        <v>-0.4</v>
      </c>
      <c r="AJ450" s="140">
        <f t="shared" ref="AJ450:AJ513" si="194">IFERROR((P450 - H450) / H450, "")</f>
        <v>-0.4</v>
      </c>
      <c r="AK450" s="140">
        <f t="shared" ref="AK450:AK513" si="195">IFERROR((Q450 - H450) / H450, "")</f>
        <v>-0.4</v>
      </c>
      <c r="AL450" s="140">
        <f t="shared" ref="AL450:AL513" si="196">IFERROR((R450 - H450) / H450, "")</f>
        <v>0</v>
      </c>
      <c r="AM450" t="str">
        <f t="shared" ref="AM450:AM513" si="197">_xlfn.CONCAT(TRIM(F450), ": ", TRIM(G450))</f>
        <v>4610-000: General expenses Supplies</v>
      </c>
      <c r="AN450" s="140">
        <f t="shared" si="173"/>
        <v>0</v>
      </c>
      <c r="AO450" s="140">
        <f t="shared" si="174"/>
        <v>-0.4</v>
      </c>
      <c r="AP450" s="1" t="str">
        <f>IF(AND(AO450&gt;0, _xlfn.XLOOKUP($AM450, Discretionaries!$A$2:'Discretionaries'!$A$150, Discretionaries!$B$2:'Discretionaries'!$B$150)), (1+AN450)*$N450, "")</f>
        <v/>
      </c>
      <c r="AQ450" s="1" t="str">
        <f>IF(AND(AO450&gt;0, _xlfn.XLOOKUP($AM450, Discretionaries!$A$2:'Discretionaries'!$A$150, Discretionaries!$B$2:'Discretionaries'!$B$150)),AP450-$Q450,"")</f>
        <v/>
      </c>
      <c r="AR450" s="140">
        <f>IF(AG450="", 0-CPI!$B$15, AG450-CPI!$B$15)</f>
        <v>-0.439</v>
      </c>
      <c r="AS450" s="1" t="str">
        <f>IF(AND(AR450&gt;0, _xlfn.XLOOKUP($AM450, Discretionaries!$A$2:'Discretionaries'!$A$150, Discretionaries!$B$2:'Discretionaries'!$B$150)), (1+CPI!$B$15)*$N450, "")</f>
        <v/>
      </c>
      <c r="AT450" s="1" t="str">
        <f>IF(AND(AR450&gt;0, _xlfn.XLOOKUP($AM450, Discretionaries!$A$2:'Discretionaries'!$A$150, Discretionaries!$B$2:'Discretionaries'!$B$150)),AS450-$Q450,"")</f>
        <v/>
      </c>
    </row>
    <row r="451" spans="1:46" x14ac:dyDescent="0.3">
      <c r="A451" t="s">
        <v>442</v>
      </c>
      <c r="B451" t="str">
        <f t="shared" si="175"/>
        <v>29</v>
      </c>
      <c r="C451" t="s">
        <v>408</v>
      </c>
      <c r="D451" t="str">
        <f t="shared" si="176"/>
        <v>00</v>
      </c>
      <c r="E451" t="s">
        <v>30</v>
      </c>
      <c r="F451" s="139" t="s">
        <v>51</v>
      </c>
      <c r="G451" t="s">
        <v>48</v>
      </c>
      <c r="H451" s="156">
        <v>750</v>
      </c>
      <c r="I451" s="156">
        <v>264.52999999999997</v>
      </c>
      <c r="J451" s="156">
        <v>750</v>
      </c>
      <c r="K451" s="156">
        <v>842.12</v>
      </c>
      <c r="L451" s="156">
        <v>750</v>
      </c>
      <c r="M451" s="156">
        <v>299.24</v>
      </c>
      <c r="N451" s="156">
        <v>750</v>
      </c>
      <c r="O451" s="156">
        <v>750</v>
      </c>
      <c r="P451" s="156">
        <v>750</v>
      </c>
      <c r="Q451" s="156">
        <v>750</v>
      </c>
      <c r="R451" s="156">
        <v>750</v>
      </c>
      <c r="S451" s="156">
        <f t="shared" si="177"/>
        <v>0</v>
      </c>
      <c r="T451" s="156">
        <f t="shared" si="178"/>
        <v>0</v>
      </c>
      <c r="U451" s="140">
        <f t="shared" si="179"/>
        <v>0</v>
      </c>
      <c r="V451" s="140">
        <f t="shared" si="180"/>
        <v>-0.64729333333333339</v>
      </c>
      <c r="W451" s="140">
        <f t="shared" si="181"/>
        <v>0.12282666666666667</v>
      </c>
      <c r="X451" s="140">
        <f t="shared" si="182"/>
        <v>-0.60101333333333329</v>
      </c>
      <c r="Y451" s="140">
        <f t="shared" si="183"/>
        <v>0</v>
      </c>
      <c r="Z451" s="140">
        <f t="shared" si="184"/>
        <v>2.1834574528408881</v>
      </c>
      <c r="AA451" s="140">
        <f t="shared" si="185"/>
        <v>0</v>
      </c>
      <c r="AB451" s="140">
        <f t="shared" si="186"/>
        <v>-0.64465871847242673</v>
      </c>
      <c r="AC451" s="140">
        <f t="shared" si="187"/>
        <v>0</v>
      </c>
      <c r="AD451" s="140">
        <f t="shared" si="188"/>
        <v>0</v>
      </c>
      <c r="AE451" s="140">
        <f t="shared" si="189"/>
        <v>0</v>
      </c>
      <c r="AF451" s="140">
        <f t="shared" si="190"/>
        <v>0</v>
      </c>
      <c r="AG451" s="140">
        <f t="shared" si="191"/>
        <v>0</v>
      </c>
      <c r="AH451" s="140">
        <f t="shared" si="192"/>
        <v>0</v>
      </c>
      <c r="AI451" s="140">
        <f t="shared" si="193"/>
        <v>0</v>
      </c>
      <c r="AJ451" s="140">
        <f t="shared" si="194"/>
        <v>0</v>
      </c>
      <c r="AK451" s="140">
        <f t="shared" si="195"/>
        <v>0</v>
      </c>
      <c r="AL451" s="140">
        <f t="shared" si="196"/>
        <v>0</v>
      </c>
      <c r="AM451" t="str">
        <f t="shared" si="197"/>
        <v>4620-000: Office supplies Supplies</v>
      </c>
      <c r="AN451" s="140">
        <f t="shared" ref="AN451:AN514" si="198">IFERROR(AVERAGE(Y451, AA451, AC451), 0)</f>
        <v>0</v>
      </c>
      <c r="AO451" s="140">
        <f t="shared" ref="AO451:AO514" si="199">IF($AG451="", 0-AN451, $AG451-AN451)</f>
        <v>0</v>
      </c>
      <c r="AP451" s="1" t="str">
        <f>IF(AND(AO451&gt;0, _xlfn.XLOOKUP($AM451, Discretionaries!$A$2:'Discretionaries'!$A$150, Discretionaries!$B$2:'Discretionaries'!$B$150)), (1+AN451)*$N451, "")</f>
        <v/>
      </c>
      <c r="AQ451" s="1" t="str">
        <f>IF(AND(AO451&gt;0, _xlfn.XLOOKUP($AM451, Discretionaries!$A$2:'Discretionaries'!$A$150, Discretionaries!$B$2:'Discretionaries'!$B$150)),AP451-$Q451,"")</f>
        <v/>
      </c>
      <c r="AR451" s="140">
        <f>IF(AG451="", 0-CPI!$B$15, AG451-CPI!$B$15)</f>
        <v>-3.8999999999999993E-2</v>
      </c>
      <c r="AS451" s="1" t="str">
        <f>IF(AND(AR451&gt;0, _xlfn.XLOOKUP($AM451, Discretionaries!$A$2:'Discretionaries'!$A$150, Discretionaries!$B$2:'Discretionaries'!$B$150)), (1+CPI!$B$15)*$N451, "")</f>
        <v/>
      </c>
      <c r="AT451" s="1" t="str">
        <f>IF(AND(AR451&gt;0, _xlfn.XLOOKUP($AM451, Discretionaries!$A$2:'Discretionaries'!$A$150, Discretionaries!$B$2:'Discretionaries'!$B$150)),AS451-$Q451,"")</f>
        <v/>
      </c>
    </row>
    <row r="452" spans="1:46" x14ac:dyDescent="0.3">
      <c r="A452" t="s">
        <v>442</v>
      </c>
      <c r="B452" t="str">
        <f t="shared" si="175"/>
        <v>29</v>
      </c>
      <c r="C452" t="s">
        <v>408</v>
      </c>
      <c r="D452" t="str">
        <f t="shared" si="176"/>
        <v>00</v>
      </c>
      <c r="E452" t="s">
        <v>30</v>
      </c>
      <c r="F452" s="139" t="s">
        <v>52</v>
      </c>
      <c r="G452" t="s">
        <v>49</v>
      </c>
      <c r="H452" s="156">
        <v>100</v>
      </c>
      <c r="I452" s="156">
        <v>12.6</v>
      </c>
      <c r="J452" s="156">
        <v>100</v>
      </c>
      <c r="K452" s="156">
        <v>0</v>
      </c>
      <c r="L452" s="156">
        <v>100</v>
      </c>
      <c r="M452" s="156">
        <v>39.1</v>
      </c>
      <c r="N452" s="156">
        <v>100</v>
      </c>
      <c r="O452" s="156">
        <v>50</v>
      </c>
      <c r="P452" s="156">
        <v>50</v>
      </c>
      <c r="Q452" s="156">
        <v>50</v>
      </c>
      <c r="R452" s="156">
        <v>100</v>
      </c>
      <c r="S452" s="156">
        <f t="shared" si="177"/>
        <v>-50</v>
      </c>
      <c r="T452" s="156">
        <f t="shared" si="178"/>
        <v>-50</v>
      </c>
      <c r="U452" s="140">
        <f t="shared" si="179"/>
        <v>-0.5</v>
      </c>
      <c r="V452" s="140">
        <f t="shared" si="180"/>
        <v>-0.87400000000000011</v>
      </c>
      <c r="W452" s="140">
        <f t="shared" si="181"/>
        <v>-1</v>
      </c>
      <c r="X452" s="140">
        <f t="shared" si="182"/>
        <v>-0.60899999999999999</v>
      </c>
      <c r="Y452" s="140">
        <f t="shared" si="183"/>
        <v>0</v>
      </c>
      <c r="Z452" s="140">
        <f t="shared" si="184"/>
        <v>-1</v>
      </c>
      <c r="AA452" s="140">
        <f t="shared" si="185"/>
        <v>0</v>
      </c>
      <c r="AB452" s="140" t="str">
        <f t="shared" si="186"/>
        <v/>
      </c>
      <c r="AC452" s="140">
        <f t="shared" si="187"/>
        <v>0</v>
      </c>
      <c r="AD452" s="140">
        <f t="shared" si="188"/>
        <v>0</v>
      </c>
      <c r="AE452" s="140">
        <f t="shared" si="189"/>
        <v>-0.5</v>
      </c>
      <c r="AF452" s="140">
        <f t="shared" si="190"/>
        <v>-0.5</v>
      </c>
      <c r="AG452" s="140">
        <f t="shared" si="191"/>
        <v>-0.5</v>
      </c>
      <c r="AH452" s="140">
        <f t="shared" si="192"/>
        <v>0</v>
      </c>
      <c r="AI452" s="140">
        <f t="shared" si="193"/>
        <v>-0.5</v>
      </c>
      <c r="AJ452" s="140">
        <f t="shared" si="194"/>
        <v>-0.5</v>
      </c>
      <c r="AK452" s="140">
        <f t="shared" si="195"/>
        <v>-0.5</v>
      </c>
      <c r="AL452" s="140">
        <f t="shared" si="196"/>
        <v>0</v>
      </c>
      <c r="AM452" t="str">
        <f t="shared" si="197"/>
        <v>4625-000: Postage Supplies</v>
      </c>
      <c r="AN452" s="140">
        <f t="shared" si="198"/>
        <v>0</v>
      </c>
      <c r="AO452" s="140">
        <f t="shared" si="199"/>
        <v>-0.5</v>
      </c>
      <c r="AP452" s="1" t="str">
        <f>IF(AND(AO452&gt;0, _xlfn.XLOOKUP($AM452, Discretionaries!$A$2:'Discretionaries'!$A$150, Discretionaries!$B$2:'Discretionaries'!$B$150)), (1+AN452)*$N452, "")</f>
        <v/>
      </c>
      <c r="AQ452" s="1" t="str">
        <f>IF(AND(AO452&gt;0, _xlfn.XLOOKUP($AM452, Discretionaries!$A$2:'Discretionaries'!$A$150, Discretionaries!$B$2:'Discretionaries'!$B$150)),AP452-$Q452,"")</f>
        <v/>
      </c>
      <c r="AR452" s="140">
        <f>IF(AG452="", 0-CPI!$B$15, AG452-CPI!$B$15)</f>
        <v>-0.53900000000000003</v>
      </c>
      <c r="AS452" s="1" t="str">
        <f>IF(AND(AR452&gt;0, _xlfn.XLOOKUP($AM452, Discretionaries!$A$2:'Discretionaries'!$A$150, Discretionaries!$B$2:'Discretionaries'!$B$150)), (1+CPI!$B$15)*$N452, "")</f>
        <v/>
      </c>
      <c r="AT452" s="1" t="str">
        <f>IF(AND(AR452&gt;0, _xlfn.XLOOKUP($AM452, Discretionaries!$A$2:'Discretionaries'!$A$150, Discretionaries!$B$2:'Discretionaries'!$B$150)),AS452-$Q452,"")</f>
        <v/>
      </c>
    </row>
    <row r="453" spans="1:46" x14ac:dyDescent="0.3">
      <c r="A453" t="s">
        <v>442</v>
      </c>
      <c r="B453" t="str">
        <f t="shared" si="175"/>
        <v>29</v>
      </c>
      <c r="C453" t="s">
        <v>408</v>
      </c>
      <c r="D453" t="str">
        <f t="shared" si="176"/>
        <v>00</v>
      </c>
      <c r="E453" t="s">
        <v>30</v>
      </c>
      <c r="F453" s="139" t="s">
        <v>137</v>
      </c>
      <c r="G453" t="s">
        <v>138</v>
      </c>
      <c r="H453" s="156">
        <v>4000</v>
      </c>
      <c r="I453" s="156">
        <v>122.5</v>
      </c>
      <c r="J453" s="156">
        <v>4000</v>
      </c>
      <c r="K453" s="156">
        <v>115</v>
      </c>
      <c r="L453" s="156">
        <v>4000</v>
      </c>
      <c r="M453" s="156">
        <v>2721.78</v>
      </c>
      <c r="N453" s="156">
        <v>4000</v>
      </c>
      <c r="O453" s="156">
        <v>2500</v>
      </c>
      <c r="P453" s="156">
        <v>2500</v>
      </c>
      <c r="Q453" s="156">
        <v>2500</v>
      </c>
      <c r="R453" s="156">
        <v>4000</v>
      </c>
      <c r="S453" s="156">
        <f t="shared" si="177"/>
        <v>-1500</v>
      </c>
      <c r="T453" s="156">
        <f t="shared" si="178"/>
        <v>-1500</v>
      </c>
      <c r="U453" s="140">
        <f t="shared" si="179"/>
        <v>-0.375</v>
      </c>
      <c r="V453" s="140">
        <f t="shared" si="180"/>
        <v>-0.96937499999999999</v>
      </c>
      <c r="W453" s="140">
        <f t="shared" si="181"/>
        <v>-0.97124999999999995</v>
      </c>
      <c r="X453" s="140">
        <f t="shared" si="182"/>
        <v>-0.31955499999999992</v>
      </c>
      <c r="Y453" s="140">
        <f t="shared" si="183"/>
        <v>0</v>
      </c>
      <c r="Z453" s="140">
        <f t="shared" si="184"/>
        <v>-6.1224489795918366E-2</v>
      </c>
      <c r="AA453" s="140">
        <f t="shared" si="185"/>
        <v>0</v>
      </c>
      <c r="AB453" s="140">
        <f t="shared" si="186"/>
        <v>22.667652173913044</v>
      </c>
      <c r="AC453" s="140">
        <f t="shared" si="187"/>
        <v>0</v>
      </c>
      <c r="AD453" s="140">
        <f t="shared" si="188"/>
        <v>0</v>
      </c>
      <c r="AE453" s="140">
        <f t="shared" si="189"/>
        <v>-0.375</v>
      </c>
      <c r="AF453" s="140">
        <f t="shared" si="190"/>
        <v>-0.375</v>
      </c>
      <c r="AG453" s="140">
        <f t="shared" si="191"/>
        <v>-0.375</v>
      </c>
      <c r="AH453" s="140">
        <f t="shared" si="192"/>
        <v>0</v>
      </c>
      <c r="AI453" s="140">
        <f t="shared" si="193"/>
        <v>-0.375</v>
      </c>
      <c r="AJ453" s="140">
        <f t="shared" si="194"/>
        <v>-0.375</v>
      </c>
      <c r="AK453" s="140">
        <f t="shared" si="195"/>
        <v>-0.375</v>
      </c>
      <c r="AL453" s="140">
        <f t="shared" si="196"/>
        <v>0</v>
      </c>
      <c r="AM453" t="str">
        <f t="shared" si="197"/>
        <v>4630-000: Maint &amp; repairs Supplies</v>
      </c>
      <c r="AN453" s="140">
        <f t="shared" si="198"/>
        <v>0</v>
      </c>
      <c r="AO453" s="140">
        <f t="shared" si="199"/>
        <v>-0.375</v>
      </c>
      <c r="AP453" s="1" t="str">
        <f>IF(AND(AO453&gt;0, _xlfn.XLOOKUP($AM453, Discretionaries!$A$2:'Discretionaries'!$A$150, Discretionaries!$B$2:'Discretionaries'!$B$150)), (1+AN453)*$N453, "")</f>
        <v/>
      </c>
      <c r="AQ453" s="1" t="str">
        <f>IF(AND(AO453&gt;0, _xlfn.XLOOKUP($AM453, Discretionaries!$A$2:'Discretionaries'!$A$150, Discretionaries!$B$2:'Discretionaries'!$B$150)),AP453-$Q453,"")</f>
        <v/>
      </c>
      <c r="AR453" s="140">
        <f>IF(AG453="", 0-CPI!$B$15, AG453-CPI!$B$15)</f>
        <v>-0.41399999999999998</v>
      </c>
      <c r="AS453" s="1" t="str">
        <f>IF(AND(AR453&gt;0, _xlfn.XLOOKUP($AM453, Discretionaries!$A$2:'Discretionaries'!$A$150, Discretionaries!$B$2:'Discretionaries'!$B$150)), (1+CPI!$B$15)*$N453, "")</f>
        <v/>
      </c>
      <c r="AT453" s="1" t="str">
        <f>IF(AND(AR453&gt;0, _xlfn.XLOOKUP($AM453, Discretionaries!$A$2:'Discretionaries'!$A$150, Discretionaries!$B$2:'Discretionaries'!$B$150)),AS453-$Q453,"")</f>
        <v/>
      </c>
    </row>
    <row r="454" spans="1:46" x14ac:dyDescent="0.3">
      <c r="A454" t="s">
        <v>442</v>
      </c>
      <c r="B454" t="str">
        <f t="shared" si="175"/>
        <v>29</v>
      </c>
      <c r="C454" t="s">
        <v>408</v>
      </c>
      <c r="D454" t="str">
        <f t="shared" si="176"/>
        <v>00</v>
      </c>
      <c r="E454" t="s">
        <v>30</v>
      </c>
      <c r="F454" s="139" t="s">
        <v>53</v>
      </c>
      <c r="G454" t="s">
        <v>50</v>
      </c>
      <c r="H454" s="156">
        <v>100</v>
      </c>
      <c r="I454" s="156">
        <v>0</v>
      </c>
      <c r="J454" s="156">
        <v>100</v>
      </c>
      <c r="K454" s="156">
        <v>0</v>
      </c>
      <c r="L454" s="156">
        <v>100</v>
      </c>
      <c r="M454" s="156">
        <v>0</v>
      </c>
      <c r="N454" s="156">
        <v>100</v>
      </c>
      <c r="O454" s="156">
        <v>0</v>
      </c>
      <c r="P454" s="156">
        <v>0</v>
      </c>
      <c r="Q454" s="156">
        <v>0</v>
      </c>
      <c r="R454" s="156">
        <v>100</v>
      </c>
      <c r="S454" s="156">
        <f t="shared" si="177"/>
        <v>-100</v>
      </c>
      <c r="T454" s="156">
        <f t="shared" si="178"/>
        <v>-100</v>
      </c>
      <c r="U454" s="140">
        <f t="shared" si="179"/>
        <v>-1</v>
      </c>
      <c r="V454" s="140">
        <f t="shared" si="180"/>
        <v>-1</v>
      </c>
      <c r="W454" s="140">
        <f t="shared" si="181"/>
        <v>-1</v>
      </c>
      <c r="X454" s="140">
        <f t="shared" si="182"/>
        <v>-1</v>
      </c>
      <c r="Y454" s="140">
        <f t="shared" si="183"/>
        <v>0</v>
      </c>
      <c r="Z454" s="140" t="str">
        <f t="shared" si="184"/>
        <v/>
      </c>
      <c r="AA454" s="140">
        <f t="shared" si="185"/>
        <v>0</v>
      </c>
      <c r="AB454" s="140" t="str">
        <f t="shared" si="186"/>
        <v/>
      </c>
      <c r="AC454" s="140">
        <f t="shared" si="187"/>
        <v>0</v>
      </c>
      <c r="AD454" s="140">
        <f t="shared" si="188"/>
        <v>0</v>
      </c>
      <c r="AE454" s="140">
        <f t="shared" si="189"/>
        <v>-1</v>
      </c>
      <c r="AF454" s="140">
        <f t="shared" si="190"/>
        <v>-1</v>
      </c>
      <c r="AG454" s="140">
        <f t="shared" si="191"/>
        <v>-1</v>
      </c>
      <c r="AH454" s="140">
        <f t="shared" si="192"/>
        <v>0</v>
      </c>
      <c r="AI454" s="140">
        <f t="shared" si="193"/>
        <v>-1</v>
      </c>
      <c r="AJ454" s="140">
        <f t="shared" si="194"/>
        <v>-1</v>
      </c>
      <c r="AK454" s="140">
        <f t="shared" si="195"/>
        <v>-1</v>
      </c>
      <c r="AL454" s="140">
        <f t="shared" si="196"/>
        <v>0</v>
      </c>
      <c r="AM454" t="str">
        <f t="shared" si="197"/>
        <v>4670-000: Books &amp; periodicals Supplies</v>
      </c>
      <c r="AN454" s="140">
        <f t="shared" si="198"/>
        <v>0</v>
      </c>
      <c r="AO454" s="140">
        <f t="shared" si="199"/>
        <v>-1</v>
      </c>
      <c r="AP454" s="1" t="str">
        <f>IF(AND(AO454&gt;0, _xlfn.XLOOKUP($AM454, Discretionaries!$A$2:'Discretionaries'!$A$150, Discretionaries!$B$2:'Discretionaries'!$B$150)), (1+AN454)*$N454, "")</f>
        <v/>
      </c>
      <c r="AQ454" s="1" t="str">
        <f>IF(AND(AO454&gt;0, _xlfn.XLOOKUP($AM454, Discretionaries!$A$2:'Discretionaries'!$A$150, Discretionaries!$B$2:'Discretionaries'!$B$150)),AP454-$Q454,"")</f>
        <v/>
      </c>
      <c r="AR454" s="140">
        <f>IF(AG454="", 0-CPI!$B$15, AG454-CPI!$B$15)</f>
        <v>-1.0389999999999999</v>
      </c>
      <c r="AS454" s="1" t="str">
        <f>IF(AND(AR454&gt;0, _xlfn.XLOOKUP($AM454, Discretionaries!$A$2:'Discretionaries'!$A$150, Discretionaries!$B$2:'Discretionaries'!$B$150)), (1+CPI!$B$15)*$N454, "")</f>
        <v/>
      </c>
      <c r="AT454" s="1" t="str">
        <f>IF(AND(AR454&gt;0, _xlfn.XLOOKUP($AM454, Discretionaries!$A$2:'Discretionaries'!$A$150, Discretionaries!$B$2:'Discretionaries'!$B$150)),AS454-$Q454,"")</f>
        <v/>
      </c>
    </row>
    <row r="455" spans="1:46" x14ac:dyDescent="0.3">
      <c r="A455" t="s">
        <v>442</v>
      </c>
      <c r="B455" t="str">
        <f t="shared" si="175"/>
        <v>29</v>
      </c>
      <c r="C455" t="s">
        <v>408</v>
      </c>
      <c r="D455" t="str">
        <f t="shared" si="176"/>
        <v>00</v>
      </c>
      <c r="E455" t="s">
        <v>54</v>
      </c>
      <c r="F455" s="139" t="s">
        <v>114</v>
      </c>
      <c r="G455" t="s">
        <v>115</v>
      </c>
      <c r="H455" s="156">
        <v>53980</v>
      </c>
      <c r="I455" s="156">
        <v>28583.91</v>
      </c>
      <c r="J455" s="156">
        <v>15000</v>
      </c>
      <c r="K455" s="156">
        <v>18557.02</v>
      </c>
      <c r="L455" s="156">
        <v>17000</v>
      </c>
      <c r="M455" s="156">
        <v>20772.37</v>
      </c>
      <c r="N455" s="156">
        <v>15500</v>
      </c>
      <c r="O455" s="156">
        <v>15500</v>
      </c>
      <c r="P455" s="156">
        <v>15500</v>
      </c>
      <c r="Q455" s="156">
        <v>15500</v>
      </c>
      <c r="R455" s="156">
        <v>15500</v>
      </c>
      <c r="S455" s="156">
        <f t="shared" si="177"/>
        <v>0</v>
      </c>
      <c r="T455" s="156">
        <f t="shared" si="178"/>
        <v>0</v>
      </c>
      <c r="U455" s="140">
        <f t="shared" si="179"/>
        <v>0</v>
      </c>
      <c r="V455" s="140">
        <f t="shared" si="180"/>
        <v>-0.47047221193034455</v>
      </c>
      <c r="W455" s="140">
        <f t="shared" si="181"/>
        <v>0.23713466666666669</v>
      </c>
      <c r="X455" s="140">
        <f t="shared" si="182"/>
        <v>0.22190411764705875</v>
      </c>
      <c r="Y455" s="140">
        <f t="shared" si="183"/>
        <v>-0.72211930344572062</v>
      </c>
      <c r="Z455" s="140">
        <f t="shared" si="184"/>
        <v>-0.35078790830225814</v>
      </c>
      <c r="AA455" s="140">
        <f t="shared" si="185"/>
        <v>0.13333333333333333</v>
      </c>
      <c r="AB455" s="140">
        <f t="shared" si="186"/>
        <v>0.11938069797844689</v>
      </c>
      <c r="AC455" s="140">
        <f t="shared" si="187"/>
        <v>-8.8235294117647065E-2</v>
      </c>
      <c r="AD455" s="140">
        <f t="shared" si="188"/>
        <v>-0.71285661356057795</v>
      </c>
      <c r="AE455" s="140">
        <f t="shared" si="189"/>
        <v>0</v>
      </c>
      <c r="AF455" s="140">
        <f t="shared" si="190"/>
        <v>0</v>
      </c>
      <c r="AG455" s="140">
        <f t="shared" si="191"/>
        <v>0</v>
      </c>
      <c r="AH455" s="140">
        <f t="shared" si="192"/>
        <v>0</v>
      </c>
      <c r="AI455" s="140">
        <f t="shared" si="193"/>
        <v>-0.71285661356057795</v>
      </c>
      <c r="AJ455" s="140">
        <f t="shared" si="194"/>
        <v>-0.71285661356057795</v>
      </c>
      <c r="AK455" s="140">
        <f t="shared" si="195"/>
        <v>-0.71285661356057795</v>
      </c>
      <c r="AL455" s="140">
        <f t="shared" si="196"/>
        <v>-0.71285661356057795</v>
      </c>
      <c r="AM455" t="str">
        <f t="shared" si="197"/>
        <v>4740-000: Mach &amp; equip Property</v>
      </c>
      <c r="AN455" s="140">
        <f t="shared" si="198"/>
        <v>-0.22567375474334481</v>
      </c>
      <c r="AO455" s="140">
        <f t="shared" si="199"/>
        <v>0.22567375474334481</v>
      </c>
      <c r="AP455" s="1">
        <f>IF(AND(AO455&gt;0, _xlfn.XLOOKUP($AM455, Discretionaries!$A$2:'Discretionaries'!$A$150, Discretionaries!$B$2:'Discretionaries'!$B$150)), (1+AN455)*$N455, "")</f>
        <v>12002.056801478155</v>
      </c>
      <c r="AQ455" s="1">
        <f>IF(AND(AO455&gt;0, _xlfn.XLOOKUP($AM455, Discretionaries!$A$2:'Discretionaries'!$A$150, Discretionaries!$B$2:'Discretionaries'!$B$150)),AP455-$Q455,"")</f>
        <v>-3497.9431985218453</v>
      </c>
      <c r="AR455" s="140">
        <f>IF(AG455="", 0-CPI!$B$15, AG455-CPI!$B$15)</f>
        <v>-3.8999999999999993E-2</v>
      </c>
      <c r="AS455" s="1" t="str">
        <f>IF(AND(AR455&gt;0, _xlfn.XLOOKUP($AM455, Discretionaries!$A$2:'Discretionaries'!$A$150, Discretionaries!$B$2:'Discretionaries'!$B$150)), (1+CPI!$B$15)*$N455, "")</f>
        <v/>
      </c>
      <c r="AT455" s="1" t="str">
        <f>IF(AND(AR455&gt;0, _xlfn.XLOOKUP($AM455, Discretionaries!$A$2:'Discretionaries'!$A$150, Discretionaries!$B$2:'Discretionaries'!$B$150)),AS455-$Q455,"")</f>
        <v/>
      </c>
    </row>
    <row r="456" spans="1:46" x14ac:dyDescent="0.3">
      <c r="A456" t="s">
        <v>442</v>
      </c>
      <c r="B456" t="str">
        <f t="shared" si="175"/>
        <v>29</v>
      </c>
      <c r="C456" t="s">
        <v>408</v>
      </c>
      <c r="D456" t="str">
        <f t="shared" si="176"/>
        <v>00</v>
      </c>
      <c r="E456" t="s">
        <v>172</v>
      </c>
      <c r="F456" s="139" t="s">
        <v>362</v>
      </c>
      <c r="G456" t="s">
        <v>363</v>
      </c>
      <c r="H456" s="156">
        <v>9500</v>
      </c>
      <c r="I456" s="156">
        <v>1099</v>
      </c>
      <c r="J456" s="156">
        <v>9500</v>
      </c>
      <c r="K456" s="156">
        <v>5</v>
      </c>
      <c r="L456" s="156">
        <v>7000</v>
      </c>
      <c r="M456" s="156">
        <v>1799</v>
      </c>
      <c r="N456" s="156">
        <v>5500</v>
      </c>
      <c r="O456" s="156">
        <v>1500</v>
      </c>
      <c r="P456" s="156">
        <v>1500</v>
      </c>
      <c r="Q456" s="156">
        <v>1500</v>
      </c>
      <c r="R456" s="156">
        <v>5500</v>
      </c>
      <c r="S456" s="156">
        <f t="shared" si="177"/>
        <v>-4000</v>
      </c>
      <c r="T456" s="156">
        <f t="shared" si="178"/>
        <v>-4000</v>
      </c>
      <c r="U456" s="140">
        <f t="shared" si="179"/>
        <v>-0.72727272727272729</v>
      </c>
      <c r="V456" s="140">
        <f t="shared" si="180"/>
        <v>-0.88431578947368417</v>
      </c>
      <c r="W456" s="140">
        <f t="shared" si="181"/>
        <v>-0.99947368421052629</v>
      </c>
      <c r="X456" s="140">
        <f t="shared" si="182"/>
        <v>-0.74299999999999999</v>
      </c>
      <c r="Y456" s="140">
        <f t="shared" si="183"/>
        <v>0</v>
      </c>
      <c r="Z456" s="140">
        <f t="shared" si="184"/>
        <v>-0.99545040946314833</v>
      </c>
      <c r="AA456" s="140">
        <f t="shared" si="185"/>
        <v>-0.26315789473684209</v>
      </c>
      <c r="AB456" s="140">
        <f t="shared" si="186"/>
        <v>358.8</v>
      </c>
      <c r="AC456" s="140">
        <f t="shared" si="187"/>
        <v>-0.21428571428571427</v>
      </c>
      <c r="AD456" s="140">
        <f t="shared" si="188"/>
        <v>-0.42105263157894735</v>
      </c>
      <c r="AE456" s="140">
        <f t="shared" si="189"/>
        <v>-0.72727272727272729</v>
      </c>
      <c r="AF456" s="140">
        <f t="shared" si="190"/>
        <v>-0.72727272727272729</v>
      </c>
      <c r="AG456" s="140">
        <f t="shared" si="191"/>
        <v>-0.72727272727272729</v>
      </c>
      <c r="AH456" s="140">
        <f t="shared" si="192"/>
        <v>0</v>
      </c>
      <c r="AI456" s="140">
        <f t="shared" si="193"/>
        <v>-0.84210526315789469</v>
      </c>
      <c r="AJ456" s="140">
        <f t="shared" si="194"/>
        <v>-0.84210526315789469</v>
      </c>
      <c r="AK456" s="140">
        <f t="shared" si="195"/>
        <v>-0.84210526315789469</v>
      </c>
      <c r="AL456" s="140">
        <f t="shared" si="196"/>
        <v>-0.42105263157894735</v>
      </c>
      <c r="AM456" t="str">
        <f t="shared" si="197"/>
        <v>4824-000: Programs Other</v>
      </c>
      <c r="AN456" s="140">
        <f t="shared" si="198"/>
        <v>-0.15914786967418545</v>
      </c>
      <c r="AO456" s="140">
        <f t="shared" si="199"/>
        <v>-0.56812485759854181</v>
      </c>
      <c r="AP456" s="1" t="str">
        <f>IF(AND(AO456&gt;0, _xlfn.XLOOKUP($AM456, Discretionaries!$A$2:'Discretionaries'!$A$150, Discretionaries!$B$2:'Discretionaries'!$B$150)), (1+AN456)*$N456, "")</f>
        <v/>
      </c>
      <c r="AQ456" s="1" t="str">
        <f>IF(AND(AO456&gt;0, _xlfn.XLOOKUP($AM456, Discretionaries!$A$2:'Discretionaries'!$A$150, Discretionaries!$B$2:'Discretionaries'!$B$150)),AP456-$Q456,"")</f>
        <v/>
      </c>
      <c r="AR456" s="140">
        <f>IF(AG456="", 0-CPI!$B$15, AG456-CPI!$B$15)</f>
        <v>-0.76627272727272733</v>
      </c>
      <c r="AS456" s="1" t="str">
        <f>IF(AND(AR456&gt;0, _xlfn.XLOOKUP($AM456, Discretionaries!$A$2:'Discretionaries'!$A$150, Discretionaries!$B$2:'Discretionaries'!$B$150)), (1+CPI!$B$15)*$N456, "")</f>
        <v/>
      </c>
      <c r="AT456" s="1" t="str">
        <f>IF(AND(AR456&gt;0, _xlfn.XLOOKUP($AM456, Discretionaries!$A$2:'Discretionaries'!$A$150, Discretionaries!$B$2:'Discretionaries'!$B$150)),AS456-$Q456,"")</f>
        <v/>
      </c>
    </row>
    <row r="457" spans="1:46" x14ac:dyDescent="0.3">
      <c r="A457" t="s">
        <v>443</v>
      </c>
      <c r="B457" t="str">
        <f t="shared" si="175"/>
        <v>30</v>
      </c>
      <c r="C457" t="s">
        <v>408</v>
      </c>
      <c r="D457" t="str">
        <f t="shared" si="176"/>
        <v>00</v>
      </c>
      <c r="E457" t="s">
        <v>11</v>
      </c>
      <c r="F457" s="139" t="s">
        <v>35</v>
      </c>
      <c r="G457" t="s">
        <v>36</v>
      </c>
      <c r="H457" s="156">
        <v>27992</v>
      </c>
      <c r="I457" s="156">
        <v>28115.42</v>
      </c>
      <c r="J457" s="156">
        <v>29416</v>
      </c>
      <c r="K457" s="156">
        <v>63933.74</v>
      </c>
      <c r="L457" s="156">
        <v>74345</v>
      </c>
      <c r="M457" s="156">
        <v>82833.13</v>
      </c>
      <c r="N457" s="156">
        <v>79640</v>
      </c>
      <c r="O457" s="156">
        <v>181095</v>
      </c>
      <c r="P457" s="156">
        <v>181095</v>
      </c>
      <c r="Q457" s="156">
        <v>181095</v>
      </c>
      <c r="R457" s="156">
        <v>88656</v>
      </c>
      <c r="S457" s="156">
        <f t="shared" si="177"/>
        <v>101455</v>
      </c>
      <c r="T457" s="156">
        <f t="shared" si="178"/>
        <v>92439</v>
      </c>
      <c r="U457" s="140">
        <f t="shared" si="179"/>
        <v>1.2739201406328478</v>
      </c>
      <c r="V457" s="140">
        <f t="shared" si="180"/>
        <v>4.4091168905400916E-3</v>
      </c>
      <c r="W457" s="140">
        <f t="shared" si="181"/>
        <v>1.1734341854772912</v>
      </c>
      <c r="X457" s="140">
        <f t="shared" si="182"/>
        <v>0.11417217028717472</v>
      </c>
      <c r="Y457" s="140">
        <f t="shared" si="183"/>
        <v>5.0871677622177765E-2</v>
      </c>
      <c r="Z457" s="140">
        <f t="shared" si="184"/>
        <v>1.2739742105933329</v>
      </c>
      <c r="AA457" s="140">
        <f t="shared" si="185"/>
        <v>1.5273660592874625</v>
      </c>
      <c r="AB457" s="140">
        <f t="shared" si="186"/>
        <v>0.29560901645985371</v>
      </c>
      <c r="AC457" s="140">
        <f t="shared" si="187"/>
        <v>7.1222005514829517E-2</v>
      </c>
      <c r="AD457" s="140">
        <f t="shared" si="188"/>
        <v>1.8450985995998856</v>
      </c>
      <c r="AE457" s="140">
        <f t="shared" si="189"/>
        <v>1.2739201406328478</v>
      </c>
      <c r="AF457" s="140">
        <f t="shared" si="190"/>
        <v>1.2739201406328478</v>
      </c>
      <c r="AG457" s="140">
        <f t="shared" si="191"/>
        <v>1.2739201406328478</v>
      </c>
      <c r="AH457" s="140">
        <f t="shared" si="192"/>
        <v>0.11320944249121044</v>
      </c>
      <c r="AI457" s="140">
        <f t="shared" si="193"/>
        <v>5.4695270077164908</v>
      </c>
      <c r="AJ457" s="140">
        <f t="shared" si="194"/>
        <v>5.4695270077164908</v>
      </c>
      <c r="AK457" s="140">
        <f t="shared" si="195"/>
        <v>5.4695270077164908</v>
      </c>
      <c r="AL457" s="140">
        <f t="shared" si="196"/>
        <v>2.1671906258931122</v>
      </c>
      <c r="AM457" t="str">
        <f t="shared" si="197"/>
        <v>4110-000: Regular Salaries</v>
      </c>
      <c r="AN457" s="140">
        <f t="shared" si="198"/>
        <v>0.54981991414149001</v>
      </c>
      <c r="AO457" s="140">
        <f t="shared" si="199"/>
        <v>0.72410022649135775</v>
      </c>
      <c r="AP457" s="1" t="str">
        <f>IF(AND(AO457&gt;0, _xlfn.XLOOKUP($AM457, Discretionaries!$A$2:'Discretionaries'!$A$150, Discretionaries!$B$2:'Discretionaries'!$B$150)), (1+AN457)*$N457, "")</f>
        <v/>
      </c>
      <c r="AQ457" s="1" t="str">
        <f>IF(AND(AO457&gt;0, _xlfn.XLOOKUP($AM457, Discretionaries!$A$2:'Discretionaries'!$A$150, Discretionaries!$B$2:'Discretionaries'!$B$150)),AP457-$Q457,"")</f>
        <v/>
      </c>
      <c r="AR457" s="140">
        <f>IF(AG457="", 0-CPI!$B$15, AG457-CPI!$B$15)</f>
        <v>1.2349201406328478</v>
      </c>
      <c r="AS457" s="1" t="str">
        <f>IF(AND(AR457&gt;0, _xlfn.XLOOKUP($AM457, Discretionaries!$A$2:'Discretionaries'!$A$150, Discretionaries!$B$2:'Discretionaries'!$B$150)), (1+CPI!$B$15)*$N457, "")</f>
        <v/>
      </c>
      <c r="AT457" s="1" t="str">
        <f>IF(AND(AR457&gt;0, _xlfn.XLOOKUP($AM457, Discretionaries!$A$2:'Discretionaries'!$A$150, Discretionaries!$B$2:'Discretionaries'!$B$150)),AS457-$Q457,"")</f>
        <v/>
      </c>
    </row>
    <row r="458" spans="1:46" x14ac:dyDescent="0.3">
      <c r="A458" t="s">
        <v>443</v>
      </c>
      <c r="B458" t="str">
        <f t="shared" si="175"/>
        <v>30</v>
      </c>
      <c r="C458" t="s">
        <v>408</v>
      </c>
      <c r="D458" t="str">
        <f t="shared" si="176"/>
        <v>00</v>
      </c>
      <c r="E458" t="s">
        <v>11</v>
      </c>
      <c r="F458" s="139" t="s">
        <v>37</v>
      </c>
      <c r="G458" t="s">
        <v>38</v>
      </c>
      <c r="H458" s="156">
        <v>64840</v>
      </c>
      <c r="I458" s="156">
        <v>54425.120000000003</v>
      </c>
      <c r="J458" s="156">
        <v>64722</v>
      </c>
      <c r="K458" s="156">
        <v>59778.080000000002</v>
      </c>
      <c r="L458" s="156">
        <v>69971</v>
      </c>
      <c r="M458" s="156">
        <v>67174.22</v>
      </c>
      <c r="N458" s="156">
        <v>83713</v>
      </c>
      <c r="O458" s="156">
        <v>49250</v>
      </c>
      <c r="P458" s="156">
        <v>14866</v>
      </c>
      <c r="Q458" s="156">
        <v>14866</v>
      </c>
      <c r="R458" s="156">
        <v>50531</v>
      </c>
      <c r="S458" s="156">
        <f t="shared" si="177"/>
        <v>-68847</v>
      </c>
      <c r="T458" s="156">
        <f t="shared" si="178"/>
        <v>-35665</v>
      </c>
      <c r="U458" s="140">
        <f t="shared" si="179"/>
        <v>-0.82241706783892587</v>
      </c>
      <c r="V458" s="140">
        <f t="shared" si="180"/>
        <v>-0.16062430598396049</v>
      </c>
      <c r="W458" s="140">
        <f t="shared" si="181"/>
        <v>-7.6387009054108307E-2</v>
      </c>
      <c r="X458" s="140">
        <f t="shared" si="182"/>
        <v>-3.9970559231681684E-2</v>
      </c>
      <c r="Y458" s="140">
        <f t="shared" si="183"/>
        <v>-1.8198642813078347E-3</v>
      </c>
      <c r="Z458" s="140">
        <f t="shared" si="184"/>
        <v>9.835458332475884E-2</v>
      </c>
      <c r="AA458" s="140">
        <f t="shared" si="185"/>
        <v>8.1100707641914654E-2</v>
      </c>
      <c r="AB458" s="140">
        <f t="shared" si="186"/>
        <v>0.12372662353826017</v>
      </c>
      <c r="AC458" s="140">
        <f t="shared" si="187"/>
        <v>0.19639564962627373</v>
      </c>
      <c r="AD458" s="140">
        <f t="shared" si="188"/>
        <v>0.29107032695866747</v>
      </c>
      <c r="AE458" s="140">
        <f t="shared" si="189"/>
        <v>-0.41168038416972275</v>
      </c>
      <c r="AF458" s="140">
        <f t="shared" si="190"/>
        <v>-0.82241706783892587</v>
      </c>
      <c r="AG458" s="140">
        <f t="shared" si="191"/>
        <v>-0.82241706783892587</v>
      </c>
      <c r="AH458" s="140">
        <f t="shared" si="192"/>
        <v>-0.39637810137015755</v>
      </c>
      <c r="AI458" s="140">
        <f t="shared" si="193"/>
        <v>-0.24043800123380629</v>
      </c>
      <c r="AJ458" s="140">
        <f t="shared" si="194"/>
        <v>-0.77072794571252312</v>
      </c>
      <c r="AK458" s="140">
        <f t="shared" si="195"/>
        <v>-0.77072794571252312</v>
      </c>
      <c r="AL458" s="140">
        <f t="shared" si="196"/>
        <v>-0.22068167797655769</v>
      </c>
      <c r="AM458" t="str">
        <f t="shared" si="197"/>
        <v>4120-000: Part-time Salaries</v>
      </c>
      <c r="AN458" s="140">
        <f t="shared" si="198"/>
        <v>9.1892164328960191E-2</v>
      </c>
      <c r="AO458" s="140">
        <f t="shared" si="199"/>
        <v>-0.91430923216788607</v>
      </c>
      <c r="AP458" s="1" t="str">
        <f>IF(AND(AO458&gt;0, _xlfn.XLOOKUP($AM458, Discretionaries!$A$2:'Discretionaries'!$A$150, Discretionaries!$B$2:'Discretionaries'!$B$150)), (1+AN458)*$N458, "")</f>
        <v/>
      </c>
      <c r="AQ458" s="1" t="str">
        <f>IF(AND(AO458&gt;0, _xlfn.XLOOKUP($AM458, Discretionaries!$A$2:'Discretionaries'!$A$150, Discretionaries!$B$2:'Discretionaries'!$B$150)),AP458-$Q458,"")</f>
        <v/>
      </c>
      <c r="AR458" s="140">
        <f>IF(AG458="", 0-CPI!$B$15, AG458-CPI!$B$15)</f>
        <v>-0.86141706783892591</v>
      </c>
      <c r="AS458" s="1" t="str">
        <f>IF(AND(AR458&gt;0, _xlfn.XLOOKUP($AM458, Discretionaries!$A$2:'Discretionaries'!$A$150, Discretionaries!$B$2:'Discretionaries'!$B$150)), (1+CPI!$B$15)*$N458, "")</f>
        <v/>
      </c>
      <c r="AT458" s="1" t="str">
        <f>IF(AND(AR458&gt;0, _xlfn.XLOOKUP($AM458, Discretionaries!$A$2:'Discretionaries'!$A$150, Discretionaries!$B$2:'Discretionaries'!$B$150)),AS458-$Q458,"")</f>
        <v/>
      </c>
    </row>
    <row r="459" spans="1:46" x14ac:dyDescent="0.3">
      <c r="A459" t="s">
        <v>443</v>
      </c>
      <c r="B459" t="str">
        <f t="shared" si="175"/>
        <v>30</v>
      </c>
      <c r="C459" t="s">
        <v>408</v>
      </c>
      <c r="D459" t="str">
        <f t="shared" si="176"/>
        <v>00</v>
      </c>
      <c r="E459" t="s">
        <v>14</v>
      </c>
      <c r="F459" s="139" t="s">
        <v>41</v>
      </c>
      <c r="G459" t="s">
        <v>42</v>
      </c>
      <c r="H459" s="156">
        <v>0</v>
      </c>
      <c r="I459" s="156">
        <v>0</v>
      </c>
      <c r="J459" s="156">
        <v>0</v>
      </c>
      <c r="K459" s="156">
        <v>0</v>
      </c>
      <c r="L459" s="156">
        <v>0</v>
      </c>
      <c r="M459" s="156">
        <v>0</v>
      </c>
      <c r="N459" s="156">
        <v>0</v>
      </c>
      <c r="O459" s="156">
        <v>1270</v>
      </c>
      <c r="P459" s="156">
        <v>1270</v>
      </c>
      <c r="Q459" s="156">
        <v>1270</v>
      </c>
      <c r="R459" s="156">
        <v>0</v>
      </c>
      <c r="S459" s="156">
        <f t="shared" si="177"/>
        <v>1270</v>
      </c>
      <c r="T459" s="156">
        <f t="shared" si="178"/>
        <v>1270</v>
      </c>
      <c r="U459" s="140" t="str">
        <f t="shared" si="179"/>
        <v/>
      </c>
      <c r="V459" s="140" t="str">
        <f t="shared" si="180"/>
        <v/>
      </c>
      <c r="W459" s="140" t="str">
        <f t="shared" si="181"/>
        <v/>
      </c>
      <c r="X459" s="140" t="str">
        <f t="shared" si="182"/>
        <v/>
      </c>
      <c r="Y459" s="140" t="str">
        <f t="shared" si="183"/>
        <v/>
      </c>
      <c r="Z459" s="140" t="str">
        <f t="shared" si="184"/>
        <v/>
      </c>
      <c r="AA459" s="140" t="str">
        <f t="shared" si="185"/>
        <v/>
      </c>
      <c r="AB459" s="140" t="str">
        <f t="shared" si="186"/>
        <v/>
      </c>
      <c r="AC459" s="140" t="str">
        <f t="shared" si="187"/>
        <v/>
      </c>
      <c r="AD459" s="140" t="str">
        <f t="shared" si="188"/>
        <v/>
      </c>
      <c r="AE459" s="140" t="str">
        <f t="shared" si="189"/>
        <v/>
      </c>
      <c r="AF459" s="140" t="str">
        <f t="shared" si="190"/>
        <v/>
      </c>
      <c r="AG459" s="140" t="str">
        <f t="shared" si="191"/>
        <v/>
      </c>
      <c r="AH459" s="140" t="str">
        <f t="shared" si="192"/>
        <v/>
      </c>
      <c r="AI459" s="140" t="str">
        <f t="shared" si="193"/>
        <v/>
      </c>
      <c r="AJ459" s="140" t="str">
        <f t="shared" si="194"/>
        <v/>
      </c>
      <c r="AK459" s="140" t="str">
        <f t="shared" si="195"/>
        <v/>
      </c>
      <c r="AL459" s="140" t="str">
        <f t="shared" si="196"/>
        <v/>
      </c>
      <c r="AM459" t="str">
        <f t="shared" si="197"/>
        <v>4215-000: STD, LTD, &amp; Life Benefits</v>
      </c>
      <c r="AN459" s="140">
        <f t="shared" si="198"/>
        <v>0</v>
      </c>
      <c r="AO459" s="140">
        <f t="shared" si="199"/>
        <v>0</v>
      </c>
      <c r="AP459" s="1" t="str">
        <f>IF(AND(AO459&gt;0, _xlfn.XLOOKUP($AM459, Discretionaries!$A$2:'Discretionaries'!$A$150, Discretionaries!$B$2:'Discretionaries'!$B$150)), (1+AN459)*$N459, "")</f>
        <v/>
      </c>
      <c r="AQ459" s="1" t="str">
        <f>IF(AND(AO459&gt;0, _xlfn.XLOOKUP($AM459, Discretionaries!$A$2:'Discretionaries'!$A$150, Discretionaries!$B$2:'Discretionaries'!$B$150)),AP459-$Q459,"")</f>
        <v/>
      </c>
      <c r="AR459" s="140">
        <f>IF(AG459="", 0-CPI!$B$15, AG459-CPI!$B$15)</f>
        <v>-3.8999999999999993E-2</v>
      </c>
      <c r="AS459" s="1" t="str">
        <f>IF(AND(AR459&gt;0, _xlfn.XLOOKUP($AM459, Discretionaries!$A$2:'Discretionaries'!$A$150, Discretionaries!$B$2:'Discretionaries'!$B$150)), (1+CPI!$B$15)*$N459, "")</f>
        <v/>
      </c>
      <c r="AT459" s="1" t="str">
        <f>IF(AND(AR459&gt;0, _xlfn.XLOOKUP($AM459, Discretionaries!$A$2:'Discretionaries'!$A$150, Discretionaries!$B$2:'Discretionaries'!$B$150)),AS459-$Q459,"")</f>
        <v/>
      </c>
    </row>
    <row r="460" spans="1:46" x14ac:dyDescent="0.3">
      <c r="A460" t="s">
        <v>443</v>
      </c>
      <c r="B460" t="str">
        <f t="shared" si="175"/>
        <v>30</v>
      </c>
      <c r="C460" t="s">
        <v>408</v>
      </c>
      <c r="D460" t="str">
        <f t="shared" si="176"/>
        <v>00</v>
      </c>
      <c r="E460" t="s">
        <v>14</v>
      </c>
      <c r="F460" s="139" t="s">
        <v>15</v>
      </c>
      <c r="G460" t="s">
        <v>16</v>
      </c>
      <c r="H460" s="156">
        <v>5574</v>
      </c>
      <c r="I460" s="156">
        <v>5069.01</v>
      </c>
      <c r="J460" s="156">
        <v>5837</v>
      </c>
      <c r="K460" s="156">
        <v>7595.91</v>
      </c>
      <c r="L460" s="156">
        <v>9134</v>
      </c>
      <c r="M460" s="156">
        <v>9034.4500000000007</v>
      </c>
      <c r="N460" s="156">
        <v>10129</v>
      </c>
      <c r="O460" s="156">
        <v>14282</v>
      </c>
      <c r="P460" s="156">
        <v>12150</v>
      </c>
      <c r="Q460" s="156">
        <v>12150</v>
      </c>
      <c r="R460" s="156">
        <v>8630</v>
      </c>
      <c r="S460" s="156">
        <f t="shared" si="177"/>
        <v>2021</v>
      </c>
      <c r="T460" s="156">
        <f t="shared" si="178"/>
        <v>3520</v>
      </c>
      <c r="U460" s="140">
        <f t="shared" si="179"/>
        <v>0.19952611314048771</v>
      </c>
      <c r="V460" s="140">
        <f t="shared" si="180"/>
        <v>-9.0597416576964435E-2</v>
      </c>
      <c r="W460" s="140">
        <f t="shared" si="181"/>
        <v>0.30133801610416305</v>
      </c>
      <c r="X460" s="140">
        <f t="shared" si="182"/>
        <v>-1.0898839500766288E-2</v>
      </c>
      <c r="Y460" s="140">
        <f t="shared" si="183"/>
        <v>4.7183351273771081E-2</v>
      </c>
      <c r="Z460" s="140">
        <f t="shared" si="184"/>
        <v>0.49849970704338709</v>
      </c>
      <c r="AA460" s="140">
        <f t="shared" si="185"/>
        <v>0.56484495459996575</v>
      </c>
      <c r="AB460" s="140">
        <f t="shared" si="186"/>
        <v>0.18938349717150427</v>
      </c>
      <c r="AC460" s="140">
        <f t="shared" si="187"/>
        <v>0.10893365447777534</v>
      </c>
      <c r="AD460" s="140">
        <f t="shared" si="188"/>
        <v>0.81718693936132036</v>
      </c>
      <c r="AE460" s="140">
        <f t="shared" si="189"/>
        <v>0.41001085990719716</v>
      </c>
      <c r="AF460" s="140">
        <f t="shared" si="190"/>
        <v>0.19952611314048771</v>
      </c>
      <c r="AG460" s="140">
        <f t="shared" si="191"/>
        <v>0.19952611314048771</v>
      </c>
      <c r="AH460" s="140">
        <f t="shared" si="192"/>
        <v>-0.14799091716852603</v>
      </c>
      <c r="AI460" s="140">
        <f t="shared" si="193"/>
        <v>1.5622533189809831</v>
      </c>
      <c r="AJ460" s="140">
        <f t="shared" si="194"/>
        <v>1.1797631862217439</v>
      </c>
      <c r="AK460" s="140">
        <f t="shared" si="195"/>
        <v>1.1797631862217439</v>
      </c>
      <c r="AL460" s="140">
        <f t="shared" si="196"/>
        <v>0.54825977753857191</v>
      </c>
      <c r="AM460" t="str">
        <f t="shared" si="197"/>
        <v>4220-000: FICA Benefits</v>
      </c>
      <c r="AN460" s="140">
        <f t="shared" si="198"/>
        <v>0.24032065345050405</v>
      </c>
      <c r="AO460" s="140">
        <f t="shared" si="199"/>
        <v>-4.0794540310016336E-2</v>
      </c>
      <c r="AP460" s="1" t="str">
        <f>IF(AND(AO460&gt;0, _xlfn.XLOOKUP($AM460, Discretionaries!$A$2:'Discretionaries'!$A$150, Discretionaries!$B$2:'Discretionaries'!$B$150)), (1+AN460)*$N460, "")</f>
        <v/>
      </c>
      <c r="AQ460" s="1" t="str">
        <f>IF(AND(AO460&gt;0, _xlfn.XLOOKUP($AM460, Discretionaries!$A$2:'Discretionaries'!$A$150, Discretionaries!$B$2:'Discretionaries'!$B$150)),AP460-$Q460,"")</f>
        <v/>
      </c>
      <c r="AR460" s="140">
        <f>IF(AG460="", 0-CPI!$B$15, AG460-CPI!$B$15)</f>
        <v>0.1605261131404877</v>
      </c>
      <c r="AS460" s="1" t="str">
        <f>IF(AND(AR460&gt;0, _xlfn.XLOOKUP($AM460, Discretionaries!$A$2:'Discretionaries'!$A$150, Discretionaries!$B$2:'Discretionaries'!$B$150)), (1+CPI!$B$15)*$N460, "")</f>
        <v/>
      </c>
      <c r="AT460" s="1" t="str">
        <f>IF(AND(AR460&gt;0, _xlfn.XLOOKUP($AM460, Discretionaries!$A$2:'Discretionaries'!$A$150, Discretionaries!$B$2:'Discretionaries'!$B$150)),AS460-$Q460,"")</f>
        <v/>
      </c>
    </row>
    <row r="461" spans="1:46" x14ac:dyDescent="0.3">
      <c r="A461" t="s">
        <v>443</v>
      </c>
      <c r="B461" t="str">
        <f t="shared" si="175"/>
        <v>30</v>
      </c>
      <c r="C461" t="s">
        <v>408</v>
      </c>
      <c r="D461" t="str">
        <f t="shared" si="176"/>
        <v>00</v>
      </c>
      <c r="E461" t="s">
        <v>14</v>
      </c>
      <c r="F461" s="139" t="s">
        <v>17</v>
      </c>
      <c r="G461" t="s">
        <v>18</v>
      </c>
      <c r="H461" s="156">
        <v>1304</v>
      </c>
      <c r="I461" s="156">
        <v>1185.44</v>
      </c>
      <c r="J461" s="156">
        <v>1365</v>
      </c>
      <c r="K461" s="156">
        <v>1776.51</v>
      </c>
      <c r="L461" s="156">
        <v>2137</v>
      </c>
      <c r="M461" s="156">
        <v>2112.92</v>
      </c>
      <c r="N461" s="156">
        <v>2371</v>
      </c>
      <c r="O461" s="156">
        <v>3340</v>
      </c>
      <c r="P461" s="156">
        <v>2842</v>
      </c>
      <c r="Q461" s="156">
        <v>2842</v>
      </c>
      <c r="R461" s="156">
        <v>2019</v>
      </c>
      <c r="S461" s="156">
        <f t="shared" si="177"/>
        <v>471</v>
      </c>
      <c r="T461" s="156">
        <f t="shared" si="178"/>
        <v>823</v>
      </c>
      <c r="U461" s="140">
        <f t="shared" si="179"/>
        <v>0.19865035849852383</v>
      </c>
      <c r="V461" s="140">
        <f t="shared" si="180"/>
        <v>-9.092024539877297E-2</v>
      </c>
      <c r="W461" s="140">
        <f t="shared" si="181"/>
        <v>0.30147252747252745</v>
      </c>
      <c r="X461" s="140">
        <f t="shared" si="182"/>
        <v>-1.1268132896583962E-2</v>
      </c>
      <c r="Y461" s="140">
        <f t="shared" si="183"/>
        <v>4.6779141104294479E-2</v>
      </c>
      <c r="Z461" s="140">
        <f t="shared" si="184"/>
        <v>0.49860811175597242</v>
      </c>
      <c r="AA461" s="140">
        <f t="shared" si="185"/>
        <v>0.56556776556776556</v>
      </c>
      <c r="AB461" s="140">
        <f t="shared" si="186"/>
        <v>0.18936566639084501</v>
      </c>
      <c r="AC461" s="140">
        <f t="shared" si="187"/>
        <v>0.10949929808142256</v>
      </c>
      <c r="AD461" s="140">
        <f t="shared" si="188"/>
        <v>0.81825153374233128</v>
      </c>
      <c r="AE461" s="140">
        <f t="shared" si="189"/>
        <v>0.40868831716575282</v>
      </c>
      <c r="AF461" s="140">
        <f t="shared" si="190"/>
        <v>0.19865035849852383</v>
      </c>
      <c r="AG461" s="140">
        <f t="shared" si="191"/>
        <v>0.19865035849852383</v>
      </c>
      <c r="AH461" s="140">
        <f t="shared" si="192"/>
        <v>-0.14846056516237874</v>
      </c>
      <c r="AI461" s="140">
        <f t="shared" si="193"/>
        <v>1.5613496932515338</v>
      </c>
      <c r="AJ461" s="140">
        <f t="shared" si="194"/>
        <v>1.1794478527607362</v>
      </c>
      <c r="AK461" s="140">
        <f t="shared" si="195"/>
        <v>1.1794478527607362</v>
      </c>
      <c r="AL461" s="140">
        <f t="shared" si="196"/>
        <v>0.54831288343558282</v>
      </c>
      <c r="AM461" t="str">
        <f t="shared" si="197"/>
        <v>4225-000: Medicare Benefits</v>
      </c>
      <c r="AN461" s="140">
        <f t="shared" si="198"/>
        <v>0.24061540158449421</v>
      </c>
      <c r="AO461" s="140">
        <f t="shared" si="199"/>
        <v>-4.1965043085970377E-2</v>
      </c>
      <c r="AP461" s="1" t="str">
        <f>IF(AND(AO461&gt;0, _xlfn.XLOOKUP($AM461, Discretionaries!$A$2:'Discretionaries'!$A$150, Discretionaries!$B$2:'Discretionaries'!$B$150)), (1+AN461)*$N461, "")</f>
        <v/>
      </c>
      <c r="AQ461" s="1" t="str">
        <f>IF(AND(AO461&gt;0, _xlfn.XLOOKUP($AM461, Discretionaries!$A$2:'Discretionaries'!$A$150, Discretionaries!$B$2:'Discretionaries'!$B$150)),AP461-$Q461,"")</f>
        <v/>
      </c>
      <c r="AR461" s="140">
        <f>IF(AG461="", 0-CPI!$B$15, AG461-CPI!$B$15)</f>
        <v>0.15965035849852383</v>
      </c>
      <c r="AS461" s="1" t="str">
        <f>IF(AND(AR461&gt;0, _xlfn.XLOOKUP($AM461, Discretionaries!$A$2:'Discretionaries'!$A$150, Discretionaries!$B$2:'Discretionaries'!$B$150)), (1+CPI!$B$15)*$N461, "")</f>
        <v/>
      </c>
      <c r="AT461" s="1" t="str">
        <f>IF(AND(AR461&gt;0, _xlfn.XLOOKUP($AM461, Discretionaries!$A$2:'Discretionaries'!$A$150, Discretionaries!$B$2:'Discretionaries'!$B$150)),AS461-$Q461,"")</f>
        <v/>
      </c>
    </row>
    <row r="462" spans="1:46" x14ac:dyDescent="0.3">
      <c r="A462" t="s">
        <v>443</v>
      </c>
      <c r="B462" t="str">
        <f t="shared" si="175"/>
        <v>30</v>
      </c>
      <c r="C462" t="s">
        <v>408</v>
      </c>
      <c r="D462" t="str">
        <f t="shared" si="176"/>
        <v>00</v>
      </c>
      <c r="E462" t="s">
        <v>14</v>
      </c>
      <c r="F462" s="139" t="s">
        <v>43</v>
      </c>
      <c r="G462" t="s">
        <v>44</v>
      </c>
      <c r="H462" s="156">
        <v>0</v>
      </c>
      <c r="I462" s="156">
        <v>0</v>
      </c>
      <c r="J462" s="156">
        <v>0</v>
      </c>
      <c r="K462" s="156">
        <v>0</v>
      </c>
      <c r="L462" s="156">
        <v>0</v>
      </c>
      <c r="M462" s="156">
        <v>0</v>
      </c>
      <c r="N462" s="156">
        <v>0</v>
      </c>
      <c r="O462" s="156">
        <v>23090</v>
      </c>
      <c r="P462" s="156">
        <v>23090</v>
      </c>
      <c r="Q462" s="156">
        <v>23090</v>
      </c>
      <c r="R462" s="156">
        <v>0</v>
      </c>
      <c r="S462" s="156">
        <f t="shared" si="177"/>
        <v>23090</v>
      </c>
      <c r="T462" s="156">
        <f t="shared" si="178"/>
        <v>23090</v>
      </c>
      <c r="U462" s="140" t="str">
        <f t="shared" si="179"/>
        <v/>
      </c>
      <c r="V462" s="140" t="str">
        <f t="shared" si="180"/>
        <v/>
      </c>
      <c r="W462" s="140" t="str">
        <f t="shared" si="181"/>
        <v/>
      </c>
      <c r="X462" s="140" t="str">
        <f t="shared" si="182"/>
        <v/>
      </c>
      <c r="Y462" s="140" t="str">
        <f t="shared" si="183"/>
        <v/>
      </c>
      <c r="Z462" s="140" t="str">
        <f t="shared" si="184"/>
        <v/>
      </c>
      <c r="AA462" s="140" t="str">
        <f t="shared" si="185"/>
        <v/>
      </c>
      <c r="AB462" s="140" t="str">
        <f t="shared" si="186"/>
        <v/>
      </c>
      <c r="AC462" s="140" t="str">
        <f t="shared" si="187"/>
        <v/>
      </c>
      <c r="AD462" s="140" t="str">
        <f t="shared" si="188"/>
        <v/>
      </c>
      <c r="AE462" s="140" t="str">
        <f t="shared" si="189"/>
        <v/>
      </c>
      <c r="AF462" s="140" t="str">
        <f t="shared" si="190"/>
        <v/>
      </c>
      <c r="AG462" s="140" t="str">
        <f t="shared" si="191"/>
        <v/>
      </c>
      <c r="AH462" s="140" t="str">
        <f t="shared" si="192"/>
        <v/>
      </c>
      <c r="AI462" s="140" t="str">
        <f t="shared" si="193"/>
        <v/>
      </c>
      <c r="AJ462" s="140" t="str">
        <f t="shared" si="194"/>
        <v/>
      </c>
      <c r="AK462" s="140" t="str">
        <f t="shared" si="195"/>
        <v/>
      </c>
      <c r="AL462" s="140" t="str">
        <f t="shared" si="196"/>
        <v/>
      </c>
      <c r="AM462" t="str">
        <f t="shared" si="197"/>
        <v>4230-000: Retirement Benefits</v>
      </c>
      <c r="AN462" s="140">
        <f t="shared" si="198"/>
        <v>0</v>
      </c>
      <c r="AO462" s="140">
        <f t="shared" si="199"/>
        <v>0</v>
      </c>
      <c r="AP462" s="1" t="str">
        <f>IF(AND(AO462&gt;0, _xlfn.XLOOKUP($AM462, Discretionaries!$A$2:'Discretionaries'!$A$150, Discretionaries!$B$2:'Discretionaries'!$B$150)), (1+AN462)*$N462, "")</f>
        <v/>
      </c>
      <c r="AQ462" s="1" t="str">
        <f>IF(AND(AO462&gt;0, _xlfn.XLOOKUP($AM462, Discretionaries!$A$2:'Discretionaries'!$A$150, Discretionaries!$B$2:'Discretionaries'!$B$150)),AP462-$Q462,"")</f>
        <v/>
      </c>
      <c r="AR462" s="140">
        <f>IF(AG462="", 0-CPI!$B$15, AG462-CPI!$B$15)</f>
        <v>-3.8999999999999993E-2</v>
      </c>
      <c r="AS462" s="1" t="str">
        <f>IF(AND(AR462&gt;0, _xlfn.XLOOKUP($AM462, Discretionaries!$A$2:'Discretionaries'!$A$150, Discretionaries!$B$2:'Discretionaries'!$B$150)), (1+CPI!$B$15)*$N462, "")</f>
        <v/>
      </c>
      <c r="AT462" s="1" t="str">
        <f>IF(AND(AR462&gt;0, _xlfn.XLOOKUP($AM462, Discretionaries!$A$2:'Discretionaries'!$A$150, Discretionaries!$B$2:'Discretionaries'!$B$150)),AS462-$Q462,"")</f>
        <v/>
      </c>
    </row>
    <row r="463" spans="1:46" x14ac:dyDescent="0.3">
      <c r="A463" t="s">
        <v>443</v>
      </c>
      <c r="B463" t="str">
        <f t="shared" si="175"/>
        <v>30</v>
      </c>
      <c r="C463" t="s">
        <v>408</v>
      </c>
      <c r="D463" t="str">
        <f t="shared" si="176"/>
        <v>00</v>
      </c>
      <c r="E463" t="s">
        <v>14</v>
      </c>
      <c r="F463" s="139" t="s">
        <v>19</v>
      </c>
      <c r="G463" t="s">
        <v>20</v>
      </c>
      <c r="H463" s="156">
        <v>1440</v>
      </c>
      <c r="I463" s="156">
        <v>1373.14</v>
      </c>
      <c r="J463" s="156">
        <v>1524</v>
      </c>
      <c r="K463" s="156">
        <v>1625.54</v>
      </c>
      <c r="L463" s="156">
        <v>1822</v>
      </c>
      <c r="M463" s="156">
        <v>1821.63</v>
      </c>
      <c r="N463" s="156">
        <v>2152</v>
      </c>
      <c r="O463" s="156">
        <v>2120</v>
      </c>
      <c r="P463" s="156">
        <v>2120</v>
      </c>
      <c r="Q463" s="156">
        <v>2120</v>
      </c>
      <c r="R463" s="156">
        <v>2120</v>
      </c>
      <c r="S463" s="156">
        <f t="shared" si="177"/>
        <v>-32</v>
      </c>
      <c r="T463" s="156">
        <f t="shared" si="178"/>
        <v>0</v>
      </c>
      <c r="U463" s="140">
        <f t="shared" si="179"/>
        <v>-1.4869888475836431E-2</v>
      </c>
      <c r="V463" s="140">
        <f t="shared" si="180"/>
        <v>-4.6430555555555489E-2</v>
      </c>
      <c r="W463" s="140">
        <f t="shared" si="181"/>
        <v>6.6627296587926488E-2</v>
      </c>
      <c r="X463" s="140">
        <f t="shared" si="182"/>
        <v>-2.03073545554276E-4</v>
      </c>
      <c r="Y463" s="140">
        <f t="shared" si="183"/>
        <v>5.8333333333333334E-2</v>
      </c>
      <c r="Z463" s="140">
        <f t="shared" si="184"/>
        <v>0.1838122842536084</v>
      </c>
      <c r="AA463" s="140">
        <f t="shared" si="185"/>
        <v>0.19553805774278216</v>
      </c>
      <c r="AB463" s="140">
        <f t="shared" si="186"/>
        <v>0.12063068272697082</v>
      </c>
      <c r="AC463" s="140">
        <f t="shared" si="187"/>
        <v>0.18111964873765093</v>
      </c>
      <c r="AD463" s="140">
        <f t="shared" si="188"/>
        <v>0.49444444444444446</v>
      </c>
      <c r="AE463" s="140">
        <f t="shared" si="189"/>
        <v>-1.4869888475836431E-2</v>
      </c>
      <c r="AF463" s="140">
        <f t="shared" si="190"/>
        <v>-1.4869888475836431E-2</v>
      </c>
      <c r="AG463" s="140">
        <f t="shared" si="191"/>
        <v>-1.4869888475836431E-2</v>
      </c>
      <c r="AH463" s="140">
        <f t="shared" si="192"/>
        <v>-1.4869888475836431E-2</v>
      </c>
      <c r="AI463" s="140">
        <f t="shared" si="193"/>
        <v>0.47222222222222221</v>
      </c>
      <c r="AJ463" s="140">
        <f t="shared" si="194"/>
        <v>0.47222222222222221</v>
      </c>
      <c r="AK463" s="140">
        <f t="shared" si="195"/>
        <v>0.47222222222222221</v>
      </c>
      <c r="AL463" s="140">
        <f t="shared" si="196"/>
        <v>0.47222222222222221</v>
      </c>
      <c r="AM463" t="str">
        <f t="shared" si="197"/>
        <v>4260-000: Workers' comp Benefits</v>
      </c>
      <c r="AN463" s="140">
        <f t="shared" si="198"/>
        <v>0.14499701327125547</v>
      </c>
      <c r="AO463" s="140">
        <f t="shared" si="199"/>
        <v>-0.15986690174709189</v>
      </c>
      <c r="AP463" s="1" t="str">
        <f>IF(AND(AO463&gt;0, _xlfn.XLOOKUP($AM463, Discretionaries!$A$2:'Discretionaries'!$A$150, Discretionaries!$B$2:'Discretionaries'!$B$150)), (1+AN463)*$N463, "")</f>
        <v/>
      </c>
      <c r="AQ463" s="1" t="str">
        <f>IF(AND(AO463&gt;0, _xlfn.XLOOKUP($AM463, Discretionaries!$A$2:'Discretionaries'!$A$150, Discretionaries!$B$2:'Discretionaries'!$B$150)),AP463-$Q463,"")</f>
        <v/>
      </c>
      <c r="AR463" s="140">
        <f>IF(AG463="", 0-CPI!$B$15, AG463-CPI!$B$15)</f>
        <v>-5.3869888475836424E-2</v>
      </c>
      <c r="AS463" s="1" t="str">
        <f>IF(AND(AR463&gt;0, _xlfn.XLOOKUP($AM463, Discretionaries!$A$2:'Discretionaries'!$A$150, Discretionaries!$B$2:'Discretionaries'!$B$150)), (1+CPI!$B$15)*$N463, "")</f>
        <v/>
      </c>
      <c r="AT463" s="1" t="str">
        <f>IF(AND(AR463&gt;0, _xlfn.XLOOKUP($AM463, Discretionaries!$A$2:'Discretionaries'!$A$150, Discretionaries!$B$2:'Discretionaries'!$B$150)),AS463-$Q463,"")</f>
        <v/>
      </c>
    </row>
    <row r="464" spans="1:46" x14ac:dyDescent="0.3">
      <c r="A464" t="s">
        <v>443</v>
      </c>
      <c r="B464" t="str">
        <f t="shared" si="175"/>
        <v>30</v>
      </c>
      <c r="C464" t="s">
        <v>408</v>
      </c>
      <c r="D464" t="str">
        <f t="shared" si="176"/>
        <v>00</v>
      </c>
      <c r="E464" t="s">
        <v>133</v>
      </c>
      <c r="F464" s="139" t="s">
        <v>160</v>
      </c>
      <c r="G464" t="s">
        <v>161</v>
      </c>
      <c r="H464" s="156">
        <v>10000</v>
      </c>
      <c r="I464" s="156">
        <v>12577.49</v>
      </c>
      <c r="J464" s="156">
        <v>10000</v>
      </c>
      <c r="K464" s="156">
        <v>12518.28</v>
      </c>
      <c r="L464" s="156">
        <v>11500</v>
      </c>
      <c r="M464" s="156">
        <v>14991.05</v>
      </c>
      <c r="N464" s="156">
        <v>13643</v>
      </c>
      <c r="O464" s="156">
        <v>14100</v>
      </c>
      <c r="P464" s="156">
        <v>14100</v>
      </c>
      <c r="Q464" s="156">
        <v>14100</v>
      </c>
      <c r="R464" s="156">
        <v>13643</v>
      </c>
      <c r="S464" s="156">
        <f t="shared" si="177"/>
        <v>457</v>
      </c>
      <c r="T464" s="156">
        <f t="shared" si="178"/>
        <v>457</v>
      </c>
      <c r="U464" s="140">
        <f t="shared" si="179"/>
        <v>3.3497031444696915E-2</v>
      </c>
      <c r="V464" s="140">
        <f t="shared" si="180"/>
        <v>0.25774900000000001</v>
      </c>
      <c r="W464" s="140">
        <f t="shared" si="181"/>
        <v>0.25182800000000005</v>
      </c>
      <c r="X464" s="140">
        <f t="shared" si="182"/>
        <v>0.30356956521739126</v>
      </c>
      <c r="Y464" s="140">
        <f t="shared" si="183"/>
        <v>0</v>
      </c>
      <c r="Z464" s="140">
        <f t="shared" si="184"/>
        <v>-4.7076165435233205E-3</v>
      </c>
      <c r="AA464" s="140">
        <f t="shared" si="185"/>
        <v>0.15</v>
      </c>
      <c r="AB464" s="140">
        <f t="shared" si="186"/>
        <v>0.19753272813837033</v>
      </c>
      <c r="AC464" s="140">
        <f t="shared" si="187"/>
        <v>0.18634782608695652</v>
      </c>
      <c r="AD464" s="140">
        <f t="shared" si="188"/>
        <v>0.36430000000000001</v>
      </c>
      <c r="AE464" s="140">
        <f t="shared" si="189"/>
        <v>3.3497031444696915E-2</v>
      </c>
      <c r="AF464" s="140">
        <f t="shared" si="190"/>
        <v>3.3497031444696915E-2</v>
      </c>
      <c r="AG464" s="140">
        <f t="shared" si="191"/>
        <v>3.3497031444696915E-2</v>
      </c>
      <c r="AH464" s="140">
        <f t="shared" si="192"/>
        <v>0</v>
      </c>
      <c r="AI464" s="140">
        <f t="shared" si="193"/>
        <v>0.41</v>
      </c>
      <c r="AJ464" s="140">
        <f t="shared" si="194"/>
        <v>0.41</v>
      </c>
      <c r="AK464" s="140">
        <f t="shared" si="195"/>
        <v>0.41</v>
      </c>
      <c r="AL464" s="140">
        <f t="shared" si="196"/>
        <v>0.36430000000000001</v>
      </c>
      <c r="AM464" t="str">
        <f t="shared" si="197"/>
        <v>4410-000: Electric Services</v>
      </c>
      <c r="AN464" s="140">
        <f t="shared" si="198"/>
        <v>0.1121159420289855</v>
      </c>
      <c r="AO464" s="140">
        <f t="shared" si="199"/>
        <v>-7.861891058428859E-2</v>
      </c>
      <c r="AP464" s="1" t="str">
        <f>IF(AND(AO464&gt;0, _xlfn.XLOOKUP($AM464, Discretionaries!$A$2:'Discretionaries'!$A$150, Discretionaries!$B$2:'Discretionaries'!$B$150)), (1+AN464)*$N464, "")</f>
        <v/>
      </c>
      <c r="AQ464" s="1" t="str">
        <f>IF(AND(AO464&gt;0, _xlfn.XLOOKUP($AM464, Discretionaries!$A$2:'Discretionaries'!$A$150, Discretionaries!$B$2:'Discretionaries'!$B$150)),AP464-$Q464,"")</f>
        <v/>
      </c>
      <c r="AR464" s="140">
        <f>IF(AG464="", 0-CPI!$B$15, AG464-CPI!$B$15)</f>
        <v>-5.5029685553030783E-3</v>
      </c>
      <c r="AS464" s="1" t="str">
        <f>IF(AND(AR464&gt;0, _xlfn.XLOOKUP($AM464, Discretionaries!$A$2:'Discretionaries'!$A$150, Discretionaries!$B$2:'Discretionaries'!$B$150)), (1+CPI!$B$15)*$N464, "")</f>
        <v/>
      </c>
      <c r="AT464" s="1" t="str">
        <f>IF(AND(AR464&gt;0, _xlfn.XLOOKUP($AM464, Discretionaries!$A$2:'Discretionaries'!$A$150, Discretionaries!$B$2:'Discretionaries'!$B$150)),AS464-$Q464,"")</f>
        <v/>
      </c>
    </row>
    <row r="465" spans="1:46" x14ac:dyDescent="0.3">
      <c r="A465" t="s">
        <v>443</v>
      </c>
      <c r="B465" t="str">
        <f t="shared" si="175"/>
        <v>30</v>
      </c>
      <c r="C465" t="s">
        <v>408</v>
      </c>
      <c r="D465" t="str">
        <f t="shared" si="176"/>
        <v>00</v>
      </c>
      <c r="E465" t="s">
        <v>133</v>
      </c>
      <c r="F465" s="139" t="s">
        <v>162</v>
      </c>
      <c r="G465" t="s">
        <v>163</v>
      </c>
      <c r="H465" s="156">
        <v>200</v>
      </c>
      <c r="I465" s="156">
        <v>184.12</v>
      </c>
      <c r="J465" s="156">
        <v>200</v>
      </c>
      <c r="K465" s="156">
        <v>209.43</v>
      </c>
      <c r="L465" s="156">
        <v>300</v>
      </c>
      <c r="M465" s="156">
        <v>232.85</v>
      </c>
      <c r="N465" s="156">
        <v>323</v>
      </c>
      <c r="O465" s="156">
        <v>323</v>
      </c>
      <c r="P465" s="156">
        <v>323</v>
      </c>
      <c r="Q465" s="156">
        <v>323</v>
      </c>
      <c r="R465" s="156">
        <v>323</v>
      </c>
      <c r="S465" s="156">
        <f t="shared" si="177"/>
        <v>0</v>
      </c>
      <c r="T465" s="156">
        <f t="shared" si="178"/>
        <v>0</v>
      </c>
      <c r="U465" s="140">
        <f t="shared" si="179"/>
        <v>0</v>
      </c>
      <c r="V465" s="140">
        <f t="shared" si="180"/>
        <v>-7.9399999999999971E-2</v>
      </c>
      <c r="W465" s="140">
        <f t="shared" si="181"/>
        <v>4.7150000000000032E-2</v>
      </c>
      <c r="X465" s="140">
        <f t="shared" si="182"/>
        <v>-0.22383333333333336</v>
      </c>
      <c r="Y465" s="140">
        <f t="shared" si="183"/>
        <v>0</v>
      </c>
      <c r="Z465" s="140">
        <f t="shared" si="184"/>
        <v>0.13746469693678037</v>
      </c>
      <c r="AA465" s="140">
        <f t="shared" si="185"/>
        <v>0.5</v>
      </c>
      <c r="AB465" s="140">
        <f t="shared" si="186"/>
        <v>0.11182734087762014</v>
      </c>
      <c r="AC465" s="140">
        <f t="shared" si="187"/>
        <v>7.6666666666666661E-2</v>
      </c>
      <c r="AD465" s="140">
        <f t="shared" si="188"/>
        <v>0.61499999999999999</v>
      </c>
      <c r="AE465" s="140">
        <f t="shared" si="189"/>
        <v>0</v>
      </c>
      <c r="AF465" s="140">
        <f t="shared" si="190"/>
        <v>0</v>
      </c>
      <c r="AG465" s="140">
        <f t="shared" si="191"/>
        <v>0</v>
      </c>
      <c r="AH465" s="140">
        <f t="shared" si="192"/>
        <v>0</v>
      </c>
      <c r="AI465" s="140">
        <f t="shared" si="193"/>
        <v>0.61499999999999999</v>
      </c>
      <c r="AJ465" s="140">
        <f t="shared" si="194"/>
        <v>0.61499999999999999</v>
      </c>
      <c r="AK465" s="140">
        <f t="shared" si="195"/>
        <v>0.61499999999999999</v>
      </c>
      <c r="AL465" s="140">
        <f t="shared" si="196"/>
        <v>0.61499999999999999</v>
      </c>
      <c r="AM465" t="str">
        <f t="shared" si="197"/>
        <v>4411-000: Heat &amp; oil Services</v>
      </c>
      <c r="AN465" s="140">
        <f t="shared" si="198"/>
        <v>0.19222222222222221</v>
      </c>
      <c r="AO465" s="140">
        <f t="shared" si="199"/>
        <v>-0.19222222222222221</v>
      </c>
      <c r="AP465" s="1" t="str">
        <f>IF(AND(AO465&gt;0, _xlfn.XLOOKUP($AM465, Discretionaries!$A$2:'Discretionaries'!$A$150, Discretionaries!$B$2:'Discretionaries'!$B$150)), (1+AN465)*$N465, "")</f>
        <v/>
      </c>
      <c r="AQ465" s="1" t="str">
        <f>IF(AND(AO465&gt;0, _xlfn.XLOOKUP($AM465, Discretionaries!$A$2:'Discretionaries'!$A$150, Discretionaries!$B$2:'Discretionaries'!$B$150)),AP465-$Q465,"")</f>
        <v/>
      </c>
      <c r="AR465" s="140">
        <f>IF(AG465="", 0-CPI!$B$15, AG465-CPI!$B$15)</f>
        <v>-3.8999999999999993E-2</v>
      </c>
      <c r="AS465" s="1" t="str">
        <f>IF(AND(AR465&gt;0, _xlfn.XLOOKUP($AM465, Discretionaries!$A$2:'Discretionaries'!$A$150, Discretionaries!$B$2:'Discretionaries'!$B$150)), (1+CPI!$B$15)*$N465, "")</f>
        <v/>
      </c>
      <c r="AT465" s="1" t="str">
        <f>IF(AND(AR465&gt;0, _xlfn.XLOOKUP($AM465, Discretionaries!$A$2:'Discretionaries'!$A$150, Discretionaries!$B$2:'Discretionaries'!$B$150)),AS465-$Q465,"")</f>
        <v/>
      </c>
    </row>
    <row r="466" spans="1:46" x14ac:dyDescent="0.3">
      <c r="A466" t="s">
        <v>443</v>
      </c>
      <c r="B466" t="str">
        <f t="shared" si="175"/>
        <v>30</v>
      </c>
      <c r="C466" t="s">
        <v>408</v>
      </c>
      <c r="D466" t="str">
        <f t="shared" si="176"/>
        <v>00</v>
      </c>
      <c r="E466" t="s">
        <v>133</v>
      </c>
      <c r="F466" s="139" t="s">
        <v>164</v>
      </c>
      <c r="G466" t="s">
        <v>165</v>
      </c>
      <c r="H466" s="156">
        <v>22500</v>
      </c>
      <c r="I466" s="156">
        <v>27032.67</v>
      </c>
      <c r="J466" s="156">
        <v>22500</v>
      </c>
      <c r="K466" s="156">
        <v>4506.76</v>
      </c>
      <c r="L466" s="156">
        <v>22500</v>
      </c>
      <c r="M466" s="156">
        <v>20747.18</v>
      </c>
      <c r="N466" s="156">
        <v>20334</v>
      </c>
      <c r="O466" s="156">
        <v>24907</v>
      </c>
      <c r="P466" s="156">
        <v>24907</v>
      </c>
      <c r="Q466" s="156">
        <v>24907</v>
      </c>
      <c r="R466" s="156">
        <v>20334</v>
      </c>
      <c r="S466" s="156">
        <f t="shared" si="177"/>
        <v>4573</v>
      </c>
      <c r="T466" s="156">
        <f t="shared" si="178"/>
        <v>4573</v>
      </c>
      <c r="U466" s="140">
        <f t="shared" si="179"/>
        <v>0.22489426576177829</v>
      </c>
      <c r="V466" s="140">
        <f t="shared" si="180"/>
        <v>0.20145199999999991</v>
      </c>
      <c r="W466" s="140">
        <f t="shared" si="181"/>
        <v>-0.7996995555555555</v>
      </c>
      <c r="X466" s="140">
        <f t="shared" si="182"/>
        <v>-7.7903111111111104E-2</v>
      </c>
      <c r="Y466" s="140">
        <f t="shared" si="183"/>
        <v>0</v>
      </c>
      <c r="Z466" s="140">
        <f t="shared" si="184"/>
        <v>-0.83328468848989012</v>
      </c>
      <c r="AA466" s="140">
        <f t="shared" si="185"/>
        <v>0</v>
      </c>
      <c r="AB466" s="140">
        <f t="shared" si="186"/>
        <v>3.6035688609999199</v>
      </c>
      <c r="AC466" s="140">
        <f t="shared" si="187"/>
        <v>-9.6266666666666667E-2</v>
      </c>
      <c r="AD466" s="140">
        <f t="shared" si="188"/>
        <v>-9.6266666666666667E-2</v>
      </c>
      <c r="AE466" s="140">
        <f t="shared" si="189"/>
        <v>0.22489426576177829</v>
      </c>
      <c r="AF466" s="140">
        <f t="shared" si="190"/>
        <v>0.22489426576177829</v>
      </c>
      <c r="AG466" s="140">
        <f t="shared" si="191"/>
        <v>0.22489426576177829</v>
      </c>
      <c r="AH466" s="140">
        <f t="shared" si="192"/>
        <v>0</v>
      </c>
      <c r="AI466" s="140">
        <f t="shared" si="193"/>
        <v>0.10697777777777778</v>
      </c>
      <c r="AJ466" s="140">
        <f t="shared" si="194"/>
        <v>0.10697777777777778</v>
      </c>
      <c r="AK466" s="140">
        <f t="shared" si="195"/>
        <v>0.10697777777777778</v>
      </c>
      <c r="AL466" s="140">
        <f t="shared" si="196"/>
        <v>-9.6266666666666667E-2</v>
      </c>
      <c r="AM466" t="str">
        <f t="shared" si="197"/>
        <v>4412-000: Water Services</v>
      </c>
      <c r="AN466" s="140">
        <f t="shared" si="198"/>
        <v>-3.2088888888888889E-2</v>
      </c>
      <c r="AO466" s="140">
        <f t="shared" si="199"/>
        <v>0.25698315465066718</v>
      </c>
      <c r="AP466" s="1">
        <f>IF(AND(AO466&gt;0, _xlfn.XLOOKUP($AM466, Discretionaries!$A$2:'Discretionaries'!$A$150, Discretionaries!$B$2:'Discretionaries'!$B$150)), (1+AN466)*$N466, "")</f>
        <v>19681.504533333333</v>
      </c>
      <c r="AQ466" s="1">
        <f>IF(AND(AO466&gt;0, _xlfn.XLOOKUP($AM466, Discretionaries!$A$2:'Discretionaries'!$A$150, Discretionaries!$B$2:'Discretionaries'!$B$150)),AP466-$Q466,"")</f>
        <v>-5225.4954666666672</v>
      </c>
      <c r="AR466" s="140">
        <f>IF(AG466="", 0-CPI!$B$15, AG466-CPI!$B$15)</f>
        <v>0.18589426576177831</v>
      </c>
      <c r="AS466" s="1">
        <f>IF(AND(AR466&gt;0, _xlfn.XLOOKUP($AM466, Discretionaries!$A$2:'Discretionaries'!$A$150, Discretionaries!$B$2:'Discretionaries'!$B$150)), (1+CPI!$B$15)*$N466, "")</f>
        <v>21127.025999999998</v>
      </c>
      <c r="AT466" s="1">
        <f>IF(AND(AR466&gt;0, _xlfn.XLOOKUP($AM466, Discretionaries!$A$2:'Discretionaries'!$A$150, Discretionaries!$B$2:'Discretionaries'!$B$150)),AS466-$Q466,"")</f>
        <v>-3779.974000000002</v>
      </c>
    </row>
    <row r="467" spans="1:46" x14ac:dyDescent="0.3">
      <c r="A467" t="s">
        <v>443</v>
      </c>
      <c r="B467" t="str">
        <f t="shared" si="175"/>
        <v>30</v>
      </c>
      <c r="C467" t="s">
        <v>408</v>
      </c>
      <c r="D467" t="str">
        <f t="shared" si="176"/>
        <v>00</v>
      </c>
      <c r="E467" t="s">
        <v>45</v>
      </c>
      <c r="F467" s="139" t="s">
        <v>46</v>
      </c>
      <c r="G467" t="s">
        <v>47</v>
      </c>
      <c r="H467" s="156">
        <v>500</v>
      </c>
      <c r="I467" s="156">
        <v>0</v>
      </c>
      <c r="J467" s="156">
        <v>500</v>
      </c>
      <c r="K467" s="156">
        <v>460.84</v>
      </c>
      <c r="L467" s="156">
        <v>500</v>
      </c>
      <c r="M467" s="156">
        <v>225</v>
      </c>
      <c r="N467" s="156">
        <v>500</v>
      </c>
      <c r="O467" s="156">
        <v>500</v>
      </c>
      <c r="P467" s="156">
        <v>500</v>
      </c>
      <c r="Q467" s="156">
        <v>500</v>
      </c>
      <c r="R467" s="156">
        <v>500</v>
      </c>
      <c r="S467" s="156">
        <f t="shared" si="177"/>
        <v>0</v>
      </c>
      <c r="T467" s="156">
        <f t="shared" si="178"/>
        <v>0</v>
      </c>
      <c r="U467" s="140">
        <f t="shared" si="179"/>
        <v>0</v>
      </c>
      <c r="V467" s="140">
        <f t="shared" si="180"/>
        <v>-1</v>
      </c>
      <c r="W467" s="140">
        <f t="shared" si="181"/>
        <v>-7.8320000000000056E-2</v>
      </c>
      <c r="X467" s="140">
        <f t="shared" si="182"/>
        <v>-0.55000000000000004</v>
      </c>
      <c r="Y467" s="140">
        <f t="shared" si="183"/>
        <v>0</v>
      </c>
      <c r="Z467" s="140" t="str">
        <f t="shared" si="184"/>
        <v/>
      </c>
      <c r="AA467" s="140">
        <f t="shared" si="185"/>
        <v>0</v>
      </c>
      <c r="AB467" s="140">
        <f t="shared" si="186"/>
        <v>-0.51176113184619387</v>
      </c>
      <c r="AC467" s="140">
        <f t="shared" si="187"/>
        <v>0</v>
      </c>
      <c r="AD467" s="140">
        <f t="shared" si="188"/>
        <v>0</v>
      </c>
      <c r="AE467" s="140">
        <f t="shared" si="189"/>
        <v>0</v>
      </c>
      <c r="AF467" s="140">
        <f t="shared" si="190"/>
        <v>0</v>
      </c>
      <c r="AG467" s="140">
        <f t="shared" si="191"/>
        <v>0</v>
      </c>
      <c r="AH467" s="140">
        <f t="shared" si="192"/>
        <v>0</v>
      </c>
      <c r="AI467" s="140">
        <f t="shared" si="193"/>
        <v>0</v>
      </c>
      <c r="AJ467" s="140">
        <f t="shared" si="194"/>
        <v>0</v>
      </c>
      <c r="AK467" s="140">
        <f t="shared" si="195"/>
        <v>0</v>
      </c>
      <c r="AL467" s="140">
        <f t="shared" si="196"/>
        <v>0</v>
      </c>
      <c r="AM467" t="str">
        <f t="shared" si="197"/>
        <v>4560-000: Dues &amp; subs Services</v>
      </c>
      <c r="AN467" s="140">
        <f t="shared" si="198"/>
        <v>0</v>
      </c>
      <c r="AO467" s="140">
        <f t="shared" si="199"/>
        <v>0</v>
      </c>
      <c r="AP467" s="1" t="str">
        <f>IF(AND(AO467&gt;0, _xlfn.XLOOKUP($AM467, Discretionaries!$A$2:'Discretionaries'!$A$150, Discretionaries!$B$2:'Discretionaries'!$B$150)), (1+AN467)*$N467, "")</f>
        <v/>
      </c>
      <c r="AQ467" s="1" t="str">
        <f>IF(AND(AO467&gt;0, _xlfn.XLOOKUP($AM467, Discretionaries!$A$2:'Discretionaries'!$A$150, Discretionaries!$B$2:'Discretionaries'!$B$150)),AP467-$Q467,"")</f>
        <v/>
      </c>
      <c r="AR467" s="140">
        <f>IF(AG467="", 0-CPI!$B$15, AG467-CPI!$B$15)</f>
        <v>-3.8999999999999993E-2</v>
      </c>
      <c r="AS467" s="1" t="str">
        <f>IF(AND(AR467&gt;0, _xlfn.XLOOKUP($AM467, Discretionaries!$A$2:'Discretionaries'!$A$150, Discretionaries!$B$2:'Discretionaries'!$B$150)), (1+CPI!$B$15)*$N467, "")</f>
        <v/>
      </c>
      <c r="AT467" s="1" t="str">
        <f>IF(AND(AR467&gt;0, _xlfn.XLOOKUP($AM467, Discretionaries!$A$2:'Discretionaries'!$A$150, Discretionaries!$B$2:'Discretionaries'!$B$150)),AS467-$Q467,"")</f>
        <v/>
      </c>
    </row>
    <row r="468" spans="1:46" x14ac:dyDescent="0.3">
      <c r="A468" t="s">
        <v>443</v>
      </c>
      <c r="B468" t="str">
        <f t="shared" si="175"/>
        <v>30</v>
      </c>
      <c r="C468" t="s">
        <v>408</v>
      </c>
      <c r="D468" t="str">
        <f t="shared" si="176"/>
        <v>00</v>
      </c>
      <c r="E468" t="s">
        <v>45</v>
      </c>
      <c r="F468" s="139" t="s">
        <v>24</v>
      </c>
      <c r="G468" t="s">
        <v>25</v>
      </c>
      <c r="H468" s="156">
        <v>0</v>
      </c>
      <c r="I468" s="156">
        <v>0</v>
      </c>
      <c r="J468" s="156">
        <v>0</v>
      </c>
      <c r="K468" s="156">
        <v>0</v>
      </c>
      <c r="L468" s="156">
        <v>830</v>
      </c>
      <c r="M468" s="156">
        <v>735</v>
      </c>
      <c r="N468" s="156">
        <v>900</v>
      </c>
      <c r="O468" s="156">
        <v>1500</v>
      </c>
      <c r="P468" s="156">
        <v>1500</v>
      </c>
      <c r="Q468" s="156">
        <v>1500</v>
      </c>
      <c r="R468" s="156">
        <v>900</v>
      </c>
      <c r="S468" s="156">
        <f t="shared" si="177"/>
        <v>600</v>
      </c>
      <c r="T468" s="156">
        <f t="shared" si="178"/>
        <v>600</v>
      </c>
      <c r="U468" s="140">
        <f t="shared" si="179"/>
        <v>0.66666666666666663</v>
      </c>
      <c r="V468" s="140" t="str">
        <f t="shared" si="180"/>
        <v/>
      </c>
      <c r="W468" s="140" t="str">
        <f t="shared" si="181"/>
        <v/>
      </c>
      <c r="X468" s="140">
        <f t="shared" si="182"/>
        <v>-0.1144578313253012</v>
      </c>
      <c r="Y468" s="140" t="str">
        <f t="shared" si="183"/>
        <v/>
      </c>
      <c r="Z468" s="140" t="str">
        <f t="shared" si="184"/>
        <v/>
      </c>
      <c r="AA468" s="140" t="str">
        <f t="shared" si="185"/>
        <v/>
      </c>
      <c r="AB468" s="140" t="str">
        <f t="shared" si="186"/>
        <v/>
      </c>
      <c r="AC468" s="140">
        <f t="shared" si="187"/>
        <v>8.4337349397590355E-2</v>
      </c>
      <c r="AD468" s="140" t="str">
        <f t="shared" si="188"/>
        <v/>
      </c>
      <c r="AE468" s="140">
        <f t="shared" si="189"/>
        <v>0.66666666666666663</v>
      </c>
      <c r="AF468" s="140">
        <f t="shared" si="190"/>
        <v>0.66666666666666663</v>
      </c>
      <c r="AG468" s="140">
        <f t="shared" si="191"/>
        <v>0.66666666666666663</v>
      </c>
      <c r="AH468" s="140">
        <f t="shared" si="192"/>
        <v>0</v>
      </c>
      <c r="AI468" s="140" t="str">
        <f t="shared" si="193"/>
        <v/>
      </c>
      <c r="AJ468" s="140" t="str">
        <f t="shared" si="194"/>
        <v/>
      </c>
      <c r="AK468" s="140" t="str">
        <f t="shared" si="195"/>
        <v/>
      </c>
      <c r="AL468" s="140" t="str">
        <f t="shared" si="196"/>
        <v/>
      </c>
      <c r="AM468" t="str">
        <f t="shared" si="197"/>
        <v>4570-000: Sem &amp; workshops Services</v>
      </c>
      <c r="AN468" s="140">
        <f t="shared" si="198"/>
        <v>8.4337349397590355E-2</v>
      </c>
      <c r="AO468" s="140">
        <f t="shared" si="199"/>
        <v>0.58232931726907622</v>
      </c>
      <c r="AP468" s="1">
        <f>IF(AND(AO468&gt;0, _xlfn.XLOOKUP($AM468, Discretionaries!$A$2:'Discretionaries'!$A$150, Discretionaries!$B$2:'Discretionaries'!$B$150)), (1+AN468)*$N468, "")</f>
        <v>975.90361445783128</v>
      </c>
      <c r="AQ468" s="1">
        <f>IF(AND(AO468&gt;0, _xlfn.XLOOKUP($AM468, Discretionaries!$A$2:'Discretionaries'!$A$150, Discretionaries!$B$2:'Discretionaries'!$B$150)),AP468-$Q468,"")</f>
        <v>-524.09638554216872</v>
      </c>
      <c r="AR468" s="140">
        <f>IF(AG468="", 0-CPI!$B$15, AG468-CPI!$B$15)</f>
        <v>0.6276666666666666</v>
      </c>
      <c r="AS468" s="1">
        <f>IF(AND(AR468&gt;0, _xlfn.XLOOKUP($AM468, Discretionaries!$A$2:'Discretionaries'!$A$150, Discretionaries!$B$2:'Discretionaries'!$B$150)), (1+CPI!$B$15)*$N468, "")</f>
        <v>935.09999999999991</v>
      </c>
      <c r="AT468" s="1">
        <f>IF(AND(AR468&gt;0, _xlfn.XLOOKUP($AM468, Discretionaries!$A$2:'Discretionaries'!$A$150, Discretionaries!$B$2:'Discretionaries'!$B$150)),AS468-$Q468,"")</f>
        <v>-564.90000000000009</v>
      </c>
    </row>
    <row r="469" spans="1:46" x14ac:dyDescent="0.3">
      <c r="A469" t="s">
        <v>443</v>
      </c>
      <c r="B469" t="str">
        <f t="shared" si="175"/>
        <v>30</v>
      </c>
      <c r="C469" t="s">
        <v>408</v>
      </c>
      <c r="D469" t="str">
        <f t="shared" si="176"/>
        <v>00</v>
      </c>
      <c r="E469" t="s">
        <v>45</v>
      </c>
      <c r="F469" s="139" t="s">
        <v>26</v>
      </c>
      <c r="G469" t="s">
        <v>27</v>
      </c>
      <c r="H469" s="156">
        <v>400</v>
      </c>
      <c r="I469" s="156">
        <v>0</v>
      </c>
      <c r="J469" s="156">
        <v>400</v>
      </c>
      <c r="K469" s="156">
        <v>986.43</v>
      </c>
      <c r="L469" s="156">
        <v>1500</v>
      </c>
      <c r="M469" s="156">
        <v>1635.49</v>
      </c>
      <c r="N469" s="156">
        <v>1800</v>
      </c>
      <c r="O469" s="156">
        <v>2900</v>
      </c>
      <c r="P469" s="156">
        <v>2900</v>
      </c>
      <c r="Q469" s="156">
        <v>2900</v>
      </c>
      <c r="R469" s="156">
        <v>1800</v>
      </c>
      <c r="S469" s="156">
        <f t="shared" si="177"/>
        <v>1100</v>
      </c>
      <c r="T469" s="156">
        <f t="shared" si="178"/>
        <v>1100</v>
      </c>
      <c r="U469" s="140">
        <f t="shared" si="179"/>
        <v>0.61111111111111116</v>
      </c>
      <c r="V469" s="140">
        <f t="shared" si="180"/>
        <v>-1</v>
      </c>
      <c r="W469" s="140">
        <f t="shared" si="181"/>
        <v>1.4660749999999998</v>
      </c>
      <c r="X469" s="140">
        <f t="shared" si="182"/>
        <v>9.0326666666666666E-2</v>
      </c>
      <c r="Y469" s="140">
        <f t="shared" si="183"/>
        <v>0</v>
      </c>
      <c r="Z469" s="140" t="str">
        <f t="shared" si="184"/>
        <v/>
      </c>
      <c r="AA469" s="140">
        <f t="shared" si="185"/>
        <v>2.75</v>
      </c>
      <c r="AB469" s="140">
        <f t="shared" si="186"/>
        <v>0.65798890950194144</v>
      </c>
      <c r="AC469" s="140">
        <f t="shared" si="187"/>
        <v>0.2</v>
      </c>
      <c r="AD469" s="140">
        <f t="shared" si="188"/>
        <v>3.5</v>
      </c>
      <c r="AE469" s="140">
        <f t="shared" si="189"/>
        <v>0.61111111111111116</v>
      </c>
      <c r="AF469" s="140">
        <f t="shared" si="190"/>
        <v>0.61111111111111116</v>
      </c>
      <c r="AG469" s="140">
        <f t="shared" si="191"/>
        <v>0.61111111111111116</v>
      </c>
      <c r="AH469" s="140">
        <f t="shared" si="192"/>
        <v>0</v>
      </c>
      <c r="AI469" s="140">
        <f t="shared" si="193"/>
        <v>6.25</v>
      </c>
      <c r="AJ469" s="140">
        <f t="shared" si="194"/>
        <v>6.25</v>
      </c>
      <c r="AK469" s="140">
        <f t="shared" si="195"/>
        <v>6.25</v>
      </c>
      <c r="AL469" s="140">
        <f t="shared" si="196"/>
        <v>3.5</v>
      </c>
      <c r="AM469" t="str">
        <f t="shared" si="197"/>
        <v>4575-000: Travel &amp; mileage Services</v>
      </c>
      <c r="AN469" s="140">
        <f t="shared" si="198"/>
        <v>0.98333333333333339</v>
      </c>
      <c r="AO469" s="140">
        <f t="shared" si="199"/>
        <v>-0.37222222222222223</v>
      </c>
      <c r="AP469" s="1" t="str">
        <f>IF(AND(AO469&gt;0, _xlfn.XLOOKUP($AM469, Discretionaries!$A$2:'Discretionaries'!$A$150, Discretionaries!$B$2:'Discretionaries'!$B$150)), (1+AN469)*$N469, "")</f>
        <v/>
      </c>
      <c r="AQ469" s="1" t="str">
        <f>IF(AND(AO469&gt;0, _xlfn.XLOOKUP($AM469, Discretionaries!$A$2:'Discretionaries'!$A$150, Discretionaries!$B$2:'Discretionaries'!$B$150)),AP469-$Q469,"")</f>
        <v/>
      </c>
      <c r="AR469" s="140">
        <f>IF(AG469="", 0-CPI!$B$15, AG469-CPI!$B$15)</f>
        <v>0.57211111111111113</v>
      </c>
      <c r="AS469" s="1">
        <f>IF(AND(AR469&gt;0, _xlfn.XLOOKUP($AM469, Discretionaries!$A$2:'Discretionaries'!$A$150, Discretionaries!$B$2:'Discretionaries'!$B$150)), (1+CPI!$B$15)*$N469, "")</f>
        <v>1870.1999999999998</v>
      </c>
      <c r="AT469" s="1">
        <f>IF(AND(AR469&gt;0, _xlfn.XLOOKUP($AM469, Discretionaries!$A$2:'Discretionaries'!$A$150, Discretionaries!$B$2:'Discretionaries'!$B$150)),AS469-$Q469,"")</f>
        <v>-1029.8000000000002</v>
      </c>
    </row>
    <row r="470" spans="1:46" x14ac:dyDescent="0.3">
      <c r="A470" t="s">
        <v>443</v>
      </c>
      <c r="B470" t="str">
        <f t="shared" si="175"/>
        <v>30</v>
      </c>
      <c r="C470" t="s">
        <v>408</v>
      </c>
      <c r="D470" t="str">
        <f t="shared" si="176"/>
        <v>00</v>
      </c>
      <c r="E470" t="s">
        <v>30</v>
      </c>
      <c r="F470" s="139" t="s">
        <v>31</v>
      </c>
      <c r="G470" t="s">
        <v>32</v>
      </c>
      <c r="H470" s="156">
        <v>27514</v>
      </c>
      <c r="I470" s="156">
        <v>27968.15</v>
      </c>
      <c r="J470" s="156">
        <v>27514</v>
      </c>
      <c r="K470" s="156">
        <v>28570.5</v>
      </c>
      <c r="L470" s="156">
        <v>27514</v>
      </c>
      <c r="M470" s="156">
        <v>20133.580000000002</v>
      </c>
      <c r="N470" s="156">
        <v>27514</v>
      </c>
      <c r="O470" s="156">
        <v>28000</v>
      </c>
      <c r="P470" s="156">
        <v>28000</v>
      </c>
      <c r="Q470" s="156">
        <v>28000</v>
      </c>
      <c r="R470" s="156">
        <v>27514</v>
      </c>
      <c r="S470" s="156">
        <f t="shared" si="177"/>
        <v>486</v>
      </c>
      <c r="T470" s="156">
        <f t="shared" si="178"/>
        <v>486</v>
      </c>
      <c r="U470" s="140">
        <f t="shared" si="179"/>
        <v>1.7663734825906812E-2</v>
      </c>
      <c r="V470" s="140">
        <f t="shared" si="180"/>
        <v>1.6506142327542394E-2</v>
      </c>
      <c r="W470" s="140">
        <f t="shared" si="181"/>
        <v>3.8398633422984663E-2</v>
      </c>
      <c r="X470" s="140">
        <f t="shared" si="182"/>
        <v>-0.26824234934942204</v>
      </c>
      <c r="Y470" s="140">
        <f t="shared" si="183"/>
        <v>0</v>
      </c>
      <c r="Z470" s="140">
        <f t="shared" si="184"/>
        <v>2.15369983356067E-2</v>
      </c>
      <c r="AA470" s="140">
        <f t="shared" si="185"/>
        <v>0</v>
      </c>
      <c r="AB470" s="140">
        <f t="shared" si="186"/>
        <v>-0.29530179730841244</v>
      </c>
      <c r="AC470" s="140">
        <f t="shared" si="187"/>
        <v>0</v>
      </c>
      <c r="AD470" s="140">
        <f t="shared" si="188"/>
        <v>0</v>
      </c>
      <c r="AE470" s="140">
        <f t="shared" si="189"/>
        <v>1.7663734825906812E-2</v>
      </c>
      <c r="AF470" s="140">
        <f t="shared" si="190"/>
        <v>1.7663734825906812E-2</v>
      </c>
      <c r="AG470" s="140">
        <f t="shared" si="191"/>
        <v>1.7663734825906812E-2</v>
      </c>
      <c r="AH470" s="140">
        <f t="shared" si="192"/>
        <v>0</v>
      </c>
      <c r="AI470" s="140">
        <f t="shared" si="193"/>
        <v>1.7663734825906812E-2</v>
      </c>
      <c r="AJ470" s="140">
        <f t="shared" si="194"/>
        <v>1.7663734825906812E-2</v>
      </c>
      <c r="AK470" s="140">
        <f t="shared" si="195"/>
        <v>1.7663734825906812E-2</v>
      </c>
      <c r="AL470" s="140">
        <f t="shared" si="196"/>
        <v>0</v>
      </c>
      <c r="AM470" t="str">
        <f t="shared" si="197"/>
        <v>4610-000: General expenses Supplies</v>
      </c>
      <c r="AN470" s="140">
        <f t="shared" si="198"/>
        <v>0</v>
      </c>
      <c r="AO470" s="140">
        <f t="shared" si="199"/>
        <v>1.7663734825906812E-2</v>
      </c>
      <c r="AP470" s="1">
        <f>IF(AND(AO470&gt;0, _xlfn.XLOOKUP($AM470, Discretionaries!$A$2:'Discretionaries'!$A$150, Discretionaries!$B$2:'Discretionaries'!$B$150)), (1+AN470)*$N470, "")</f>
        <v>27514</v>
      </c>
      <c r="AQ470" s="1">
        <f>IF(AND(AO470&gt;0, _xlfn.XLOOKUP($AM470, Discretionaries!$A$2:'Discretionaries'!$A$150, Discretionaries!$B$2:'Discretionaries'!$B$150)),AP470-$Q470,"")</f>
        <v>-486</v>
      </c>
      <c r="AR470" s="140">
        <f>IF(AG470="", 0-CPI!$B$15, AG470-CPI!$B$15)</f>
        <v>-2.1336265174093181E-2</v>
      </c>
      <c r="AS470" s="1" t="str">
        <f>IF(AND(AR470&gt;0, _xlfn.XLOOKUP($AM470, Discretionaries!$A$2:'Discretionaries'!$A$150, Discretionaries!$B$2:'Discretionaries'!$B$150)), (1+CPI!$B$15)*$N470, "")</f>
        <v/>
      </c>
      <c r="AT470" s="1" t="str">
        <f>IF(AND(AR470&gt;0, _xlfn.XLOOKUP($AM470, Discretionaries!$A$2:'Discretionaries'!$A$150, Discretionaries!$B$2:'Discretionaries'!$B$150)),AS470-$Q470,"")</f>
        <v/>
      </c>
    </row>
    <row r="471" spans="1:46" x14ac:dyDescent="0.3">
      <c r="A471" t="s">
        <v>443</v>
      </c>
      <c r="B471" t="str">
        <f t="shared" si="175"/>
        <v>30</v>
      </c>
      <c r="C471" t="s">
        <v>408</v>
      </c>
      <c r="D471" t="str">
        <f t="shared" si="176"/>
        <v>00</v>
      </c>
      <c r="E471" t="s">
        <v>30</v>
      </c>
      <c r="F471" s="139" t="s">
        <v>137</v>
      </c>
      <c r="G471" t="s">
        <v>138</v>
      </c>
      <c r="H471" s="156">
        <v>9000</v>
      </c>
      <c r="I471" s="156">
        <v>9363.33</v>
      </c>
      <c r="J471" s="156">
        <v>9000</v>
      </c>
      <c r="K471" s="156">
        <v>17677.669999999998</v>
      </c>
      <c r="L471" s="156">
        <v>10000</v>
      </c>
      <c r="M471" s="156">
        <v>21706.18</v>
      </c>
      <c r="N471" s="156">
        <v>15000</v>
      </c>
      <c r="O471" s="156">
        <v>17000</v>
      </c>
      <c r="P471" s="156">
        <v>17000</v>
      </c>
      <c r="Q471" s="156">
        <v>17000</v>
      </c>
      <c r="R471" s="156">
        <v>15000</v>
      </c>
      <c r="S471" s="156">
        <f t="shared" si="177"/>
        <v>2000</v>
      </c>
      <c r="T471" s="156">
        <f t="shared" si="178"/>
        <v>2000</v>
      </c>
      <c r="U471" s="140">
        <f t="shared" si="179"/>
        <v>0.13333333333333333</v>
      </c>
      <c r="V471" s="140">
        <f t="shared" si="180"/>
        <v>4.0369999999999989E-2</v>
      </c>
      <c r="W471" s="140">
        <f t="shared" si="181"/>
        <v>0.96418555555555541</v>
      </c>
      <c r="X471" s="140">
        <f t="shared" si="182"/>
        <v>1.1706179999999999</v>
      </c>
      <c r="Y471" s="140">
        <f t="shared" si="183"/>
        <v>0</v>
      </c>
      <c r="Z471" s="140">
        <f t="shared" si="184"/>
        <v>0.8879682762436012</v>
      </c>
      <c r="AA471" s="140">
        <f t="shared" si="185"/>
        <v>0.1111111111111111</v>
      </c>
      <c r="AB471" s="140">
        <f t="shared" si="186"/>
        <v>0.22788693306301128</v>
      </c>
      <c r="AC471" s="140">
        <f t="shared" si="187"/>
        <v>0.5</v>
      </c>
      <c r="AD471" s="140">
        <f t="shared" si="188"/>
        <v>0.66666666666666663</v>
      </c>
      <c r="AE471" s="140">
        <f t="shared" si="189"/>
        <v>0.13333333333333333</v>
      </c>
      <c r="AF471" s="140">
        <f t="shared" si="190"/>
        <v>0.13333333333333333</v>
      </c>
      <c r="AG471" s="140">
        <f t="shared" si="191"/>
        <v>0.13333333333333333</v>
      </c>
      <c r="AH471" s="140">
        <f t="shared" si="192"/>
        <v>0</v>
      </c>
      <c r="AI471" s="140">
        <f t="shared" si="193"/>
        <v>0.88888888888888884</v>
      </c>
      <c r="AJ471" s="140">
        <f t="shared" si="194"/>
        <v>0.88888888888888884</v>
      </c>
      <c r="AK471" s="140">
        <f t="shared" si="195"/>
        <v>0.88888888888888884</v>
      </c>
      <c r="AL471" s="140">
        <f t="shared" si="196"/>
        <v>0.66666666666666663</v>
      </c>
      <c r="AM471" t="str">
        <f t="shared" si="197"/>
        <v>4630-000: Maint &amp; repairs Supplies</v>
      </c>
      <c r="AN471" s="140">
        <f t="shared" si="198"/>
        <v>0.20370370370370372</v>
      </c>
      <c r="AO471" s="140">
        <f t="shared" si="199"/>
        <v>-7.0370370370370389E-2</v>
      </c>
      <c r="AP471" s="1" t="str">
        <f>IF(AND(AO471&gt;0, _xlfn.XLOOKUP($AM471, Discretionaries!$A$2:'Discretionaries'!$A$150, Discretionaries!$B$2:'Discretionaries'!$B$150)), (1+AN471)*$N471, "")</f>
        <v/>
      </c>
      <c r="AQ471" s="1" t="str">
        <f>IF(AND(AO471&gt;0, _xlfn.XLOOKUP($AM471, Discretionaries!$A$2:'Discretionaries'!$A$150, Discretionaries!$B$2:'Discretionaries'!$B$150)),AP471-$Q471,"")</f>
        <v/>
      </c>
      <c r="AR471" s="140">
        <f>IF(AG471="", 0-CPI!$B$15, AG471-CPI!$B$15)</f>
        <v>9.4333333333333338E-2</v>
      </c>
      <c r="AS471" s="1">
        <f>IF(AND(AR471&gt;0, _xlfn.XLOOKUP($AM471, Discretionaries!$A$2:'Discretionaries'!$A$150, Discretionaries!$B$2:'Discretionaries'!$B$150)), (1+CPI!$B$15)*$N471, "")</f>
        <v>15584.999999999998</v>
      </c>
      <c r="AT471" s="1">
        <f>IF(AND(AR471&gt;0, _xlfn.XLOOKUP($AM471, Discretionaries!$A$2:'Discretionaries'!$A$150, Discretionaries!$B$2:'Discretionaries'!$B$150)),AS471-$Q471,"")</f>
        <v>-1415.0000000000018</v>
      </c>
    </row>
    <row r="472" spans="1:46" x14ac:dyDescent="0.3">
      <c r="A472" t="s">
        <v>443</v>
      </c>
      <c r="B472" t="str">
        <f t="shared" si="175"/>
        <v>30</v>
      </c>
      <c r="C472" t="s">
        <v>408</v>
      </c>
      <c r="D472" t="str">
        <f t="shared" si="176"/>
        <v>00</v>
      </c>
      <c r="E472" t="s">
        <v>30</v>
      </c>
      <c r="F472" s="139" t="s">
        <v>170</v>
      </c>
      <c r="G472" t="s">
        <v>171</v>
      </c>
      <c r="H472" s="156">
        <v>0</v>
      </c>
      <c r="I472" s="156">
        <v>0</v>
      </c>
      <c r="J472" s="156">
        <v>0</v>
      </c>
      <c r="K472" s="156">
        <v>0</v>
      </c>
      <c r="L472" s="156">
        <v>0</v>
      </c>
      <c r="M472" s="156">
        <v>0</v>
      </c>
      <c r="N472" s="156">
        <v>2000</v>
      </c>
      <c r="O472" s="156">
        <v>2000</v>
      </c>
      <c r="P472" s="156">
        <v>2000</v>
      </c>
      <c r="Q472" s="156">
        <v>2000</v>
      </c>
      <c r="R472" s="156">
        <v>2000</v>
      </c>
      <c r="S472" s="156">
        <f t="shared" si="177"/>
        <v>0</v>
      </c>
      <c r="T472" s="156">
        <f t="shared" si="178"/>
        <v>0</v>
      </c>
      <c r="U472" s="140">
        <f t="shared" si="179"/>
        <v>0</v>
      </c>
      <c r="V472" s="140" t="str">
        <f t="shared" si="180"/>
        <v/>
      </c>
      <c r="W472" s="140" t="str">
        <f t="shared" si="181"/>
        <v/>
      </c>
      <c r="X472" s="140" t="str">
        <f t="shared" si="182"/>
        <v/>
      </c>
      <c r="Y472" s="140" t="str">
        <f t="shared" si="183"/>
        <v/>
      </c>
      <c r="Z472" s="140" t="str">
        <f t="shared" si="184"/>
        <v/>
      </c>
      <c r="AA472" s="140" t="str">
        <f t="shared" si="185"/>
        <v/>
      </c>
      <c r="AB472" s="140" t="str">
        <f t="shared" si="186"/>
        <v/>
      </c>
      <c r="AC472" s="140" t="str">
        <f t="shared" si="187"/>
        <v/>
      </c>
      <c r="AD472" s="140" t="str">
        <f t="shared" si="188"/>
        <v/>
      </c>
      <c r="AE472" s="140">
        <f t="shared" si="189"/>
        <v>0</v>
      </c>
      <c r="AF472" s="140">
        <f t="shared" si="190"/>
        <v>0</v>
      </c>
      <c r="AG472" s="140">
        <f t="shared" si="191"/>
        <v>0</v>
      </c>
      <c r="AH472" s="140">
        <f t="shared" si="192"/>
        <v>0</v>
      </c>
      <c r="AI472" s="140" t="str">
        <f t="shared" si="193"/>
        <v/>
      </c>
      <c r="AJ472" s="140" t="str">
        <f t="shared" si="194"/>
        <v/>
      </c>
      <c r="AK472" s="140" t="str">
        <f t="shared" si="195"/>
        <v/>
      </c>
      <c r="AL472" s="140" t="str">
        <f t="shared" si="196"/>
        <v/>
      </c>
      <c r="AM472" t="str">
        <f t="shared" si="197"/>
        <v>4660-000: Vehicle repairs Supplies</v>
      </c>
      <c r="AN472" s="140">
        <f t="shared" si="198"/>
        <v>0</v>
      </c>
      <c r="AO472" s="140">
        <f t="shared" si="199"/>
        <v>0</v>
      </c>
      <c r="AP472" s="1" t="str">
        <f>IF(AND(AO472&gt;0, _xlfn.XLOOKUP($AM472, Discretionaries!$A$2:'Discretionaries'!$A$150, Discretionaries!$B$2:'Discretionaries'!$B$150)), (1+AN472)*$N472, "")</f>
        <v/>
      </c>
      <c r="AQ472" s="1" t="str">
        <f>IF(AND(AO472&gt;0, _xlfn.XLOOKUP($AM472, Discretionaries!$A$2:'Discretionaries'!$A$150, Discretionaries!$B$2:'Discretionaries'!$B$150)),AP472-$Q472,"")</f>
        <v/>
      </c>
      <c r="AR472" s="140">
        <f>IF(AG472="", 0-CPI!$B$15, AG472-CPI!$B$15)</f>
        <v>-3.8999999999999993E-2</v>
      </c>
      <c r="AS472" s="1" t="str">
        <f>IF(AND(AR472&gt;0, _xlfn.XLOOKUP($AM472, Discretionaries!$A$2:'Discretionaries'!$A$150, Discretionaries!$B$2:'Discretionaries'!$B$150)), (1+CPI!$B$15)*$N472, "")</f>
        <v/>
      </c>
      <c r="AT472" s="1" t="str">
        <f>IF(AND(AR472&gt;0, _xlfn.XLOOKUP($AM472, Discretionaries!$A$2:'Discretionaries'!$A$150, Discretionaries!$B$2:'Discretionaries'!$B$150)),AS472-$Q472,"")</f>
        <v/>
      </c>
    </row>
    <row r="473" spans="1:46" x14ac:dyDescent="0.3">
      <c r="A473" t="s">
        <v>443</v>
      </c>
      <c r="B473" t="str">
        <f t="shared" si="175"/>
        <v>30</v>
      </c>
      <c r="C473" t="s">
        <v>408</v>
      </c>
      <c r="D473" t="str">
        <f t="shared" si="176"/>
        <v>00</v>
      </c>
      <c r="E473" t="s">
        <v>54</v>
      </c>
      <c r="F473" s="139" t="s">
        <v>114</v>
      </c>
      <c r="G473" t="s">
        <v>115</v>
      </c>
      <c r="H473" s="156">
        <v>5000</v>
      </c>
      <c r="I473" s="156">
        <v>21515.71</v>
      </c>
      <c r="J473" s="156">
        <v>5000</v>
      </c>
      <c r="K473" s="156">
        <v>6603.4</v>
      </c>
      <c r="L473" s="156">
        <v>5000</v>
      </c>
      <c r="M473" s="156">
        <v>3916.81</v>
      </c>
      <c r="N473" s="156">
        <v>5000</v>
      </c>
      <c r="O473" s="156">
        <v>16000</v>
      </c>
      <c r="P473" s="156">
        <v>16000</v>
      </c>
      <c r="Q473" s="156">
        <v>16000</v>
      </c>
      <c r="R473" s="156">
        <v>5000</v>
      </c>
      <c r="S473" s="156">
        <f t="shared" si="177"/>
        <v>11000</v>
      </c>
      <c r="T473" s="156">
        <f t="shared" si="178"/>
        <v>11000</v>
      </c>
      <c r="U473" s="140">
        <f t="shared" si="179"/>
        <v>2.2000000000000002</v>
      </c>
      <c r="V473" s="140">
        <f t="shared" si="180"/>
        <v>3.3031419999999998</v>
      </c>
      <c r="W473" s="140">
        <f t="shared" si="181"/>
        <v>0.32067999999999991</v>
      </c>
      <c r="X473" s="140">
        <f t="shared" si="182"/>
        <v>-0.216638</v>
      </c>
      <c r="Y473" s="140">
        <f t="shared" si="183"/>
        <v>0</v>
      </c>
      <c r="Z473" s="140">
        <f t="shared" si="184"/>
        <v>-0.69308937515889557</v>
      </c>
      <c r="AA473" s="140">
        <f t="shared" si="185"/>
        <v>0</v>
      </c>
      <c r="AB473" s="140">
        <f t="shared" si="186"/>
        <v>-0.4068495017718145</v>
      </c>
      <c r="AC473" s="140">
        <f t="shared" si="187"/>
        <v>0</v>
      </c>
      <c r="AD473" s="140">
        <f t="shared" si="188"/>
        <v>0</v>
      </c>
      <c r="AE473" s="140">
        <f t="shared" si="189"/>
        <v>2.2000000000000002</v>
      </c>
      <c r="AF473" s="140">
        <f t="shared" si="190"/>
        <v>2.2000000000000002</v>
      </c>
      <c r="AG473" s="140">
        <f t="shared" si="191"/>
        <v>2.2000000000000002</v>
      </c>
      <c r="AH473" s="140">
        <f t="shared" si="192"/>
        <v>0</v>
      </c>
      <c r="AI473" s="140">
        <f t="shared" si="193"/>
        <v>2.2000000000000002</v>
      </c>
      <c r="AJ473" s="140">
        <f t="shared" si="194"/>
        <v>2.2000000000000002</v>
      </c>
      <c r="AK473" s="140">
        <f t="shared" si="195"/>
        <v>2.2000000000000002</v>
      </c>
      <c r="AL473" s="140">
        <f t="shared" si="196"/>
        <v>0</v>
      </c>
      <c r="AM473" t="str">
        <f t="shared" si="197"/>
        <v>4740-000: Mach &amp; equip Property</v>
      </c>
      <c r="AN473" s="140">
        <f t="shared" si="198"/>
        <v>0</v>
      </c>
      <c r="AO473" s="140">
        <f t="shared" si="199"/>
        <v>2.2000000000000002</v>
      </c>
      <c r="AP473" s="1">
        <f>IF(AND(AO473&gt;0, _xlfn.XLOOKUP($AM473, Discretionaries!$A$2:'Discretionaries'!$A$150, Discretionaries!$B$2:'Discretionaries'!$B$150)), (1+AN473)*$N473, "")</f>
        <v>5000</v>
      </c>
      <c r="AQ473" s="1">
        <f>IF(AND(AO473&gt;0, _xlfn.XLOOKUP($AM473, Discretionaries!$A$2:'Discretionaries'!$A$150, Discretionaries!$B$2:'Discretionaries'!$B$150)),AP473-$Q473,"")</f>
        <v>-11000</v>
      </c>
      <c r="AR473" s="140">
        <f>IF(AG473="", 0-CPI!$B$15, AG473-CPI!$B$15)</f>
        <v>2.161</v>
      </c>
      <c r="AS473" s="1">
        <f>IF(AND(AR473&gt;0, _xlfn.XLOOKUP($AM473, Discretionaries!$A$2:'Discretionaries'!$A$150, Discretionaries!$B$2:'Discretionaries'!$B$150)), (1+CPI!$B$15)*$N473, "")</f>
        <v>5195</v>
      </c>
      <c r="AT473" s="1">
        <f>IF(AND(AR473&gt;0, _xlfn.XLOOKUP($AM473, Discretionaries!$A$2:'Discretionaries'!$A$150, Discretionaries!$B$2:'Discretionaries'!$B$150)),AS473-$Q473,"")</f>
        <v>-10805</v>
      </c>
    </row>
    <row r="474" spans="1:46" x14ac:dyDescent="0.3">
      <c r="A474" t="s">
        <v>443</v>
      </c>
      <c r="B474" t="str">
        <f t="shared" si="175"/>
        <v>30</v>
      </c>
      <c r="C474" t="s">
        <v>408</v>
      </c>
      <c r="D474" t="str">
        <f t="shared" si="176"/>
        <v>00</v>
      </c>
      <c r="E474" t="s">
        <v>54</v>
      </c>
      <c r="F474" s="139" t="s">
        <v>368</v>
      </c>
      <c r="G474" t="s">
        <v>369</v>
      </c>
      <c r="H474" s="156">
        <v>0</v>
      </c>
      <c r="I474" s="156">
        <v>0</v>
      </c>
      <c r="J474" s="156">
        <v>0</v>
      </c>
      <c r="K474" s="156">
        <v>0</v>
      </c>
      <c r="L474" s="156">
        <v>0</v>
      </c>
      <c r="M474" s="156">
        <v>0</v>
      </c>
      <c r="N474" s="156">
        <v>8500</v>
      </c>
      <c r="O474" s="156">
        <v>7000</v>
      </c>
      <c r="P474" s="156">
        <v>7000</v>
      </c>
      <c r="Q474" s="156">
        <v>7000</v>
      </c>
      <c r="R474" s="156">
        <v>8500</v>
      </c>
      <c r="S474" s="156">
        <f t="shared" si="177"/>
        <v>-1500</v>
      </c>
      <c r="T474" s="156">
        <f t="shared" si="178"/>
        <v>-1500</v>
      </c>
      <c r="U474" s="140">
        <f t="shared" si="179"/>
        <v>-0.17647058823529413</v>
      </c>
      <c r="V474" s="140" t="str">
        <f t="shared" si="180"/>
        <v/>
      </c>
      <c r="W474" s="140" t="str">
        <f t="shared" si="181"/>
        <v/>
      </c>
      <c r="X474" s="140" t="str">
        <f t="shared" si="182"/>
        <v/>
      </c>
      <c r="Y474" s="140" t="str">
        <f t="shared" si="183"/>
        <v/>
      </c>
      <c r="Z474" s="140" t="str">
        <f t="shared" si="184"/>
        <v/>
      </c>
      <c r="AA474" s="140" t="str">
        <f t="shared" si="185"/>
        <v/>
      </c>
      <c r="AB474" s="140" t="str">
        <f t="shared" si="186"/>
        <v/>
      </c>
      <c r="AC474" s="140" t="str">
        <f t="shared" si="187"/>
        <v/>
      </c>
      <c r="AD474" s="140" t="str">
        <f t="shared" si="188"/>
        <v/>
      </c>
      <c r="AE474" s="140">
        <f t="shared" si="189"/>
        <v>-0.17647058823529413</v>
      </c>
      <c r="AF474" s="140">
        <f t="shared" si="190"/>
        <v>-0.17647058823529413</v>
      </c>
      <c r="AG474" s="140">
        <f t="shared" si="191"/>
        <v>-0.17647058823529413</v>
      </c>
      <c r="AH474" s="140">
        <f t="shared" si="192"/>
        <v>0</v>
      </c>
      <c r="AI474" s="140" t="str">
        <f t="shared" si="193"/>
        <v/>
      </c>
      <c r="AJ474" s="140" t="str">
        <f t="shared" si="194"/>
        <v/>
      </c>
      <c r="AK474" s="140" t="str">
        <f t="shared" si="195"/>
        <v/>
      </c>
      <c r="AL474" s="140" t="str">
        <f t="shared" si="196"/>
        <v/>
      </c>
      <c r="AM474" t="str">
        <f t="shared" si="197"/>
        <v>4741-000: Department Specialized Equipment</v>
      </c>
      <c r="AN474" s="140">
        <f t="shared" si="198"/>
        <v>0</v>
      </c>
      <c r="AO474" s="140">
        <f t="shared" si="199"/>
        <v>-0.17647058823529413</v>
      </c>
      <c r="AP474" s="1" t="str">
        <f>IF(AND(AO474&gt;0, _xlfn.XLOOKUP($AM474, Discretionaries!$A$2:'Discretionaries'!$A$150, Discretionaries!$B$2:'Discretionaries'!$B$150)), (1+AN474)*$N474, "")</f>
        <v/>
      </c>
      <c r="AQ474" s="1" t="str">
        <f>IF(AND(AO474&gt;0, _xlfn.XLOOKUP($AM474, Discretionaries!$A$2:'Discretionaries'!$A$150, Discretionaries!$B$2:'Discretionaries'!$B$150)),AP474-$Q474,"")</f>
        <v/>
      </c>
      <c r="AR474" s="140">
        <f>IF(AG474="", 0-CPI!$B$15, AG474-CPI!$B$15)</f>
        <v>-0.21547058823529414</v>
      </c>
      <c r="AS474" s="1" t="str">
        <f>IF(AND(AR474&gt;0, _xlfn.XLOOKUP($AM474, Discretionaries!$A$2:'Discretionaries'!$A$150, Discretionaries!$B$2:'Discretionaries'!$B$150)), (1+CPI!$B$15)*$N474, "")</f>
        <v/>
      </c>
      <c r="AT474" s="1" t="str">
        <f>IF(AND(AR474&gt;0, _xlfn.XLOOKUP($AM474, Discretionaries!$A$2:'Discretionaries'!$A$150, Discretionaries!$B$2:'Discretionaries'!$B$150)),AS474-$Q474,"")</f>
        <v/>
      </c>
    </row>
    <row r="475" spans="1:46" x14ac:dyDescent="0.3">
      <c r="A475" t="s">
        <v>443</v>
      </c>
      <c r="B475" t="str">
        <f t="shared" si="175"/>
        <v>30</v>
      </c>
      <c r="C475" t="s">
        <v>408</v>
      </c>
      <c r="D475" t="str">
        <f t="shared" si="176"/>
        <v>00</v>
      </c>
      <c r="E475" t="s">
        <v>172</v>
      </c>
      <c r="F475" s="139" t="s">
        <v>370</v>
      </c>
      <c r="G475" t="s">
        <v>371</v>
      </c>
      <c r="H475" s="156">
        <v>600</v>
      </c>
      <c r="I475" s="156">
        <v>206.91</v>
      </c>
      <c r="J475" s="156">
        <v>600</v>
      </c>
      <c r="K475" s="156">
        <v>0</v>
      </c>
      <c r="L475" s="156">
        <v>600</v>
      </c>
      <c r="M475" s="156">
        <v>0</v>
      </c>
      <c r="N475" s="156">
        <v>600</v>
      </c>
      <c r="O475" s="156">
        <v>0</v>
      </c>
      <c r="P475" s="156">
        <v>0</v>
      </c>
      <c r="Q475" s="156">
        <v>0</v>
      </c>
      <c r="R475" s="156">
        <v>600</v>
      </c>
      <c r="S475" s="156">
        <f t="shared" si="177"/>
        <v>-600</v>
      </c>
      <c r="T475" s="156">
        <f t="shared" si="178"/>
        <v>-600</v>
      </c>
      <c r="U475" s="140">
        <f t="shared" si="179"/>
        <v>-1</v>
      </c>
      <c r="V475" s="140">
        <f t="shared" si="180"/>
        <v>-0.65515000000000001</v>
      </c>
      <c r="W475" s="140">
        <f t="shared" si="181"/>
        <v>-1</v>
      </c>
      <c r="X475" s="140">
        <f t="shared" si="182"/>
        <v>-1</v>
      </c>
      <c r="Y475" s="140">
        <f t="shared" si="183"/>
        <v>0</v>
      </c>
      <c r="Z475" s="140">
        <f t="shared" si="184"/>
        <v>-1</v>
      </c>
      <c r="AA475" s="140">
        <f t="shared" si="185"/>
        <v>0</v>
      </c>
      <c r="AB475" s="140" t="str">
        <f t="shared" si="186"/>
        <v/>
      </c>
      <c r="AC475" s="140">
        <f t="shared" si="187"/>
        <v>0</v>
      </c>
      <c r="AD475" s="140">
        <f t="shared" si="188"/>
        <v>0</v>
      </c>
      <c r="AE475" s="140">
        <f t="shared" si="189"/>
        <v>-1</v>
      </c>
      <c r="AF475" s="140">
        <f t="shared" si="190"/>
        <v>-1</v>
      </c>
      <c r="AG475" s="140">
        <f t="shared" si="191"/>
        <v>-1</v>
      </c>
      <c r="AH475" s="140">
        <f t="shared" si="192"/>
        <v>0</v>
      </c>
      <c r="AI475" s="140">
        <f t="shared" si="193"/>
        <v>-1</v>
      </c>
      <c r="AJ475" s="140">
        <f t="shared" si="194"/>
        <v>-1</v>
      </c>
      <c r="AK475" s="140">
        <f t="shared" si="195"/>
        <v>-1</v>
      </c>
      <c r="AL475" s="140">
        <f t="shared" si="196"/>
        <v>0</v>
      </c>
      <c r="AM475" t="str">
        <f t="shared" si="197"/>
        <v>4821-000: Adult programs Other</v>
      </c>
      <c r="AN475" s="140">
        <f t="shared" si="198"/>
        <v>0</v>
      </c>
      <c r="AO475" s="140">
        <f t="shared" si="199"/>
        <v>-1</v>
      </c>
      <c r="AP475" s="1" t="str">
        <f>IF(AND(AO475&gt;0, _xlfn.XLOOKUP($AM475, Discretionaries!$A$2:'Discretionaries'!$A$150, Discretionaries!$B$2:'Discretionaries'!$B$150)), (1+AN475)*$N475, "")</f>
        <v/>
      </c>
      <c r="AQ475" s="1" t="str">
        <f>IF(AND(AO475&gt;0, _xlfn.XLOOKUP($AM475, Discretionaries!$A$2:'Discretionaries'!$A$150, Discretionaries!$B$2:'Discretionaries'!$B$150)),AP475-$Q475,"")</f>
        <v/>
      </c>
      <c r="AR475" s="140">
        <f>IF(AG475="", 0-CPI!$B$15, AG475-CPI!$B$15)</f>
        <v>-1.0389999999999999</v>
      </c>
      <c r="AS475" s="1" t="str">
        <f>IF(AND(AR475&gt;0, _xlfn.XLOOKUP($AM475, Discretionaries!$A$2:'Discretionaries'!$A$150, Discretionaries!$B$2:'Discretionaries'!$B$150)), (1+CPI!$B$15)*$N475, "")</f>
        <v/>
      </c>
      <c r="AT475" s="1" t="str">
        <f>IF(AND(AR475&gt;0, _xlfn.XLOOKUP($AM475, Discretionaries!$A$2:'Discretionaries'!$A$150, Discretionaries!$B$2:'Discretionaries'!$B$150)),AS475-$Q475,"")</f>
        <v/>
      </c>
    </row>
    <row r="476" spans="1:46" x14ac:dyDescent="0.3">
      <c r="A476" t="s">
        <v>443</v>
      </c>
      <c r="B476" t="str">
        <f t="shared" si="175"/>
        <v>30</v>
      </c>
      <c r="C476" t="s">
        <v>408</v>
      </c>
      <c r="D476" t="str">
        <f t="shared" si="176"/>
        <v>00</v>
      </c>
      <c r="E476" t="s">
        <v>172</v>
      </c>
      <c r="F476" s="139" t="s">
        <v>372</v>
      </c>
      <c r="G476" t="s">
        <v>373</v>
      </c>
      <c r="H476" s="156">
        <v>1000</v>
      </c>
      <c r="I476" s="156">
        <v>451.05</v>
      </c>
      <c r="J476" s="156">
        <v>1000</v>
      </c>
      <c r="K476" s="156">
        <v>712.81</v>
      </c>
      <c r="L476" s="156">
        <v>1500</v>
      </c>
      <c r="M476" s="156">
        <v>159.26</v>
      </c>
      <c r="N476" s="156">
        <v>1500</v>
      </c>
      <c r="O476" s="156">
        <v>0</v>
      </c>
      <c r="P476" s="156">
        <v>0</v>
      </c>
      <c r="Q476" s="156">
        <v>0</v>
      </c>
      <c r="R476" s="156">
        <v>1500</v>
      </c>
      <c r="S476" s="156">
        <f t="shared" si="177"/>
        <v>-1500</v>
      </c>
      <c r="T476" s="156">
        <f t="shared" si="178"/>
        <v>-1500</v>
      </c>
      <c r="U476" s="140">
        <f t="shared" si="179"/>
        <v>-1</v>
      </c>
      <c r="V476" s="140">
        <f t="shared" si="180"/>
        <v>-0.54895000000000005</v>
      </c>
      <c r="W476" s="140">
        <f t="shared" si="181"/>
        <v>-0.28719000000000006</v>
      </c>
      <c r="X476" s="140">
        <f t="shared" si="182"/>
        <v>-0.89382666666666666</v>
      </c>
      <c r="Y476" s="140">
        <f t="shared" si="183"/>
        <v>0</v>
      </c>
      <c r="Z476" s="140">
        <f t="shared" si="184"/>
        <v>0.58033477441525316</v>
      </c>
      <c r="AA476" s="140">
        <f t="shared" si="185"/>
        <v>0.5</v>
      </c>
      <c r="AB476" s="140">
        <f t="shared" si="186"/>
        <v>-0.7765744027160113</v>
      </c>
      <c r="AC476" s="140">
        <f t="shared" si="187"/>
        <v>0</v>
      </c>
      <c r="AD476" s="140">
        <f t="shared" si="188"/>
        <v>0.5</v>
      </c>
      <c r="AE476" s="140">
        <f t="shared" si="189"/>
        <v>-1</v>
      </c>
      <c r="AF476" s="140">
        <f t="shared" si="190"/>
        <v>-1</v>
      </c>
      <c r="AG476" s="140">
        <f t="shared" si="191"/>
        <v>-1</v>
      </c>
      <c r="AH476" s="140">
        <f t="shared" si="192"/>
        <v>0</v>
      </c>
      <c r="AI476" s="140">
        <f t="shared" si="193"/>
        <v>-1</v>
      </c>
      <c r="AJ476" s="140">
        <f t="shared" si="194"/>
        <v>-1</v>
      </c>
      <c r="AK476" s="140">
        <f t="shared" si="195"/>
        <v>-1</v>
      </c>
      <c r="AL476" s="140">
        <f t="shared" si="196"/>
        <v>0.5</v>
      </c>
      <c r="AM476" t="str">
        <f t="shared" si="197"/>
        <v>4823-000: Summer programs Other</v>
      </c>
      <c r="AN476" s="140">
        <f t="shared" si="198"/>
        <v>0.16666666666666666</v>
      </c>
      <c r="AO476" s="140">
        <f t="shared" si="199"/>
        <v>-1.1666666666666667</v>
      </c>
      <c r="AP476" s="1" t="str">
        <f>IF(AND(AO476&gt;0, _xlfn.XLOOKUP($AM476, Discretionaries!$A$2:'Discretionaries'!$A$150, Discretionaries!$B$2:'Discretionaries'!$B$150)), (1+AN476)*$N476, "")</f>
        <v/>
      </c>
      <c r="AQ476" s="1" t="str">
        <f>IF(AND(AO476&gt;0, _xlfn.XLOOKUP($AM476, Discretionaries!$A$2:'Discretionaries'!$A$150, Discretionaries!$B$2:'Discretionaries'!$B$150)),AP476-$Q476,"")</f>
        <v/>
      </c>
      <c r="AR476" s="140">
        <f>IF(AG476="", 0-CPI!$B$15, AG476-CPI!$B$15)</f>
        <v>-1.0389999999999999</v>
      </c>
      <c r="AS476" s="1" t="str">
        <f>IF(AND(AR476&gt;0, _xlfn.XLOOKUP($AM476, Discretionaries!$A$2:'Discretionaries'!$A$150, Discretionaries!$B$2:'Discretionaries'!$B$150)), (1+CPI!$B$15)*$N476, "")</f>
        <v/>
      </c>
      <c r="AT476" s="1" t="str">
        <f>IF(AND(AR476&gt;0, _xlfn.XLOOKUP($AM476, Discretionaries!$A$2:'Discretionaries'!$A$150, Discretionaries!$B$2:'Discretionaries'!$B$150)),AS476-$Q476,"")</f>
        <v/>
      </c>
    </row>
    <row r="477" spans="1:46" x14ac:dyDescent="0.3">
      <c r="A477" t="s">
        <v>443</v>
      </c>
      <c r="B477" t="str">
        <f t="shared" si="175"/>
        <v>30</v>
      </c>
      <c r="C477" t="s">
        <v>408</v>
      </c>
      <c r="D477" t="str">
        <f t="shared" si="176"/>
        <v>00</v>
      </c>
      <c r="E477" t="s">
        <v>172</v>
      </c>
      <c r="F477" s="139" t="s">
        <v>362</v>
      </c>
      <c r="G477" t="s">
        <v>363</v>
      </c>
      <c r="H477" s="156">
        <v>0</v>
      </c>
      <c r="I477" s="156">
        <v>0</v>
      </c>
      <c r="J477" s="156">
        <v>0</v>
      </c>
      <c r="K477" s="156">
        <v>0</v>
      </c>
      <c r="L477" s="156">
        <v>500</v>
      </c>
      <c r="M477" s="156">
        <v>0</v>
      </c>
      <c r="N477" s="156">
        <v>500</v>
      </c>
      <c r="O477" s="156">
        <v>0</v>
      </c>
      <c r="P477" s="156">
        <v>0</v>
      </c>
      <c r="Q477" s="156">
        <v>0</v>
      </c>
      <c r="R477" s="156">
        <v>500</v>
      </c>
      <c r="S477" s="156">
        <f t="shared" si="177"/>
        <v>-500</v>
      </c>
      <c r="T477" s="156">
        <f t="shared" si="178"/>
        <v>-500</v>
      </c>
      <c r="U477" s="140">
        <f t="shared" si="179"/>
        <v>-1</v>
      </c>
      <c r="V477" s="140" t="str">
        <f t="shared" si="180"/>
        <v/>
      </c>
      <c r="W477" s="140" t="str">
        <f t="shared" si="181"/>
        <v/>
      </c>
      <c r="X477" s="140">
        <f t="shared" si="182"/>
        <v>-1</v>
      </c>
      <c r="Y477" s="140" t="str">
        <f t="shared" si="183"/>
        <v/>
      </c>
      <c r="Z477" s="140" t="str">
        <f t="shared" si="184"/>
        <v/>
      </c>
      <c r="AA477" s="140" t="str">
        <f t="shared" si="185"/>
        <v/>
      </c>
      <c r="AB477" s="140" t="str">
        <f t="shared" si="186"/>
        <v/>
      </c>
      <c r="AC477" s="140">
        <f t="shared" si="187"/>
        <v>0</v>
      </c>
      <c r="AD477" s="140" t="str">
        <f t="shared" si="188"/>
        <v/>
      </c>
      <c r="AE477" s="140">
        <f t="shared" si="189"/>
        <v>-1</v>
      </c>
      <c r="AF477" s="140">
        <f t="shared" si="190"/>
        <v>-1</v>
      </c>
      <c r="AG477" s="140">
        <f t="shared" si="191"/>
        <v>-1</v>
      </c>
      <c r="AH477" s="140">
        <f t="shared" si="192"/>
        <v>0</v>
      </c>
      <c r="AI477" s="140" t="str">
        <f t="shared" si="193"/>
        <v/>
      </c>
      <c r="AJ477" s="140" t="str">
        <f t="shared" si="194"/>
        <v/>
      </c>
      <c r="AK477" s="140" t="str">
        <f t="shared" si="195"/>
        <v/>
      </c>
      <c r="AL477" s="140" t="str">
        <f t="shared" si="196"/>
        <v/>
      </c>
      <c r="AM477" t="str">
        <f t="shared" si="197"/>
        <v>4824-000: Programs Other</v>
      </c>
      <c r="AN477" s="140">
        <f t="shared" si="198"/>
        <v>0</v>
      </c>
      <c r="AO477" s="140">
        <f t="shared" si="199"/>
        <v>-1</v>
      </c>
      <c r="AP477" s="1" t="str">
        <f>IF(AND(AO477&gt;0, _xlfn.XLOOKUP($AM477, Discretionaries!$A$2:'Discretionaries'!$A$150, Discretionaries!$B$2:'Discretionaries'!$B$150)), (1+AN477)*$N477, "")</f>
        <v/>
      </c>
      <c r="AQ477" s="1" t="str">
        <f>IF(AND(AO477&gt;0, _xlfn.XLOOKUP($AM477, Discretionaries!$A$2:'Discretionaries'!$A$150, Discretionaries!$B$2:'Discretionaries'!$B$150)),AP477-$Q477,"")</f>
        <v/>
      </c>
      <c r="AR477" s="140">
        <f>IF(AG477="", 0-CPI!$B$15, AG477-CPI!$B$15)</f>
        <v>-1.0389999999999999</v>
      </c>
      <c r="AS477" s="1" t="str">
        <f>IF(AND(AR477&gt;0, _xlfn.XLOOKUP($AM477, Discretionaries!$A$2:'Discretionaries'!$A$150, Discretionaries!$B$2:'Discretionaries'!$B$150)), (1+CPI!$B$15)*$N477, "")</f>
        <v/>
      </c>
      <c r="AT477" s="1" t="str">
        <f>IF(AND(AR477&gt;0, _xlfn.XLOOKUP($AM477, Discretionaries!$A$2:'Discretionaries'!$A$150, Discretionaries!$B$2:'Discretionaries'!$B$150)),AS477-$Q477,"")</f>
        <v/>
      </c>
    </row>
    <row r="478" spans="1:46" x14ac:dyDescent="0.3">
      <c r="A478" t="s">
        <v>444</v>
      </c>
      <c r="B478" t="str">
        <f t="shared" si="175"/>
        <v>31</v>
      </c>
      <c r="C478" t="s">
        <v>408</v>
      </c>
      <c r="D478" t="str">
        <f t="shared" si="176"/>
        <v>00</v>
      </c>
      <c r="E478" t="s">
        <v>11</v>
      </c>
      <c r="F478" s="139" t="s">
        <v>35</v>
      </c>
      <c r="G478" t="s">
        <v>36</v>
      </c>
      <c r="H478" s="156">
        <v>574030</v>
      </c>
      <c r="I478" s="156">
        <v>476518.64</v>
      </c>
      <c r="J478" s="156">
        <v>626814</v>
      </c>
      <c r="K478" s="156">
        <v>608825.15</v>
      </c>
      <c r="L478" s="156">
        <v>664129</v>
      </c>
      <c r="M478" s="156">
        <v>651604.89</v>
      </c>
      <c r="N478" s="156">
        <v>685884</v>
      </c>
      <c r="O478" s="156">
        <v>707974</v>
      </c>
      <c r="P478" s="156">
        <v>707974</v>
      </c>
      <c r="Q478" s="156">
        <v>707974</v>
      </c>
      <c r="R478" s="156">
        <v>707974</v>
      </c>
      <c r="S478" s="156">
        <f t="shared" si="177"/>
        <v>22090</v>
      </c>
      <c r="T478" s="156">
        <f t="shared" si="178"/>
        <v>0</v>
      </c>
      <c r="U478" s="140">
        <f t="shared" si="179"/>
        <v>3.2206612196814623E-2</v>
      </c>
      <c r="V478" s="140">
        <f t="shared" si="180"/>
        <v>-0.16987153981499223</v>
      </c>
      <c r="W478" s="140">
        <f t="shared" si="181"/>
        <v>-2.8698864415919199E-2</v>
      </c>
      <c r="X478" s="140">
        <f t="shared" si="182"/>
        <v>-1.8857947778217764E-2</v>
      </c>
      <c r="Y478" s="140">
        <f t="shared" si="183"/>
        <v>9.1953382227409716E-2</v>
      </c>
      <c r="Z478" s="140">
        <f t="shared" si="184"/>
        <v>0.27765232856368433</v>
      </c>
      <c r="AA478" s="140">
        <f t="shared" si="185"/>
        <v>5.9531216596949016E-2</v>
      </c>
      <c r="AB478" s="140">
        <f t="shared" si="186"/>
        <v>7.026605257683588E-2</v>
      </c>
      <c r="AC478" s="140">
        <f t="shared" si="187"/>
        <v>3.275719024466632E-2</v>
      </c>
      <c r="AD478" s="140">
        <f t="shared" si="188"/>
        <v>0.19485741163353831</v>
      </c>
      <c r="AE478" s="140">
        <f t="shared" si="189"/>
        <v>3.2206612196814623E-2</v>
      </c>
      <c r="AF478" s="140">
        <f t="shared" si="190"/>
        <v>3.2206612196814623E-2</v>
      </c>
      <c r="AG478" s="140">
        <f t="shared" si="191"/>
        <v>3.2206612196814623E-2</v>
      </c>
      <c r="AH478" s="140">
        <f t="shared" si="192"/>
        <v>3.2206612196814623E-2</v>
      </c>
      <c r="AI478" s="140">
        <f t="shared" si="193"/>
        <v>0.23333972092050939</v>
      </c>
      <c r="AJ478" s="140">
        <f t="shared" si="194"/>
        <v>0.23333972092050939</v>
      </c>
      <c r="AK478" s="140">
        <f t="shared" si="195"/>
        <v>0.23333972092050939</v>
      </c>
      <c r="AL478" s="140">
        <f t="shared" si="196"/>
        <v>0.23333972092050939</v>
      </c>
      <c r="AM478" t="str">
        <f t="shared" si="197"/>
        <v>4110-000: Regular Salaries</v>
      </c>
      <c r="AN478" s="140">
        <f t="shared" si="198"/>
        <v>6.1413929689675018E-2</v>
      </c>
      <c r="AO478" s="140">
        <f t="shared" si="199"/>
        <v>-2.9207317492860395E-2</v>
      </c>
      <c r="AP478" s="1" t="str">
        <f>IF(AND(AO478&gt;0, _xlfn.XLOOKUP($AM478, Discretionaries!$A$2:'Discretionaries'!$A$150, Discretionaries!$B$2:'Discretionaries'!$B$150)), (1+AN478)*$N478, "")</f>
        <v/>
      </c>
      <c r="AQ478" s="1" t="str">
        <f>IF(AND(AO478&gt;0, _xlfn.XLOOKUP($AM478, Discretionaries!$A$2:'Discretionaries'!$A$150, Discretionaries!$B$2:'Discretionaries'!$B$150)),AP478-$Q478,"")</f>
        <v/>
      </c>
      <c r="AR478" s="140">
        <f>IF(AG478="", 0-CPI!$B$15, AG478-CPI!$B$15)</f>
        <v>-6.7933878031853703E-3</v>
      </c>
      <c r="AS478" s="1" t="str">
        <f>IF(AND(AR478&gt;0, _xlfn.XLOOKUP($AM478, Discretionaries!$A$2:'Discretionaries'!$A$150, Discretionaries!$B$2:'Discretionaries'!$B$150)), (1+CPI!$B$15)*$N478, "")</f>
        <v/>
      </c>
      <c r="AT478" s="1" t="str">
        <f>IF(AND(AR478&gt;0, _xlfn.XLOOKUP($AM478, Discretionaries!$A$2:'Discretionaries'!$A$150, Discretionaries!$B$2:'Discretionaries'!$B$150)),AS478-$Q478,"")</f>
        <v/>
      </c>
    </row>
    <row r="479" spans="1:46" x14ac:dyDescent="0.3">
      <c r="A479" t="s">
        <v>444</v>
      </c>
      <c r="B479" t="str">
        <f t="shared" si="175"/>
        <v>31</v>
      </c>
      <c r="C479" t="s">
        <v>408</v>
      </c>
      <c r="D479" t="str">
        <f t="shared" si="176"/>
        <v>00</v>
      </c>
      <c r="E479" t="s">
        <v>11</v>
      </c>
      <c r="F479" s="139" t="s">
        <v>37</v>
      </c>
      <c r="G479" t="s">
        <v>38</v>
      </c>
      <c r="H479" s="156">
        <v>302606</v>
      </c>
      <c r="I479" s="156">
        <v>321365.69</v>
      </c>
      <c r="J479" s="156">
        <v>334628</v>
      </c>
      <c r="K479" s="156">
        <v>313035.90000000002</v>
      </c>
      <c r="L479" s="156">
        <v>357407</v>
      </c>
      <c r="M479" s="156">
        <v>325174.09000000003</v>
      </c>
      <c r="N479" s="156">
        <v>396250</v>
      </c>
      <c r="O479" s="156">
        <v>406057</v>
      </c>
      <c r="P479" s="156">
        <v>406057</v>
      </c>
      <c r="Q479" s="156">
        <v>406057</v>
      </c>
      <c r="R479" s="156">
        <v>406057</v>
      </c>
      <c r="S479" s="156">
        <f t="shared" si="177"/>
        <v>9807</v>
      </c>
      <c r="T479" s="156">
        <f t="shared" si="178"/>
        <v>0</v>
      </c>
      <c r="U479" s="140">
        <f t="shared" si="179"/>
        <v>2.4749526813880127E-2</v>
      </c>
      <c r="V479" s="140">
        <f t="shared" si="180"/>
        <v>6.1993780691724558E-2</v>
      </c>
      <c r="W479" s="140">
        <f t="shared" si="181"/>
        <v>-6.4525682250140382E-2</v>
      </c>
      <c r="X479" s="140">
        <f t="shared" si="182"/>
        <v>-9.0185446843514469E-2</v>
      </c>
      <c r="Y479" s="140">
        <f t="shared" si="183"/>
        <v>0.10582077024249353</v>
      </c>
      <c r="Z479" s="140">
        <f t="shared" si="184"/>
        <v>-2.5919972975335291E-2</v>
      </c>
      <c r="AA479" s="140">
        <f t="shared" si="185"/>
        <v>6.8072605998302588E-2</v>
      </c>
      <c r="AB479" s="140">
        <f t="shared" si="186"/>
        <v>3.8775712306479866E-2</v>
      </c>
      <c r="AC479" s="140">
        <f t="shared" si="187"/>
        <v>0.10868002025701791</v>
      </c>
      <c r="AD479" s="140">
        <f t="shared" si="188"/>
        <v>0.30945850379701656</v>
      </c>
      <c r="AE479" s="140">
        <f t="shared" si="189"/>
        <v>2.4749526813880127E-2</v>
      </c>
      <c r="AF479" s="140">
        <f t="shared" si="190"/>
        <v>2.4749526813880127E-2</v>
      </c>
      <c r="AG479" s="140">
        <f t="shared" si="191"/>
        <v>2.4749526813880127E-2</v>
      </c>
      <c r="AH479" s="140">
        <f t="shared" si="192"/>
        <v>2.4749526813880127E-2</v>
      </c>
      <c r="AI479" s="140">
        <f t="shared" si="193"/>
        <v>0.34186698214840422</v>
      </c>
      <c r="AJ479" s="140">
        <f t="shared" si="194"/>
        <v>0.34186698214840422</v>
      </c>
      <c r="AK479" s="140">
        <f t="shared" si="195"/>
        <v>0.34186698214840422</v>
      </c>
      <c r="AL479" s="140">
        <f t="shared" si="196"/>
        <v>0.34186698214840422</v>
      </c>
      <c r="AM479" t="str">
        <f t="shared" si="197"/>
        <v>4120-000: Part-time Salaries</v>
      </c>
      <c r="AN479" s="140">
        <f t="shared" si="198"/>
        <v>9.419113216593801E-2</v>
      </c>
      <c r="AO479" s="140">
        <f t="shared" si="199"/>
        <v>-6.9441605352057886E-2</v>
      </c>
      <c r="AP479" s="1" t="str">
        <f>IF(AND(AO479&gt;0, _xlfn.XLOOKUP($AM479, Discretionaries!$A$2:'Discretionaries'!$A$150, Discretionaries!$B$2:'Discretionaries'!$B$150)), (1+AN479)*$N479, "")</f>
        <v/>
      </c>
      <c r="AQ479" s="1" t="str">
        <f>IF(AND(AO479&gt;0, _xlfn.XLOOKUP($AM479, Discretionaries!$A$2:'Discretionaries'!$A$150, Discretionaries!$B$2:'Discretionaries'!$B$150)),AP479-$Q479,"")</f>
        <v/>
      </c>
      <c r="AR479" s="140">
        <f>IF(AG479="", 0-CPI!$B$15, AG479-CPI!$B$15)</f>
        <v>-1.4250473186119866E-2</v>
      </c>
      <c r="AS479" s="1" t="str">
        <f>IF(AND(AR479&gt;0, _xlfn.XLOOKUP($AM479, Discretionaries!$A$2:'Discretionaries'!$A$150, Discretionaries!$B$2:'Discretionaries'!$B$150)), (1+CPI!$B$15)*$N479, "")</f>
        <v/>
      </c>
      <c r="AT479" s="1" t="str">
        <f>IF(AND(AR479&gt;0, _xlfn.XLOOKUP($AM479, Discretionaries!$A$2:'Discretionaries'!$A$150, Discretionaries!$B$2:'Discretionaries'!$B$150)),AS479-$Q479,"")</f>
        <v/>
      </c>
    </row>
    <row r="480" spans="1:46" x14ac:dyDescent="0.3">
      <c r="A480" t="s">
        <v>444</v>
      </c>
      <c r="B480" t="str">
        <f t="shared" si="175"/>
        <v>31</v>
      </c>
      <c r="C480" t="s">
        <v>408</v>
      </c>
      <c r="D480" t="str">
        <f t="shared" si="176"/>
        <v>00</v>
      </c>
      <c r="E480" t="s">
        <v>14</v>
      </c>
      <c r="F480" s="139" t="s">
        <v>41</v>
      </c>
      <c r="G480" t="s">
        <v>42</v>
      </c>
      <c r="H480" s="156">
        <v>7757</v>
      </c>
      <c r="I480" s="156">
        <v>5587.25</v>
      </c>
      <c r="J480" s="156">
        <v>8418</v>
      </c>
      <c r="K480" s="156">
        <v>8098.92</v>
      </c>
      <c r="L480" s="156">
        <v>7787</v>
      </c>
      <c r="M480" s="156">
        <v>6624.28</v>
      </c>
      <c r="N480" s="156">
        <v>5955</v>
      </c>
      <c r="O480" s="156">
        <v>6606</v>
      </c>
      <c r="P480" s="156">
        <v>6606</v>
      </c>
      <c r="Q480" s="156">
        <v>6606</v>
      </c>
      <c r="R480" s="156">
        <v>6606</v>
      </c>
      <c r="S480" s="156">
        <f t="shared" si="177"/>
        <v>651</v>
      </c>
      <c r="T480" s="156">
        <f t="shared" si="178"/>
        <v>0</v>
      </c>
      <c r="U480" s="140">
        <f t="shared" si="179"/>
        <v>0.1093198992443325</v>
      </c>
      <c r="V480" s="140">
        <f t="shared" si="180"/>
        <v>-0.27971509604228439</v>
      </c>
      <c r="W480" s="140">
        <f t="shared" si="181"/>
        <v>-3.7904490377761932E-2</v>
      </c>
      <c r="X480" s="140">
        <f t="shared" si="182"/>
        <v>-0.1493155258764608</v>
      </c>
      <c r="Y480" s="140">
        <f t="shared" si="183"/>
        <v>8.5213355678741776E-2</v>
      </c>
      <c r="Z480" s="140">
        <f t="shared" si="184"/>
        <v>0.44953599713633718</v>
      </c>
      <c r="AA480" s="140">
        <f t="shared" si="185"/>
        <v>-7.4958422428130195E-2</v>
      </c>
      <c r="AB480" s="140">
        <f t="shared" si="186"/>
        <v>-0.18207859813407223</v>
      </c>
      <c r="AC480" s="140">
        <f t="shared" si="187"/>
        <v>-0.23526390137408501</v>
      </c>
      <c r="AD480" s="140">
        <f t="shared" si="188"/>
        <v>-0.23230630398349877</v>
      </c>
      <c r="AE480" s="140">
        <f t="shared" si="189"/>
        <v>0.1093198992443325</v>
      </c>
      <c r="AF480" s="140">
        <f t="shared" si="190"/>
        <v>0.1093198992443325</v>
      </c>
      <c r="AG480" s="140">
        <f t="shared" si="191"/>
        <v>0.1093198992443325</v>
      </c>
      <c r="AH480" s="140">
        <f t="shared" si="192"/>
        <v>0.1093198992443325</v>
      </c>
      <c r="AI480" s="140">
        <f t="shared" si="193"/>
        <v>-0.14838210648446565</v>
      </c>
      <c r="AJ480" s="140">
        <f t="shared" si="194"/>
        <v>-0.14838210648446565</v>
      </c>
      <c r="AK480" s="140">
        <f t="shared" si="195"/>
        <v>-0.14838210648446565</v>
      </c>
      <c r="AL480" s="140">
        <f t="shared" si="196"/>
        <v>-0.14838210648446565</v>
      </c>
      <c r="AM480" t="str">
        <f t="shared" si="197"/>
        <v>4215-000: STD, LTD, &amp; Life Benefits</v>
      </c>
      <c r="AN480" s="140">
        <f t="shared" si="198"/>
        <v>-7.5002989374491139E-2</v>
      </c>
      <c r="AO480" s="140">
        <f t="shared" si="199"/>
        <v>0.18432288861882362</v>
      </c>
      <c r="AP480" s="1" t="str">
        <f>IF(AND(AO480&gt;0, _xlfn.XLOOKUP($AM480, Discretionaries!$A$2:'Discretionaries'!$A$150, Discretionaries!$B$2:'Discretionaries'!$B$150)), (1+AN480)*$N480, "")</f>
        <v/>
      </c>
      <c r="AQ480" s="1" t="str">
        <f>IF(AND(AO480&gt;0, _xlfn.XLOOKUP($AM480, Discretionaries!$A$2:'Discretionaries'!$A$150, Discretionaries!$B$2:'Discretionaries'!$B$150)),AP480-$Q480,"")</f>
        <v/>
      </c>
      <c r="AR480" s="140">
        <f>IF(AG480="", 0-CPI!$B$15, AG480-CPI!$B$15)</f>
        <v>7.0319899244332504E-2</v>
      </c>
      <c r="AS480" s="1" t="str">
        <f>IF(AND(AR480&gt;0, _xlfn.XLOOKUP($AM480, Discretionaries!$A$2:'Discretionaries'!$A$150, Discretionaries!$B$2:'Discretionaries'!$B$150)), (1+CPI!$B$15)*$N480, "")</f>
        <v/>
      </c>
      <c r="AT480" s="1" t="str">
        <f>IF(AND(AR480&gt;0, _xlfn.XLOOKUP($AM480, Discretionaries!$A$2:'Discretionaries'!$A$150, Discretionaries!$B$2:'Discretionaries'!$B$150)),AS480-$Q480,"")</f>
        <v/>
      </c>
    </row>
    <row r="481" spans="1:46" x14ac:dyDescent="0.3">
      <c r="A481" t="s">
        <v>444</v>
      </c>
      <c r="B481" t="str">
        <f t="shared" si="175"/>
        <v>31</v>
      </c>
      <c r="C481" t="s">
        <v>408</v>
      </c>
      <c r="D481" t="str">
        <f t="shared" si="176"/>
        <v>00</v>
      </c>
      <c r="E481" t="s">
        <v>14</v>
      </c>
      <c r="F481" s="139" t="s">
        <v>15</v>
      </c>
      <c r="G481" t="s">
        <v>16</v>
      </c>
      <c r="H481" s="156">
        <v>54352</v>
      </c>
      <c r="I481" s="156">
        <v>47766.77</v>
      </c>
      <c r="J481" s="156">
        <v>59610</v>
      </c>
      <c r="K481" s="156">
        <v>55702</v>
      </c>
      <c r="L481" s="156">
        <v>63706</v>
      </c>
      <c r="M481" s="156">
        <v>59110.96</v>
      </c>
      <c r="N481" s="156">
        <v>67093</v>
      </c>
      <c r="O481" s="156">
        <v>69435</v>
      </c>
      <c r="P481" s="156">
        <v>69435</v>
      </c>
      <c r="Q481" s="156">
        <v>69435</v>
      </c>
      <c r="R481" s="156">
        <v>69435</v>
      </c>
      <c r="S481" s="156">
        <f t="shared" si="177"/>
        <v>2342</v>
      </c>
      <c r="T481" s="156">
        <f t="shared" si="178"/>
        <v>0</v>
      </c>
      <c r="U481" s="140">
        <f t="shared" si="179"/>
        <v>3.4906771198187588E-2</v>
      </c>
      <c r="V481" s="140">
        <f t="shared" si="180"/>
        <v>-0.12115892699440689</v>
      </c>
      <c r="W481" s="140">
        <f t="shared" si="181"/>
        <v>-6.555946988760275E-2</v>
      </c>
      <c r="X481" s="140">
        <f t="shared" si="182"/>
        <v>-7.2128841867328056E-2</v>
      </c>
      <c r="Y481" s="140">
        <f t="shared" si="183"/>
        <v>9.6739770385634388E-2</v>
      </c>
      <c r="Z481" s="140">
        <f t="shared" si="184"/>
        <v>0.16612448361067755</v>
      </c>
      <c r="AA481" s="140">
        <f t="shared" si="185"/>
        <v>6.8713303137057535E-2</v>
      </c>
      <c r="AB481" s="140">
        <f t="shared" si="186"/>
        <v>6.1199956913575798E-2</v>
      </c>
      <c r="AC481" s="140">
        <f t="shared" si="187"/>
        <v>5.3166106803126861E-2</v>
      </c>
      <c r="AD481" s="140">
        <f t="shared" si="188"/>
        <v>0.23441639682072418</v>
      </c>
      <c r="AE481" s="140">
        <f t="shared" si="189"/>
        <v>3.4906771198187588E-2</v>
      </c>
      <c r="AF481" s="140">
        <f t="shared" si="190"/>
        <v>3.4906771198187588E-2</v>
      </c>
      <c r="AG481" s="140">
        <f t="shared" si="191"/>
        <v>3.4906771198187588E-2</v>
      </c>
      <c r="AH481" s="140">
        <f t="shared" si="192"/>
        <v>3.4906771198187588E-2</v>
      </c>
      <c r="AI481" s="140">
        <f t="shared" si="193"/>
        <v>0.27750588754783634</v>
      </c>
      <c r="AJ481" s="140">
        <f t="shared" si="194"/>
        <v>0.27750588754783634</v>
      </c>
      <c r="AK481" s="140">
        <f t="shared" si="195"/>
        <v>0.27750588754783634</v>
      </c>
      <c r="AL481" s="140">
        <f t="shared" si="196"/>
        <v>0.27750588754783634</v>
      </c>
      <c r="AM481" t="str">
        <f t="shared" si="197"/>
        <v>4220-000: FICA Benefits</v>
      </c>
      <c r="AN481" s="140">
        <f t="shared" si="198"/>
        <v>7.2873060108606266E-2</v>
      </c>
      <c r="AO481" s="140">
        <f t="shared" si="199"/>
        <v>-3.7966288910418679E-2</v>
      </c>
      <c r="AP481" s="1" t="str">
        <f>IF(AND(AO481&gt;0, _xlfn.XLOOKUP($AM481, Discretionaries!$A$2:'Discretionaries'!$A$150, Discretionaries!$B$2:'Discretionaries'!$B$150)), (1+AN481)*$N481, "")</f>
        <v/>
      </c>
      <c r="AQ481" s="1" t="str">
        <f>IF(AND(AO481&gt;0, _xlfn.XLOOKUP($AM481, Discretionaries!$A$2:'Discretionaries'!$A$150, Discretionaries!$B$2:'Discretionaries'!$B$150)),AP481-$Q481,"")</f>
        <v/>
      </c>
      <c r="AR481" s="140">
        <f>IF(AG481="", 0-CPI!$B$15, AG481-CPI!$B$15)</f>
        <v>-4.0932288018124055E-3</v>
      </c>
      <c r="AS481" s="1" t="str">
        <f>IF(AND(AR481&gt;0, _xlfn.XLOOKUP($AM481, Discretionaries!$A$2:'Discretionaries'!$A$150, Discretionaries!$B$2:'Discretionaries'!$B$150)), (1+CPI!$B$15)*$N481, "")</f>
        <v/>
      </c>
      <c r="AT481" s="1" t="str">
        <f>IF(AND(AR481&gt;0, _xlfn.XLOOKUP($AM481, Discretionaries!$A$2:'Discretionaries'!$A$150, Discretionaries!$B$2:'Discretionaries'!$B$150)),AS481-$Q481,"")</f>
        <v/>
      </c>
    </row>
    <row r="482" spans="1:46" x14ac:dyDescent="0.3">
      <c r="A482" t="s">
        <v>444</v>
      </c>
      <c r="B482" t="str">
        <f t="shared" si="175"/>
        <v>31</v>
      </c>
      <c r="C482" t="s">
        <v>408</v>
      </c>
      <c r="D482" t="str">
        <f t="shared" si="176"/>
        <v>00</v>
      </c>
      <c r="E482" t="s">
        <v>14</v>
      </c>
      <c r="F482" s="139" t="s">
        <v>17</v>
      </c>
      <c r="G482" t="s">
        <v>18</v>
      </c>
      <c r="H482" s="156">
        <v>12712</v>
      </c>
      <c r="I482" s="156">
        <v>11171.27</v>
      </c>
      <c r="J482" s="156">
        <v>13941</v>
      </c>
      <c r="K482" s="156">
        <v>13027.07</v>
      </c>
      <c r="L482" s="156">
        <v>14899</v>
      </c>
      <c r="M482" s="156">
        <v>13824.34</v>
      </c>
      <c r="N482" s="156">
        <v>15691</v>
      </c>
      <c r="O482" s="156">
        <v>16239</v>
      </c>
      <c r="P482" s="156">
        <v>16239</v>
      </c>
      <c r="Q482" s="156">
        <v>16239</v>
      </c>
      <c r="R482" s="156">
        <v>16239</v>
      </c>
      <c r="S482" s="156">
        <f t="shared" si="177"/>
        <v>548</v>
      </c>
      <c r="T482" s="156">
        <f t="shared" si="178"/>
        <v>0</v>
      </c>
      <c r="U482" s="140">
        <f t="shared" si="179"/>
        <v>3.4924479000701038E-2</v>
      </c>
      <c r="V482" s="140">
        <f t="shared" si="180"/>
        <v>-0.12120280050346126</v>
      </c>
      <c r="W482" s="140">
        <f t="shared" si="181"/>
        <v>-6.5556990172871407E-2</v>
      </c>
      <c r="X482" s="140">
        <f t="shared" si="182"/>
        <v>-7.2129673132424979E-2</v>
      </c>
      <c r="Y482" s="140">
        <f t="shared" si="183"/>
        <v>9.6680302076777844E-2</v>
      </c>
      <c r="Z482" s="140">
        <f t="shared" si="184"/>
        <v>0.16612256260926458</v>
      </c>
      <c r="AA482" s="140">
        <f t="shared" si="185"/>
        <v>6.8718169428304998E-2</v>
      </c>
      <c r="AB482" s="140">
        <f t="shared" si="186"/>
        <v>6.1201022179200731E-2</v>
      </c>
      <c r="AC482" s="140">
        <f t="shared" si="187"/>
        <v>5.3157930062420297E-2</v>
      </c>
      <c r="AD482" s="140">
        <f t="shared" si="188"/>
        <v>0.23434550031466331</v>
      </c>
      <c r="AE482" s="140">
        <f t="shared" si="189"/>
        <v>3.4924479000701038E-2</v>
      </c>
      <c r="AF482" s="140">
        <f t="shared" si="190"/>
        <v>3.4924479000701038E-2</v>
      </c>
      <c r="AG482" s="140">
        <f t="shared" si="191"/>
        <v>3.4924479000701038E-2</v>
      </c>
      <c r="AH482" s="140">
        <f t="shared" si="192"/>
        <v>3.4924479000701038E-2</v>
      </c>
      <c r="AI482" s="140">
        <f t="shared" si="193"/>
        <v>0.27745437382001259</v>
      </c>
      <c r="AJ482" s="140">
        <f t="shared" si="194"/>
        <v>0.27745437382001259</v>
      </c>
      <c r="AK482" s="140">
        <f t="shared" si="195"/>
        <v>0.27745437382001259</v>
      </c>
      <c r="AL482" s="140">
        <f t="shared" si="196"/>
        <v>0.27745437382001259</v>
      </c>
      <c r="AM482" t="str">
        <f t="shared" si="197"/>
        <v>4225-000: Medicare Benefits</v>
      </c>
      <c r="AN482" s="140">
        <f t="shared" si="198"/>
        <v>7.2852133855834389E-2</v>
      </c>
      <c r="AO482" s="140">
        <f t="shared" si="199"/>
        <v>-3.7927654855133351E-2</v>
      </c>
      <c r="AP482" s="1" t="str">
        <f>IF(AND(AO482&gt;0, _xlfn.XLOOKUP($AM482, Discretionaries!$A$2:'Discretionaries'!$A$150, Discretionaries!$B$2:'Discretionaries'!$B$150)), (1+AN482)*$N482, "")</f>
        <v/>
      </c>
      <c r="AQ482" s="1" t="str">
        <f>IF(AND(AO482&gt;0, _xlfn.XLOOKUP($AM482, Discretionaries!$A$2:'Discretionaries'!$A$150, Discretionaries!$B$2:'Discretionaries'!$B$150)),AP482-$Q482,"")</f>
        <v/>
      </c>
      <c r="AR482" s="140">
        <f>IF(AG482="", 0-CPI!$B$15, AG482-CPI!$B$15)</f>
        <v>-4.0755209992989552E-3</v>
      </c>
      <c r="AS482" s="1" t="str">
        <f>IF(AND(AR482&gt;0, _xlfn.XLOOKUP($AM482, Discretionaries!$A$2:'Discretionaries'!$A$150, Discretionaries!$B$2:'Discretionaries'!$B$150)), (1+CPI!$B$15)*$N482, "")</f>
        <v/>
      </c>
      <c r="AT482" s="1" t="str">
        <f>IF(AND(AR482&gt;0, _xlfn.XLOOKUP($AM482, Discretionaries!$A$2:'Discretionaries'!$A$150, Discretionaries!$B$2:'Discretionaries'!$B$150)),AS482-$Q482,"")</f>
        <v/>
      </c>
    </row>
    <row r="483" spans="1:46" x14ac:dyDescent="0.3">
      <c r="A483" t="s">
        <v>444</v>
      </c>
      <c r="B483" t="str">
        <f t="shared" si="175"/>
        <v>31</v>
      </c>
      <c r="C483" t="s">
        <v>408</v>
      </c>
      <c r="D483" t="str">
        <f t="shared" si="176"/>
        <v>00</v>
      </c>
      <c r="E483" t="s">
        <v>14</v>
      </c>
      <c r="F483" s="139" t="s">
        <v>43</v>
      </c>
      <c r="G483" t="s">
        <v>44</v>
      </c>
      <c r="H483" s="156">
        <v>80709</v>
      </c>
      <c r="I483" s="156">
        <v>56676.49</v>
      </c>
      <c r="J483" s="156">
        <v>80307</v>
      </c>
      <c r="K483" s="156">
        <v>81400.429999999993</v>
      </c>
      <c r="L483" s="156">
        <v>90666</v>
      </c>
      <c r="M483" s="156">
        <v>84236.72</v>
      </c>
      <c r="N483" s="156">
        <v>87451</v>
      </c>
      <c r="O483" s="156">
        <v>90104</v>
      </c>
      <c r="P483" s="156">
        <v>90104</v>
      </c>
      <c r="Q483" s="156">
        <v>90104</v>
      </c>
      <c r="R483" s="156">
        <v>90104</v>
      </c>
      <c r="S483" s="156">
        <f t="shared" si="177"/>
        <v>2653</v>
      </c>
      <c r="T483" s="156">
        <f t="shared" si="178"/>
        <v>0</v>
      </c>
      <c r="U483" s="140">
        <f t="shared" si="179"/>
        <v>3.0336988713679659E-2</v>
      </c>
      <c r="V483" s="140">
        <f t="shared" si="180"/>
        <v>-0.2977674113172013</v>
      </c>
      <c r="W483" s="140">
        <f t="shared" si="181"/>
        <v>1.3615625038913084E-2</v>
      </c>
      <c r="X483" s="140">
        <f t="shared" si="182"/>
        <v>-7.0911697880131463E-2</v>
      </c>
      <c r="Y483" s="140">
        <f t="shared" si="183"/>
        <v>-4.9808571534773072E-3</v>
      </c>
      <c r="Z483" s="140">
        <f t="shared" si="184"/>
        <v>0.43622920191423281</v>
      </c>
      <c r="AA483" s="140">
        <f t="shared" si="185"/>
        <v>0.12899249131458029</v>
      </c>
      <c r="AB483" s="140">
        <f t="shared" si="186"/>
        <v>3.4843673430226457E-2</v>
      </c>
      <c r="AC483" s="140">
        <f t="shared" si="187"/>
        <v>-3.5459819557496747E-2</v>
      </c>
      <c r="AD483" s="140">
        <f t="shared" si="188"/>
        <v>8.3534673952099514E-2</v>
      </c>
      <c r="AE483" s="140">
        <f t="shared" si="189"/>
        <v>3.0336988713679659E-2</v>
      </c>
      <c r="AF483" s="140">
        <f t="shared" si="190"/>
        <v>3.0336988713679659E-2</v>
      </c>
      <c r="AG483" s="140">
        <f t="shared" si="191"/>
        <v>3.0336988713679659E-2</v>
      </c>
      <c r="AH483" s="140">
        <f t="shared" si="192"/>
        <v>3.0336988713679659E-2</v>
      </c>
      <c r="AI483" s="140">
        <f t="shared" si="193"/>
        <v>0.11640585312666493</v>
      </c>
      <c r="AJ483" s="140">
        <f t="shared" si="194"/>
        <v>0.11640585312666493</v>
      </c>
      <c r="AK483" s="140">
        <f t="shared" si="195"/>
        <v>0.11640585312666493</v>
      </c>
      <c r="AL483" s="140">
        <f t="shared" si="196"/>
        <v>0.11640585312666493</v>
      </c>
      <c r="AM483" t="str">
        <f t="shared" si="197"/>
        <v>4230-000: Retirement Benefits</v>
      </c>
      <c r="AN483" s="140">
        <f t="shared" si="198"/>
        <v>2.9517271534535414E-2</v>
      </c>
      <c r="AO483" s="140">
        <f t="shared" si="199"/>
        <v>8.1971717914424563E-4</v>
      </c>
      <c r="AP483" s="1" t="str">
        <f>IF(AND(AO483&gt;0, _xlfn.XLOOKUP($AM483, Discretionaries!$A$2:'Discretionaries'!$A$150, Discretionaries!$B$2:'Discretionaries'!$B$150)), (1+AN483)*$N483, "")</f>
        <v/>
      </c>
      <c r="AQ483" s="1" t="str">
        <f>IF(AND(AO483&gt;0, _xlfn.XLOOKUP($AM483, Discretionaries!$A$2:'Discretionaries'!$A$150, Discretionaries!$B$2:'Discretionaries'!$B$150)),AP483-$Q483,"")</f>
        <v/>
      </c>
      <c r="AR483" s="140">
        <f>IF(AG483="", 0-CPI!$B$15, AG483-CPI!$B$15)</f>
        <v>-8.6630112863203337E-3</v>
      </c>
      <c r="AS483" s="1" t="str">
        <f>IF(AND(AR483&gt;0, _xlfn.XLOOKUP($AM483, Discretionaries!$A$2:'Discretionaries'!$A$150, Discretionaries!$B$2:'Discretionaries'!$B$150)), (1+CPI!$B$15)*$N483, "")</f>
        <v/>
      </c>
      <c r="AT483" s="1" t="str">
        <f>IF(AND(AR483&gt;0, _xlfn.XLOOKUP($AM483, Discretionaries!$A$2:'Discretionaries'!$A$150, Discretionaries!$B$2:'Discretionaries'!$B$150)),AS483-$Q483,"")</f>
        <v/>
      </c>
    </row>
    <row r="484" spans="1:46" x14ac:dyDescent="0.3">
      <c r="A484" t="s">
        <v>444</v>
      </c>
      <c r="B484" t="str">
        <f t="shared" si="175"/>
        <v>31</v>
      </c>
      <c r="C484" t="s">
        <v>408</v>
      </c>
      <c r="D484" t="str">
        <f t="shared" si="176"/>
        <v>00</v>
      </c>
      <c r="E484" t="s">
        <v>14</v>
      </c>
      <c r="F484" s="139" t="s">
        <v>59</v>
      </c>
      <c r="G484" t="s">
        <v>60</v>
      </c>
      <c r="H484" s="156">
        <v>4770</v>
      </c>
      <c r="I484" s="156">
        <v>9627</v>
      </c>
      <c r="J484" s="156">
        <v>4770</v>
      </c>
      <c r="K484" s="156">
        <v>4995</v>
      </c>
      <c r="L484" s="156">
        <v>4770</v>
      </c>
      <c r="M484" s="156">
        <v>4995</v>
      </c>
      <c r="N484" s="156">
        <v>4770</v>
      </c>
      <c r="O484" s="156">
        <v>4770</v>
      </c>
      <c r="P484" s="156">
        <v>4770</v>
      </c>
      <c r="Q484" s="156">
        <v>4770</v>
      </c>
      <c r="R484" s="156">
        <v>4770</v>
      </c>
      <c r="S484" s="156">
        <f t="shared" si="177"/>
        <v>0</v>
      </c>
      <c r="T484" s="156">
        <f t="shared" si="178"/>
        <v>0</v>
      </c>
      <c r="U484" s="140">
        <f t="shared" si="179"/>
        <v>0</v>
      </c>
      <c r="V484" s="140">
        <f t="shared" si="180"/>
        <v>1.0182389937106919</v>
      </c>
      <c r="W484" s="140">
        <f t="shared" si="181"/>
        <v>4.716981132075472E-2</v>
      </c>
      <c r="X484" s="140">
        <f t="shared" si="182"/>
        <v>4.716981132075472E-2</v>
      </c>
      <c r="Y484" s="140">
        <f t="shared" si="183"/>
        <v>0</v>
      </c>
      <c r="Z484" s="140">
        <f t="shared" si="184"/>
        <v>-0.48114677469616701</v>
      </c>
      <c r="AA484" s="140">
        <f t="shared" si="185"/>
        <v>0</v>
      </c>
      <c r="AB484" s="140">
        <f t="shared" si="186"/>
        <v>0</v>
      </c>
      <c r="AC484" s="140">
        <f t="shared" si="187"/>
        <v>0</v>
      </c>
      <c r="AD484" s="140">
        <f t="shared" si="188"/>
        <v>0</v>
      </c>
      <c r="AE484" s="140">
        <f t="shared" si="189"/>
        <v>0</v>
      </c>
      <c r="AF484" s="140">
        <f t="shared" si="190"/>
        <v>0</v>
      </c>
      <c r="AG484" s="140">
        <f t="shared" si="191"/>
        <v>0</v>
      </c>
      <c r="AH484" s="140">
        <f t="shared" si="192"/>
        <v>0</v>
      </c>
      <c r="AI484" s="140">
        <f t="shared" si="193"/>
        <v>0</v>
      </c>
      <c r="AJ484" s="140">
        <f t="shared" si="194"/>
        <v>0</v>
      </c>
      <c r="AK484" s="140">
        <f t="shared" si="195"/>
        <v>0</v>
      </c>
      <c r="AL484" s="140">
        <f t="shared" si="196"/>
        <v>0</v>
      </c>
      <c r="AM484" t="str">
        <f t="shared" si="197"/>
        <v>4240-000: Tuition reimbursement Benefits</v>
      </c>
      <c r="AN484" s="140">
        <f t="shared" si="198"/>
        <v>0</v>
      </c>
      <c r="AO484" s="140">
        <f t="shared" si="199"/>
        <v>0</v>
      </c>
      <c r="AP484" s="1" t="str">
        <f>IF(AND(AO484&gt;0, _xlfn.XLOOKUP($AM484, Discretionaries!$A$2:'Discretionaries'!$A$150, Discretionaries!$B$2:'Discretionaries'!$B$150)), (1+AN484)*$N484, "")</f>
        <v/>
      </c>
      <c r="AQ484" s="1" t="str">
        <f>IF(AND(AO484&gt;0, _xlfn.XLOOKUP($AM484, Discretionaries!$A$2:'Discretionaries'!$A$150, Discretionaries!$B$2:'Discretionaries'!$B$150)),AP484-$Q484,"")</f>
        <v/>
      </c>
      <c r="AR484" s="140">
        <f>IF(AG484="", 0-CPI!$B$15, AG484-CPI!$B$15)</f>
        <v>-3.8999999999999993E-2</v>
      </c>
      <c r="AS484" s="1" t="str">
        <f>IF(AND(AR484&gt;0, _xlfn.XLOOKUP($AM484, Discretionaries!$A$2:'Discretionaries'!$A$150, Discretionaries!$B$2:'Discretionaries'!$B$150)), (1+CPI!$B$15)*$N484, "")</f>
        <v/>
      </c>
      <c r="AT484" s="1" t="str">
        <f>IF(AND(AR484&gt;0, _xlfn.XLOOKUP($AM484, Discretionaries!$A$2:'Discretionaries'!$A$150, Discretionaries!$B$2:'Discretionaries'!$B$150)),AS484-$Q484,"")</f>
        <v/>
      </c>
    </row>
    <row r="485" spans="1:46" x14ac:dyDescent="0.3">
      <c r="A485" t="s">
        <v>444</v>
      </c>
      <c r="B485" t="str">
        <f t="shared" si="175"/>
        <v>31</v>
      </c>
      <c r="C485" t="s">
        <v>408</v>
      </c>
      <c r="D485" t="str">
        <f t="shared" si="176"/>
        <v>00</v>
      </c>
      <c r="E485" t="s">
        <v>14</v>
      </c>
      <c r="F485" s="139" t="s">
        <v>19</v>
      </c>
      <c r="G485" t="s">
        <v>20</v>
      </c>
      <c r="H485" s="156">
        <v>1366</v>
      </c>
      <c r="I485" s="156">
        <v>1301.19</v>
      </c>
      <c r="J485" s="156">
        <v>1447</v>
      </c>
      <c r="K485" s="156">
        <v>1540.37</v>
      </c>
      <c r="L485" s="156">
        <v>1726</v>
      </c>
      <c r="M485" s="156">
        <v>1726.19</v>
      </c>
      <c r="N485" s="156">
        <v>2040</v>
      </c>
      <c r="O485" s="156">
        <v>2009</v>
      </c>
      <c r="P485" s="156">
        <v>2009</v>
      </c>
      <c r="Q485" s="156">
        <v>2009</v>
      </c>
      <c r="R485" s="156">
        <v>2009</v>
      </c>
      <c r="S485" s="156">
        <f t="shared" si="177"/>
        <v>-31</v>
      </c>
      <c r="T485" s="156">
        <f t="shared" si="178"/>
        <v>0</v>
      </c>
      <c r="U485" s="140">
        <f t="shared" si="179"/>
        <v>-1.5196078431372549E-2</v>
      </c>
      <c r="V485" s="140">
        <f t="shared" si="180"/>
        <v>-4.7445095168374779E-2</v>
      </c>
      <c r="W485" s="140">
        <f t="shared" si="181"/>
        <v>6.4526606772632958E-2</v>
      </c>
      <c r="X485" s="140">
        <f t="shared" si="182"/>
        <v>1.1008111239864111E-4</v>
      </c>
      <c r="Y485" s="140">
        <f t="shared" si="183"/>
        <v>5.9297218155197659E-2</v>
      </c>
      <c r="Z485" s="140">
        <f t="shared" si="184"/>
        <v>0.18381635272327626</v>
      </c>
      <c r="AA485" s="140">
        <f t="shared" si="185"/>
        <v>0.19281271596406357</v>
      </c>
      <c r="AB485" s="140">
        <f t="shared" si="186"/>
        <v>0.12063335432396124</v>
      </c>
      <c r="AC485" s="140">
        <f t="shared" si="187"/>
        <v>0.18192352259559674</v>
      </c>
      <c r="AD485" s="140">
        <f t="shared" si="188"/>
        <v>0.49341142020497802</v>
      </c>
      <c r="AE485" s="140">
        <f t="shared" si="189"/>
        <v>-1.5196078431372549E-2</v>
      </c>
      <c r="AF485" s="140">
        <f t="shared" si="190"/>
        <v>-1.5196078431372549E-2</v>
      </c>
      <c r="AG485" s="140">
        <f t="shared" si="191"/>
        <v>-1.5196078431372549E-2</v>
      </c>
      <c r="AH485" s="140">
        <f t="shared" si="192"/>
        <v>-1.5196078431372549E-2</v>
      </c>
      <c r="AI485" s="140">
        <f t="shared" si="193"/>
        <v>0.47071742313323572</v>
      </c>
      <c r="AJ485" s="140">
        <f t="shared" si="194"/>
        <v>0.47071742313323572</v>
      </c>
      <c r="AK485" s="140">
        <f t="shared" si="195"/>
        <v>0.47071742313323572</v>
      </c>
      <c r="AL485" s="140">
        <f t="shared" si="196"/>
        <v>0.47071742313323572</v>
      </c>
      <c r="AM485" t="str">
        <f t="shared" si="197"/>
        <v>4260-000: Workers' comp Benefits</v>
      </c>
      <c r="AN485" s="140">
        <f t="shared" si="198"/>
        <v>0.14467781890495265</v>
      </c>
      <c r="AO485" s="140">
        <f t="shared" si="199"/>
        <v>-0.1598738973363252</v>
      </c>
      <c r="AP485" s="1" t="str">
        <f>IF(AND(AO485&gt;0, _xlfn.XLOOKUP($AM485, Discretionaries!$A$2:'Discretionaries'!$A$150, Discretionaries!$B$2:'Discretionaries'!$B$150)), (1+AN485)*$N485, "")</f>
        <v/>
      </c>
      <c r="AQ485" s="1" t="str">
        <f>IF(AND(AO485&gt;0, _xlfn.XLOOKUP($AM485, Discretionaries!$A$2:'Discretionaries'!$A$150, Discretionaries!$B$2:'Discretionaries'!$B$150)),AP485-$Q485,"")</f>
        <v/>
      </c>
      <c r="AR485" s="140">
        <f>IF(AG485="", 0-CPI!$B$15, AG485-CPI!$B$15)</f>
        <v>-5.4196078431372544E-2</v>
      </c>
      <c r="AS485" s="1" t="str">
        <f>IF(AND(AR485&gt;0, _xlfn.XLOOKUP($AM485, Discretionaries!$A$2:'Discretionaries'!$A$150, Discretionaries!$B$2:'Discretionaries'!$B$150)), (1+CPI!$B$15)*$N485, "")</f>
        <v/>
      </c>
      <c r="AT485" s="1" t="str">
        <f>IF(AND(AR485&gt;0, _xlfn.XLOOKUP($AM485, Discretionaries!$A$2:'Discretionaries'!$A$150, Discretionaries!$B$2:'Discretionaries'!$B$150)),AS485-$Q485,"")</f>
        <v/>
      </c>
    </row>
    <row r="486" spans="1:46" x14ac:dyDescent="0.3">
      <c r="A486" t="s">
        <v>444</v>
      </c>
      <c r="B486" t="str">
        <f t="shared" si="175"/>
        <v>31</v>
      </c>
      <c r="C486" t="s">
        <v>408</v>
      </c>
      <c r="D486" t="str">
        <f t="shared" si="176"/>
        <v>00</v>
      </c>
      <c r="E486" t="s">
        <v>21</v>
      </c>
      <c r="F486" s="139" t="s">
        <v>152</v>
      </c>
      <c r="G486" t="s">
        <v>153</v>
      </c>
      <c r="H486" s="156">
        <v>0</v>
      </c>
      <c r="I486" s="156">
        <v>1392</v>
      </c>
      <c r="J486" s="156">
        <v>0</v>
      </c>
      <c r="K486" s="156">
        <v>0</v>
      </c>
      <c r="L486" s="156">
        <v>0</v>
      </c>
      <c r="M486" s="156">
        <v>0</v>
      </c>
      <c r="N486" s="156">
        <v>0</v>
      </c>
      <c r="O486" s="156">
        <v>7500</v>
      </c>
      <c r="P486" s="156">
        <v>0</v>
      </c>
      <c r="Q486" s="156">
        <v>0</v>
      </c>
      <c r="R486" s="156">
        <v>0</v>
      </c>
      <c r="S486" s="156">
        <f t="shared" si="177"/>
        <v>0</v>
      </c>
      <c r="T486" s="156">
        <f t="shared" si="178"/>
        <v>0</v>
      </c>
      <c r="U486" s="140" t="str">
        <f t="shared" si="179"/>
        <v/>
      </c>
      <c r="V486" s="140" t="str">
        <f t="shared" si="180"/>
        <v/>
      </c>
      <c r="W486" s="140" t="str">
        <f t="shared" si="181"/>
        <v/>
      </c>
      <c r="X486" s="140" t="str">
        <f t="shared" si="182"/>
        <v/>
      </c>
      <c r="Y486" s="140" t="str">
        <f t="shared" si="183"/>
        <v/>
      </c>
      <c r="Z486" s="140">
        <f t="shared" si="184"/>
        <v>-1</v>
      </c>
      <c r="AA486" s="140" t="str">
        <f t="shared" si="185"/>
        <v/>
      </c>
      <c r="AB486" s="140" t="str">
        <f t="shared" si="186"/>
        <v/>
      </c>
      <c r="AC486" s="140" t="str">
        <f t="shared" si="187"/>
        <v/>
      </c>
      <c r="AD486" s="140" t="str">
        <f t="shared" si="188"/>
        <v/>
      </c>
      <c r="AE486" s="140" t="str">
        <f t="shared" si="189"/>
        <v/>
      </c>
      <c r="AF486" s="140" t="str">
        <f t="shared" si="190"/>
        <v/>
      </c>
      <c r="AG486" s="140" t="str">
        <f t="shared" si="191"/>
        <v/>
      </c>
      <c r="AH486" s="140" t="str">
        <f t="shared" si="192"/>
        <v/>
      </c>
      <c r="AI486" s="140" t="str">
        <f t="shared" si="193"/>
        <v/>
      </c>
      <c r="AJ486" s="140" t="str">
        <f t="shared" si="194"/>
        <v/>
      </c>
      <c r="AK486" s="140" t="str">
        <f t="shared" si="195"/>
        <v/>
      </c>
      <c r="AL486" s="140" t="str">
        <f t="shared" si="196"/>
        <v/>
      </c>
      <c r="AM486" t="str">
        <f t="shared" si="197"/>
        <v>4320-000: Legal general Services</v>
      </c>
      <c r="AN486" s="140">
        <f t="shared" si="198"/>
        <v>0</v>
      </c>
      <c r="AO486" s="140">
        <f t="shared" si="199"/>
        <v>0</v>
      </c>
      <c r="AP486" s="1" t="str">
        <f>IF(AND(AO486&gt;0, _xlfn.XLOOKUP($AM486, Discretionaries!$A$2:'Discretionaries'!$A$150, Discretionaries!$B$2:'Discretionaries'!$B$150)), (1+AN486)*$N486, "")</f>
        <v/>
      </c>
      <c r="AQ486" s="1" t="str">
        <f>IF(AND(AO486&gt;0, _xlfn.XLOOKUP($AM486, Discretionaries!$A$2:'Discretionaries'!$A$150, Discretionaries!$B$2:'Discretionaries'!$B$150)),AP486-$Q486,"")</f>
        <v/>
      </c>
      <c r="AR486" s="140">
        <f>IF(AG486="", 0-CPI!$B$15, AG486-CPI!$B$15)</f>
        <v>-3.8999999999999993E-2</v>
      </c>
      <c r="AS486" s="1" t="str">
        <f>IF(AND(AR486&gt;0, _xlfn.XLOOKUP($AM486, Discretionaries!$A$2:'Discretionaries'!$A$150, Discretionaries!$B$2:'Discretionaries'!$B$150)), (1+CPI!$B$15)*$N486, "")</f>
        <v/>
      </c>
      <c r="AT486" s="1" t="str">
        <f>IF(AND(AR486&gt;0, _xlfn.XLOOKUP($AM486, Discretionaries!$A$2:'Discretionaries'!$A$150, Discretionaries!$B$2:'Discretionaries'!$B$150)),AS486-$Q486,"")</f>
        <v/>
      </c>
    </row>
    <row r="487" spans="1:46" x14ac:dyDescent="0.3">
      <c r="A487" t="s">
        <v>444</v>
      </c>
      <c r="B487" t="str">
        <f t="shared" si="175"/>
        <v>31</v>
      </c>
      <c r="C487" t="s">
        <v>408</v>
      </c>
      <c r="D487" t="str">
        <f t="shared" si="176"/>
        <v>00</v>
      </c>
      <c r="E487" t="s">
        <v>21</v>
      </c>
      <c r="F487" s="139" t="s">
        <v>28</v>
      </c>
      <c r="G487" t="s">
        <v>29</v>
      </c>
      <c r="H487" s="156">
        <v>15681</v>
      </c>
      <c r="I487" s="156">
        <v>29155.38</v>
      </c>
      <c r="J487" s="156">
        <v>15681</v>
      </c>
      <c r="K487" s="156">
        <v>17811.490000000002</v>
      </c>
      <c r="L487" s="156">
        <v>21481</v>
      </c>
      <c r="M487" s="156">
        <v>24530.92</v>
      </c>
      <c r="N487" s="156">
        <v>21481</v>
      </c>
      <c r="O487" s="156">
        <v>25184</v>
      </c>
      <c r="P487" s="156">
        <v>25184</v>
      </c>
      <c r="Q487" s="156">
        <v>25184</v>
      </c>
      <c r="R487" s="156">
        <v>21481</v>
      </c>
      <c r="S487" s="156">
        <f t="shared" si="177"/>
        <v>3703</v>
      </c>
      <c r="T487" s="156">
        <f t="shared" si="178"/>
        <v>3703</v>
      </c>
      <c r="U487" s="140">
        <f t="shared" si="179"/>
        <v>0.17238489828220288</v>
      </c>
      <c r="V487" s="140">
        <f t="shared" si="180"/>
        <v>0.85928065812129339</v>
      </c>
      <c r="W487" s="140">
        <f t="shared" si="181"/>
        <v>0.13586442191186796</v>
      </c>
      <c r="X487" s="140">
        <f t="shared" si="182"/>
        <v>0.14198221684279122</v>
      </c>
      <c r="Y487" s="140">
        <f t="shared" si="183"/>
        <v>0</v>
      </c>
      <c r="Z487" s="140">
        <f t="shared" si="184"/>
        <v>-0.38908393579504019</v>
      </c>
      <c r="AA487" s="140">
        <f t="shared" si="185"/>
        <v>0.36987437025699893</v>
      </c>
      <c r="AB487" s="140">
        <f t="shared" si="186"/>
        <v>0.37725254877609882</v>
      </c>
      <c r="AC487" s="140">
        <f t="shared" si="187"/>
        <v>0</v>
      </c>
      <c r="AD487" s="140">
        <f t="shared" si="188"/>
        <v>0.36987437025699893</v>
      </c>
      <c r="AE487" s="140">
        <f t="shared" si="189"/>
        <v>0.17238489828220288</v>
      </c>
      <c r="AF487" s="140">
        <f t="shared" si="190"/>
        <v>0.17238489828220288</v>
      </c>
      <c r="AG487" s="140">
        <f t="shared" si="191"/>
        <v>0.17238489828220288</v>
      </c>
      <c r="AH487" s="140">
        <f t="shared" si="192"/>
        <v>0</v>
      </c>
      <c r="AI487" s="140">
        <f t="shared" si="193"/>
        <v>0.60602002423314838</v>
      </c>
      <c r="AJ487" s="140">
        <f t="shared" si="194"/>
        <v>0.60602002423314838</v>
      </c>
      <c r="AK487" s="140">
        <f t="shared" si="195"/>
        <v>0.60602002423314838</v>
      </c>
      <c r="AL487" s="140">
        <f t="shared" si="196"/>
        <v>0.36987437025699893</v>
      </c>
      <c r="AM487" t="str">
        <f t="shared" si="197"/>
        <v>4330-000: MGMT services Services</v>
      </c>
      <c r="AN487" s="140">
        <f t="shared" si="198"/>
        <v>0.12329145675233298</v>
      </c>
      <c r="AO487" s="140">
        <f t="shared" si="199"/>
        <v>4.90934415298699E-2</v>
      </c>
      <c r="AP487" s="1">
        <f>IF(AND(AO487&gt;0, _xlfn.XLOOKUP($AM487, Discretionaries!$A$2:'Discretionaries'!$A$150, Discretionaries!$B$2:'Discretionaries'!$B$150)), (1+AN487)*$N487, "")</f>
        <v>24129.423782496862</v>
      </c>
      <c r="AQ487" s="1">
        <f>IF(AND(AO487&gt;0, _xlfn.XLOOKUP($AM487, Discretionaries!$A$2:'Discretionaries'!$A$150, Discretionaries!$B$2:'Discretionaries'!$B$150)),AP487-$Q487,"")</f>
        <v>-1054.5762175031377</v>
      </c>
      <c r="AR487" s="140">
        <f>IF(AG487="", 0-CPI!$B$15, AG487-CPI!$B$15)</f>
        <v>0.1333848982822029</v>
      </c>
      <c r="AS487" s="1">
        <f>IF(AND(AR487&gt;0, _xlfn.XLOOKUP($AM487, Discretionaries!$A$2:'Discretionaries'!$A$150, Discretionaries!$B$2:'Discretionaries'!$B$150)), (1+CPI!$B$15)*$N487, "")</f>
        <v>22318.758999999998</v>
      </c>
      <c r="AT487" s="1">
        <f>IF(AND(AR487&gt;0, _xlfn.XLOOKUP($AM487, Discretionaries!$A$2:'Discretionaries'!$A$150, Discretionaries!$B$2:'Discretionaries'!$B$150)),AS487-$Q487,"")</f>
        <v>-2865.2410000000018</v>
      </c>
    </row>
    <row r="488" spans="1:46" x14ac:dyDescent="0.3">
      <c r="A488" t="s">
        <v>444</v>
      </c>
      <c r="B488" t="str">
        <f t="shared" si="175"/>
        <v>31</v>
      </c>
      <c r="C488" t="s">
        <v>408</v>
      </c>
      <c r="D488" t="str">
        <f t="shared" si="176"/>
        <v>00</v>
      </c>
      <c r="E488" t="s">
        <v>21</v>
      </c>
      <c r="F488" s="139" t="s">
        <v>158</v>
      </c>
      <c r="G488" t="s">
        <v>159</v>
      </c>
      <c r="H488" s="156">
        <v>27540</v>
      </c>
      <c r="I488" s="156">
        <v>29346.14</v>
      </c>
      <c r="J488" s="156">
        <v>27540</v>
      </c>
      <c r="K488" s="156">
        <v>27540</v>
      </c>
      <c r="L488" s="156">
        <v>27540</v>
      </c>
      <c r="M488" s="156">
        <v>27540</v>
      </c>
      <c r="N488" s="156">
        <v>28367</v>
      </c>
      <c r="O488" s="156">
        <v>31201</v>
      </c>
      <c r="P488" s="156">
        <v>31201</v>
      </c>
      <c r="Q488" s="156">
        <v>31201</v>
      </c>
      <c r="R488" s="156">
        <v>28367</v>
      </c>
      <c r="S488" s="156">
        <f t="shared" si="177"/>
        <v>2834</v>
      </c>
      <c r="T488" s="156">
        <f t="shared" si="178"/>
        <v>2834</v>
      </c>
      <c r="U488" s="140">
        <f t="shared" si="179"/>
        <v>9.9904818979800469E-2</v>
      </c>
      <c r="V488" s="140">
        <f t="shared" si="180"/>
        <v>6.5582425562817695E-2</v>
      </c>
      <c r="W488" s="140">
        <f t="shared" si="181"/>
        <v>0</v>
      </c>
      <c r="X488" s="140">
        <f t="shared" si="182"/>
        <v>0</v>
      </c>
      <c r="Y488" s="140">
        <f t="shared" si="183"/>
        <v>0</v>
      </c>
      <c r="Z488" s="140">
        <f t="shared" si="184"/>
        <v>-6.1546084084653022E-2</v>
      </c>
      <c r="AA488" s="140">
        <f t="shared" si="185"/>
        <v>0</v>
      </c>
      <c r="AB488" s="140">
        <f t="shared" si="186"/>
        <v>0</v>
      </c>
      <c r="AC488" s="140">
        <f t="shared" si="187"/>
        <v>3.0029048656499639E-2</v>
      </c>
      <c r="AD488" s="140">
        <f t="shared" si="188"/>
        <v>3.0029048656499639E-2</v>
      </c>
      <c r="AE488" s="140">
        <f t="shared" si="189"/>
        <v>9.9904818979800469E-2</v>
      </c>
      <c r="AF488" s="140">
        <f t="shared" si="190"/>
        <v>9.9904818979800469E-2</v>
      </c>
      <c r="AG488" s="140">
        <f t="shared" si="191"/>
        <v>9.9904818979800469E-2</v>
      </c>
      <c r="AH488" s="140">
        <f t="shared" si="192"/>
        <v>0</v>
      </c>
      <c r="AI488" s="140">
        <f t="shared" si="193"/>
        <v>0.13293391430646331</v>
      </c>
      <c r="AJ488" s="140">
        <f t="shared" si="194"/>
        <v>0.13293391430646331</v>
      </c>
      <c r="AK488" s="140">
        <f t="shared" si="195"/>
        <v>0.13293391430646331</v>
      </c>
      <c r="AL488" s="140">
        <f t="shared" si="196"/>
        <v>3.0029048656499639E-2</v>
      </c>
      <c r="AM488" t="str">
        <f t="shared" si="197"/>
        <v>4360-000: Custodial Services</v>
      </c>
      <c r="AN488" s="140">
        <f t="shared" si="198"/>
        <v>1.0009682885499879E-2</v>
      </c>
      <c r="AO488" s="140">
        <f t="shared" si="199"/>
        <v>8.9895136094300596E-2</v>
      </c>
      <c r="AP488" s="1">
        <f>IF(AND(AO488&gt;0, _xlfn.XLOOKUP($AM488, Discretionaries!$A$2:'Discretionaries'!$A$150, Discretionaries!$B$2:'Discretionaries'!$B$150)), (1+AN488)*$N488, "")</f>
        <v>28650.944674412975</v>
      </c>
      <c r="AQ488" s="1">
        <f>IF(AND(AO488&gt;0, _xlfn.XLOOKUP($AM488, Discretionaries!$A$2:'Discretionaries'!$A$150, Discretionaries!$B$2:'Discretionaries'!$B$150)),AP488-$Q488,"")</f>
        <v>-2550.0553255870254</v>
      </c>
      <c r="AR488" s="140">
        <f>IF(AG488="", 0-CPI!$B$15, AG488-CPI!$B$15)</f>
        <v>6.0904818979800476E-2</v>
      </c>
      <c r="AS488" s="1">
        <f>IF(AND(AR488&gt;0, _xlfn.XLOOKUP($AM488, Discretionaries!$A$2:'Discretionaries'!$A$150, Discretionaries!$B$2:'Discretionaries'!$B$150)), (1+CPI!$B$15)*$N488, "")</f>
        <v>29473.312999999998</v>
      </c>
      <c r="AT488" s="1">
        <f>IF(AND(AR488&gt;0, _xlfn.XLOOKUP($AM488, Discretionaries!$A$2:'Discretionaries'!$A$150, Discretionaries!$B$2:'Discretionaries'!$B$150)),AS488-$Q488,"")</f>
        <v>-1727.6870000000017</v>
      </c>
    </row>
    <row r="489" spans="1:46" x14ac:dyDescent="0.3">
      <c r="A489" t="s">
        <v>444</v>
      </c>
      <c r="B489" t="str">
        <f t="shared" si="175"/>
        <v>31</v>
      </c>
      <c r="C489" t="s">
        <v>408</v>
      </c>
      <c r="D489" t="str">
        <f t="shared" si="176"/>
        <v>00</v>
      </c>
      <c r="E489" t="s">
        <v>133</v>
      </c>
      <c r="F489" s="139" t="s">
        <v>160</v>
      </c>
      <c r="G489" t="s">
        <v>161</v>
      </c>
      <c r="H489" s="156">
        <v>42211</v>
      </c>
      <c r="I489" s="156">
        <v>30515.56</v>
      </c>
      <c r="J489" s="156">
        <v>42211</v>
      </c>
      <c r="K489" s="156">
        <v>38316.75</v>
      </c>
      <c r="L489" s="156">
        <v>42211</v>
      </c>
      <c r="M489" s="156">
        <v>38997.79</v>
      </c>
      <c r="N489" s="156">
        <v>40211</v>
      </c>
      <c r="O489" s="156">
        <v>43000</v>
      </c>
      <c r="P489" s="156">
        <v>43000</v>
      </c>
      <c r="Q489" s="156">
        <v>43000</v>
      </c>
      <c r="R489" s="156">
        <v>40211</v>
      </c>
      <c r="S489" s="156">
        <f t="shared" si="177"/>
        <v>2789</v>
      </c>
      <c r="T489" s="156">
        <f t="shared" si="178"/>
        <v>2789</v>
      </c>
      <c r="U489" s="140">
        <f t="shared" si="179"/>
        <v>6.9359130586158016E-2</v>
      </c>
      <c r="V489" s="140">
        <f t="shared" si="180"/>
        <v>-0.27707090568809073</v>
      </c>
      <c r="W489" s="140">
        <f t="shared" si="181"/>
        <v>-9.2256757717182725E-2</v>
      </c>
      <c r="X489" s="140">
        <f t="shared" si="182"/>
        <v>-7.6122574684323971E-2</v>
      </c>
      <c r="Y489" s="140">
        <f t="shared" si="183"/>
        <v>0</v>
      </c>
      <c r="Z489" s="140">
        <f t="shared" si="184"/>
        <v>0.25564629978935333</v>
      </c>
      <c r="AA489" s="140">
        <f t="shared" si="185"/>
        <v>0</v>
      </c>
      <c r="AB489" s="140">
        <f t="shared" si="186"/>
        <v>1.7773950034906429E-2</v>
      </c>
      <c r="AC489" s="140">
        <f t="shared" si="187"/>
        <v>-4.7381014427518894E-2</v>
      </c>
      <c r="AD489" s="140">
        <f t="shared" si="188"/>
        <v>-4.7381014427518894E-2</v>
      </c>
      <c r="AE489" s="140">
        <f t="shared" si="189"/>
        <v>6.9359130586158016E-2</v>
      </c>
      <c r="AF489" s="140">
        <f t="shared" si="190"/>
        <v>6.9359130586158016E-2</v>
      </c>
      <c r="AG489" s="140">
        <f t="shared" si="191"/>
        <v>6.9359130586158016E-2</v>
      </c>
      <c r="AH489" s="140">
        <f t="shared" si="192"/>
        <v>0</v>
      </c>
      <c r="AI489" s="140">
        <f t="shared" si="193"/>
        <v>1.8691810191656204E-2</v>
      </c>
      <c r="AJ489" s="140">
        <f t="shared" si="194"/>
        <v>1.8691810191656204E-2</v>
      </c>
      <c r="AK489" s="140">
        <f t="shared" si="195"/>
        <v>1.8691810191656204E-2</v>
      </c>
      <c r="AL489" s="140">
        <f t="shared" si="196"/>
        <v>-4.7381014427518894E-2</v>
      </c>
      <c r="AM489" t="str">
        <f t="shared" si="197"/>
        <v>4410-000: Electric Services</v>
      </c>
      <c r="AN489" s="140">
        <f t="shared" si="198"/>
        <v>-1.579367147583963E-2</v>
      </c>
      <c r="AO489" s="140">
        <f t="shared" si="199"/>
        <v>8.5152802061997643E-2</v>
      </c>
      <c r="AP489" s="1">
        <f>IF(AND(AO489&gt;0, _xlfn.XLOOKUP($AM489, Discretionaries!$A$2:'Discretionaries'!$A$150, Discretionaries!$B$2:'Discretionaries'!$B$150)), (1+AN489)*$N489, "")</f>
        <v>39575.920676285008</v>
      </c>
      <c r="AQ489" s="1">
        <f>IF(AND(AO489&gt;0, _xlfn.XLOOKUP($AM489, Discretionaries!$A$2:'Discretionaries'!$A$150, Discretionaries!$B$2:'Discretionaries'!$B$150)),AP489-$Q489,"")</f>
        <v>-3424.0793237149919</v>
      </c>
      <c r="AR489" s="140">
        <f>IF(AG489="", 0-CPI!$B$15, AG489-CPI!$B$15)</f>
        <v>3.0359130586158023E-2</v>
      </c>
      <c r="AS489" s="1">
        <f>IF(AND(AR489&gt;0, _xlfn.XLOOKUP($AM489, Discretionaries!$A$2:'Discretionaries'!$A$150, Discretionaries!$B$2:'Discretionaries'!$B$150)), (1+CPI!$B$15)*$N489, "")</f>
        <v>41779.228999999999</v>
      </c>
      <c r="AT489" s="1">
        <f>IF(AND(AR489&gt;0, _xlfn.XLOOKUP($AM489, Discretionaries!$A$2:'Discretionaries'!$A$150, Discretionaries!$B$2:'Discretionaries'!$B$150)),AS489-$Q489,"")</f>
        <v>-1220.7710000000006</v>
      </c>
    </row>
    <row r="490" spans="1:46" x14ac:dyDescent="0.3">
      <c r="A490" t="s">
        <v>444</v>
      </c>
      <c r="B490" t="str">
        <f t="shared" si="175"/>
        <v>31</v>
      </c>
      <c r="C490" t="s">
        <v>408</v>
      </c>
      <c r="D490" t="str">
        <f t="shared" si="176"/>
        <v>00</v>
      </c>
      <c r="E490" t="s">
        <v>133</v>
      </c>
      <c r="F490" s="139" t="s">
        <v>162</v>
      </c>
      <c r="G490" t="s">
        <v>163</v>
      </c>
      <c r="H490" s="156">
        <v>22677</v>
      </c>
      <c r="I490" s="156">
        <v>14204.69</v>
      </c>
      <c r="J490" s="156">
        <v>23131</v>
      </c>
      <c r="K490" s="156">
        <v>13901.91</v>
      </c>
      <c r="L490" s="156">
        <v>23131</v>
      </c>
      <c r="M490" s="156">
        <v>16564.07</v>
      </c>
      <c r="N490" s="156">
        <v>23131</v>
      </c>
      <c r="O490" s="156">
        <v>16680</v>
      </c>
      <c r="P490" s="156">
        <v>16680</v>
      </c>
      <c r="Q490" s="156">
        <v>16680</v>
      </c>
      <c r="R490" s="156">
        <v>23131</v>
      </c>
      <c r="S490" s="156">
        <f t="shared" si="177"/>
        <v>-6451</v>
      </c>
      <c r="T490" s="156">
        <f t="shared" si="178"/>
        <v>-6451</v>
      </c>
      <c r="U490" s="140">
        <f t="shared" si="179"/>
        <v>-0.27888980156499937</v>
      </c>
      <c r="V490" s="140">
        <f t="shared" si="180"/>
        <v>-0.37360806103100053</v>
      </c>
      <c r="W490" s="140">
        <f t="shared" si="181"/>
        <v>-0.398992261467295</v>
      </c>
      <c r="X490" s="140">
        <f t="shared" si="182"/>
        <v>-0.28390169037222773</v>
      </c>
      <c r="Y490" s="140">
        <f t="shared" si="183"/>
        <v>2.0020284870132733E-2</v>
      </c>
      <c r="Z490" s="140">
        <f t="shared" si="184"/>
        <v>-2.1315495093521975E-2</v>
      </c>
      <c r="AA490" s="140">
        <f t="shared" si="185"/>
        <v>0</v>
      </c>
      <c r="AB490" s="140">
        <f t="shared" si="186"/>
        <v>0.19149598868069206</v>
      </c>
      <c r="AC490" s="140">
        <f t="shared" si="187"/>
        <v>0</v>
      </c>
      <c r="AD490" s="140">
        <f t="shared" si="188"/>
        <v>2.0020284870132733E-2</v>
      </c>
      <c r="AE490" s="140">
        <f t="shared" si="189"/>
        <v>-0.27888980156499937</v>
      </c>
      <c r="AF490" s="140">
        <f t="shared" si="190"/>
        <v>-0.27888980156499937</v>
      </c>
      <c r="AG490" s="140">
        <f t="shared" si="191"/>
        <v>-0.27888980156499937</v>
      </c>
      <c r="AH490" s="140">
        <f t="shared" si="192"/>
        <v>0</v>
      </c>
      <c r="AI490" s="140">
        <f t="shared" si="193"/>
        <v>-0.26445296996957268</v>
      </c>
      <c r="AJ490" s="140">
        <f t="shared" si="194"/>
        <v>-0.26445296996957268</v>
      </c>
      <c r="AK490" s="140">
        <f t="shared" si="195"/>
        <v>-0.26445296996957268</v>
      </c>
      <c r="AL490" s="140">
        <f t="shared" si="196"/>
        <v>2.0020284870132733E-2</v>
      </c>
      <c r="AM490" t="str">
        <f t="shared" si="197"/>
        <v>4411-000: Heat &amp; oil Services</v>
      </c>
      <c r="AN490" s="140">
        <f t="shared" si="198"/>
        <v>6.6734282900442442E-3</v>
      </c>
      <c r="AO490" s="140">
        <f t="shared" si="199"/>
        <v>-0.28556322985504362</v>
      </c>
      <c r="AP490" s="1" t="str">
        <f>IF(AND(AO490&gt;0, _xlfn.XLOOKUP($AM490, Discretionaries!$A$2:'Discretionaries'!$A$150, Discretionaries!$B$2:'Discretionaries'!$B$150)), (1+AN490)*$N490, "")</f>
        <v/>
      </c>
      <c r="AQ490" s="1" t="str">
        <f>IF(AND(AO490&gt;0, _xlfn.XLOOKUP($AM490, Discretionaries!$A$2:'Discretionaries'!$A$150, Discretionaries!$B$2:'Discretionaries'!$B$150)),AP490-$Q490,"")</f>
        <v/>
      </c>
      <c r="AR490" s="140">
        <f>IF(AG490="", 0-CPI!$B$15, AG490-CPI!$B$15)</f>
        <v>-0.31788980156499935</v>
      </c>
      <c r="AS490" s="1" t="str">
        <f>IF(AND(AR490&gt;0, _xlfn.XLOOKUP($AM490, Discretionaries!$A$2:'Discretionaries'!$A$150, Discretionaries!$B$2:'Discretionaries'!$B$150)), (1+CPI!$B$15)*$N490, "")</f>
        <v/>
      </c>
      <c r="AT490" s="1" t="str">
        <f>IF(AND(AR490&gt;0, _xlfn.XLOOKUP($AM490, Discretionaries!$A$2:'Discretionaries'!$A$150, Discretionaries!$B$2:'Discretionaries'!$B$150)),AS490-$Q490,"")</f>
        <v/>
      </c>
    </row>
    <row r="491" spans="1:46" x14ac:dyDescent="0.3">
      <c r="A491" t="s">
        <v>444</v>
      </c>
      <c r="B491" t="str">
        <f t="shared" si="175"/>
        <v>31</v>
      </c>
      <c r="C491" t="s">
        <v>408</v>
      </c>
      <c r="D491" t="str">
        <f t="shared" si="176"/>
        <v>00</v>
      </c>
      <c r="E491" t="s">
        <v>133</v>
      </c>
      <c r="F491" s="139" t="s">
        <v>164</v>
      </c>
      <c r="G491" t="s">
        <v>165</v>
      </c>
      <c r="H491" s="156">
        <v>4182</v>
      </c>
      <c r="I491" s="156">
        <v>3902.11</v>
      </c>
      <c r="J491" s="156">
        <v>4182</v>
      </c>
      <c r="K491" s="156">
        <v>5413.24</v>
      </c>
      <c r="L491" s="156">
        <v>3182</v>
      </c>
      <c r="M491" s="156">
        <v>4346.87</v>
      </c>
      <c r="N491" s="156">
        <v>4182</v>
      </c>
      <c r="O491" s="156">
        <v>4407</v>
      </c>
      <c r="P491" s="156">
        <v>4407</v>
      </c>
      <c r="Q491" s="156">
        <v>4407</v>
      </c>
      <c r="R491" s="156">
        <v>4182</v>
      </c>
      <c r="S491" s="156">
        <f t="shared" si="177"/>
        <v>225</v>
      </c>
      <c r="T491" s="156">
        <f t="shared" si="178"/>
        <v>225</v>
      </c>
      <c r="U491" s="140">
        <f t="shared" si="179"/>
        <v>5.3802008608321378E-2</v>
      </c>
      <c r="V491" s="140">
        <f t="shared" si="180"/>
        <v>-6.6927307508369172E-2</v>
      </c>
      <c r="W491" s="140">
        <f t="shared" si="181"/>
        <v>0.29441415590626491</v>
      </c>
      <c r="X491" s="140">
        <f t="shared" si="182"/>
        <v>0.36608108108108106</v>
      </c>
      <c r="Y491" s="140">
        <f t="shared" si="183"/>
        <v>0</v>
      </c>
      <c r="Z491" s="140">
        <f t="shared" si="184"/>
        <v>0.38725971333458042</v>
      </c>
      <c r="AA491" s="140">
        <f t="shared" si="185"/>
        <v>-0.23912003825920611</v>
      </c>
      <c r="AB491" s="140">
        <f t="shared" si="186"/>
        <v>-0.19699292844950528</v>
      </c>
      <c r="AC491" s="140">
        <f t="shared" si="187"/>
        <v>0.31426775612822122</v>
      </c>
      <c r="AD491" s="140">
        <f t="shared" si="188"/>
        <v>0</v>
      </c>
      <c r="AE491" s="140">
        <f t="shared" si="189"/>
        <v>5.3802008608321378E-2</v>
      </c>
      <c r="AF491" s="140">
        <f t="shared" si="190"/>
        <v>5.3802008608321378E-2</v>
      </c>
      <c r="AG491" s="140">
        <f t="shared" si="191"/>
        <v>5.3802008608321378E-2</v>
      </c>
      <c r="AH491" s="140">
        <f t="shared" si="192"/>
        <v>0</v>
      </c>
      <c r="AI491" s="140">
        <f t="shared" si="193"/>
        <v>5.3802008608321378E-2</v>
      </c>
      <c r="AJ491" s="140">
        <f t="shared" si="194"/>
        <v>5.3802008608321378E-2</v>
      </c>
      <c r="AK491" s="140">
        <f t="shared" si="195"/>
        <v>5.3802008608321378E-2</v>
      </c>
      <c r="AL491" s="140">
        <f t="shared" si="196"/>
        <v>0</v>
      </c>
      <c r="AM491" t="str">
        <f t="shared" si="197"/>
        <v>4412-000: Water Services</v>
      </c>
      <c r="AN491" s="140">
        <f t="shared" si="198"/>
        <v>2.5049239289671704E-2</v>
      </c>
      <c r="AO491" s="140">
        <f t="shared" si="199"/>
        <v>2.8752769318649674E-2</v>
      </c>
      <c r="AP491" s="1">
        <f>IF(AND(AO491&gt;0, _xlfn.XLOOKUP($AM491, Discretionaries!$A$2:'Discretionaries'!$A$150, Discretionaries!$B$2:'Discretionaries'!$B$150)), (1+AN491)*$N491, "")</f>
        <v>4286.7559187094075</v>
      </c>
      <c r="AQ491" s="1">
        <f>IF(AND(AO491&gt;0, _xlfn.XLOOKUP($AM491, Discretionaries!$A$2:'Discretionaries'!$A$150, Discretionaries!$B$2:'Discretionaries'!$B$150)),AP491-$Q491,"")</f>
        <v>-120.24408129059248</v>
      </c>
      <c r="AR491" s="140">
        <f>IF(AG491="", 0-CPI!$B$15, AG491-CPI!$B$15)</f>
        <v>1.4802008608321385E-2</v>
      </c>
      <c r="AS491" s="1">
        <f>IF(AND(AR491&gt;0, _xlfn.XLOOKUP($AM491, Discretionaries!$A$2:'Discretionaries'!$A$150, Discretionaries!$B$2:'Discretionaries'!$B$150)), (1+CPI!$B$15)*$N491, "")</f>
        <v>4345.098</v>
      </c>
      <c r="AT491" s="1">
        <f>IF(AND(AR491&gt;0, _xlfn.XLOOKUP($AM491, Discretionaries!$A$2:'Discretionaries'!$A$150, Discretionaries!$B$2:'Discretionaries'!$B$150)),AS491-$Q491,"")</f>
        <v>-61.902000000000044</v>
      </c>
    </row>
    <row r="492" spans="1:46" x14ac:dyDescent="0.3">
      <c r="A492" t="s">
        <v>444</v>
      </c>
      <c r="B492" t="str">
        <f t="shared" si="175"/>
        <v>31</v>
      </c>
      <c r="C492" t="s">
        <v>408</v>
      </c>
      <c r="D492" t="str">
        <f t="shared" si="176"/>
        <v>00</v>
      </c>
      <c r="E492" t="s">
        <v>45</v>
      </c>
      <c r="F492" s="139" t="s">
        <v>22</v>
      </c>
      <c r="G492" t="s">
        <v>23</v>
      </c>
      <c r="H492" s="156">
        <v>3500</v>
      </c>
      <c r="I492" s="156">
        <v>269.72000000000003</v>
      </c>
      <c r="J492" s="156">
        <v>3500</v>
      </c>
      <c r="K492" s="156">
        <v>4874.41</v>
      </c>
      <c r="L492" s="156">
        <v>3500</v>
      </c>
      <c r="M492" s="156">
        <v>5502.63</v>
      </c>
      <c r="N492" s="156">
        <v>4500</v>
      </c>
      <c r="O492" s="156">
        <v>5659</v>
      </c>
      <c r="P492" s="156">
        <v>5659</v>
      </c>
      <c r="Q492" s="156">
        <v>5659</v>
      </c>
      <c r="R492" s="156">
        <v>4500</v>
      </c>
      <c r="S492" s="156">
        <f t="shared" si="177"/>
        <v>1159</v>
      </c>
      <c r="T492" s="156">
        <f t="shared" si="178"/>
        <v>1159</v>
      </c>
      <c r="U492" s="140">
        <f t="shared" si="179"/>
        <v>0.25755555555555554</v>
      </c>
      <c r="V492" s="140">
        <f t="shared" si="180"/>
        <v>-0.92293714285714279</v>
      </c>
      <c r="W492" s="140">
        <f t="shared" si="181"/>
        <v>0.39268857142857139</v>
      </c>
      <c r="X492" s="140">
        <f t="shared" si="182"/>
        <v>0.57218000000000002</v>
      </c>
      <c r="Y492" s="140">
        <f t="shared" si="183"/>
        <v>0</v>
      </c>
      <c r="Z492" s="140">
        <f t="shared" si="184"/>
        <v>17.072111819664833</v>
      </c>
      <c r="AA492" s="140">
        <f t="shared" si="185"/>
        <v>0</v>
      </c>
      <c r="AB492" s="140">
        <f t="shared" si="186"/>
        <v>0.12888123896020243</v>
      </c>
      <c r="AC492" s="140">
        <f t="shared" si="187"/>
        <v>0.2857142857142857</v>
      </c>
      <c r="AD492" s="140">
        <f t="shared" si="188"/>
        <v>0.2857142857142857</v>
      </c>
      <c r="AE492" s="140">
        <f t="shared" si="189"/>
        <v>0.25755555555555554</v>
      </c>
      <c r="AF492" s="140">
        <f t="shared" si="190"/>
        <v>0.25755555555555554</v>
      </c>
      <c r="AG492" s="140">
        <f t="shared" si="191"/>
        <v>0.25755555555555554</v>
      </c>
      <c r="AH492" s="140">
        <f t="shared" si="192"/>
        <v>0</v>
      </c>
      <c r="AI492" s="140">
        <f t="shared" si="193"/>
        <v>0.61685714285714288</v>
      </c>
      <c r="AJ492" s="140">
        <f t="shared" si="194"/>
        <v>0.61685714285714288</v>
      </c>
      <c r="AK492" s="140">
        <f t="shared" si="195"/>
        <v>0.61685714285714288</v>
      </c>
      <c r="AL492" s="140">
        <f t="shared" si="196"/>
        <v>0.2857142857142857</v>
      </c>
      <c r="AM492" t="str">
        <f t="shared" si="197"/>
        <v>4550-000: Printing Services</v>
      </c>
      <c r="AN492" s="140">
        <f t="shared" si="198"/>
        <v>9.5238095238095233E-2</v>
      </c>
      <c r="AO492" s="140">
        <f t="shared" si="199"/>
        <v>0.1623174603174603</v>
      </c>
      <c r="AP492" s="1">
        <f>IF(AND(AO492&gt;0, _xlfn.XLOOKUP($AM492, Discretionaries!$A$2:'Discretionaries'!$A$150, Discretionaries!$B$2:'Discretionaries'!$B$150)), (1+AN492)*$N492, "")</f>
        <v>4928.5714285714294</v>
      </c>
      <c r="AQ492" s="1">
        <f>IF(AND(AO492&gt;0, _xlfn.XLOOKUP($AM492, Discretionaries!$A$2:'Discretionaries'!$A$150, Discretionaries!$B$2:'Discretionaries'!$B$150)),AP492-$Q492,"")</f>
        <v>-730.42857142857065</v>
      </c>
      <c r="AR492" s="140">
        <f>IF(AG492="", 0-CPI!$B$15, AG492-CPI!$B$15)</f>
        <v>0.21855555555555556</v>
      </c>
      <c r="AS492" s="1">
        <f>IF(AND(AR492&gt;0, _xlfn.XLOOKUP($AM492, Discretionaries!$A$2:'Discretionaries'!$A$150, Discretionaries!$B$2:'Discretionaries'!$B$150)), (1+CPI!$B$15)*$N492, "")</f>
        <v>4675.5</v>
      </c>
      <c r="AT492" s="1">
        <f>IF(AND(AR492&gt;0, _xlfn.XLOOKUP($AM492, Discretionaries!$A$2:'Discretionaries'!$A$150, Discretionaries!$B$2:'Discretionaries'!$B$150)),AS492-$Q492,"")</f>
        <v>-983.5</v>
      </c>
    </row>
    <row r="493" spans="1:46" x14ac:dyDescent="0.3">
      <c r="A493" t="s">
        <v>444</v>
      </c>
      <c r="B493" t="str">
        <f t="shared" si="175"/>
        <v>31</v>
      </c>
      <c r="C493" t="s">
        <v>408</v>
      </c>
      <c r="D493" t="str">
        <f t="shared" si="176"/>
        <v>00</v>
      </c>
      <c r="E493" t="s">
        <v>45</v>
      </c>
      <c r="F493" s="139" t="s">
        <v>46</v>
      </c>
      <c r="G493" t="s">
        <v>47</v>
      </c>
      <c r="H493" s="156">
        <v>4445</v>
      </c>
      <c r="I493" s="156">
        <v>4088</v>
      </c>
      <c r="J493" s="156">
        <v>4445</v>
      </c>
      <c r="K493" s="156">
        <v>6304</v>
      </c>
      <c r="L493" s="156">
        <v>30628</v>
      </c>
      <c r="M493" s="156">
        <v>38114</v>
      </c>
      <c r="N493" s="156">
        <v>52262</v>
      </c>
      <c r="O493" s="156">
        <v>56306</v>
      </c>
      <c r="P493" s="156">
        <v>56306</v>
      </c>
      <c r="Q493" s="156">
        <v>56306</v>
      </c>
      <c r="R493" s="156">
        <v>52262</v>
      </c>
      <c r="S493" s="156">
        <f t="shared" si="177"/>
        <v>4044</v>
      </c>
      <c r="T493" s="156">
        <f t="shared" si="178"/>
        <v>4044</v>
      </c>
      <c r="U493" s="140">
        <f t="shared" si="179"/>
        <v>7.7379357850828515E-2</v>
      </c>
      <c r="V493" s="140">
        <f t="shared" si="180"/>
        <v>-8.0314960629921259E-2</v>
      </c>
      <c r="W493" s="140">
        <f t="shared" si="181"/>
        <v>0.41822272215973005</v>
      </c>
      <c r="X493" s="140">
        <f t="shared" si="182"/>
        <v>0.24441687344913152</v>
      </c>
      <c r="Y493" s="140">
        <f t="shared" si="183"/>
        <v>0</v>
      </c>
      <c r="Z493" s="140">
        <f t="shared" si="184"/>
        <v>0.54207436399217224</v>
      </c>
      <c r="AA493" s="140">
        <f t="shared" si="185"/>
        <v>5.8904386951631045</v>
      </c>
      <c r="AB493" s="140">
        <f t="shared" si="186"/>
        <v>5.0460025380710656</v>
      </c>
      <c r="AC493" s="140">
        <f t="shared" si="187"/>
        <v>0.70634713334203991</v>
      </c>
      <c r="AD493" s="140">
        <f t="shared" si="188"/>
        <v>10.757480314960629</v>
      </c>
      <c r="AE493" s="140">
        <f t="shared" si="189"/>
        <v>7.7379357850828515E-2</v>
      </c>
      <c r="AF493" s="140">
        <f t="shared" si="190"/>
        <v>7.7379357850828515E-2</v>
      </c>
      <c r="AG493" s="140">
        <f t="shared" si="191"/>
        <v>7.7379357850828515E-2</v>
      </c>
      <c r="AH493" s="140">
        <f t="shared" si="192"/>
        <v>0</v>
      </c>
      <c r="AI493" s="140">
        <f t="shared" si="193"/>
        <v>11.667266591676041</v>
      </c>
      <c r="AJ493" s="140">
        <f t="shared" si="194"/>
        <v>11.667266591676041</v>
      </c>
      <c r="AK493" s="140">
        <f t="shared" si="195"/>
        <v>11.667266591676041</v>
      </c>
      <c r="AL493" s="140">
        <f t="shared" si="196"/>
        <v>10.757480314960629</v>
      </c>
      <c r="AM493" t="str">
        <f t="shared" si="197"/>
        <v>4560-000: Dues &amp; subs Services</v>
      </c>
      <c r="AN493" s="140">
        <f t="shared" si="198"/>
        <v>2.1989286095017149</v>
      </c>
      <c r="AO493" s="140">
        <f t="shared" si="199"/>
        <v>-2.1215492516508863</v>
      </c>
      <c r="AP493" s="1" t="str">
        <f>IF(AND(AO493&gt;0, _xlfn.XLOOKUP($AM493, Discretionaries!$A$2:'Discretionaries'!$A$150, Discretionaries!$B$2:'Discretionaries'!$B$150)), (1+AN493)*$N493, "")</f>
        <v/>
      </c>
      <c r="AQ493" s="1" t="str">
        <f>IF(AND(AO493&gt;0, _xlfn.XLOOKUP($AM493, Discretionaries!$A$2:'Discretionaries'!$A$150, Discretionaries!$B$2:'Discretionaries'!$B$150)),AP493-$Q493,"")</f>
        <v/>
      </c>
      <c r="AR493" s="140">
        <f>IF(AG493="", 0-CPI!$B$15, AG493-CPI!$B$15)</f>
        <v>3.8379357850828522E-2</v>
      </c>
      <c r="AS493" s="1">
        <f>IF(AND(AR493&gt;0, _xlfn.XLOOKUP($AM493, Discretionaries!$A$2:'Discretionaries'!$A$150, Discretionaries!$B$2:'Discretionaries'!$B$150)), (1+CPI!$B$15)*$N493, "")</f>
        <v>54300.217999999993</v>
      </c>
      <c r="AT493" s="1">
        <f>IF(AND(AR493&gt;0, _xlfn.XLOOKUP($AM493, Discretionaries!$A$2:'Discretionaries'!$A$150, Discretionaries!$B$2:'Discretionaries'!$B$150)),AS493-$Q493,"")</f>
        <v>-2005.7820000000065</v>
      </c>
    </row>
    <row r="494" spans="1:46" x14ac:dyDescent="0.3">
      <c r="A494" t="s">
        <v>444</v>
      </c>
      <c r="B494" t="str">
        <f t="shared" si="175"/>
        <v>31</v>
      </c>
      <c r="C494" t="s">
        <v>408</v>
      </c>
      <c r="D494" t="str">
        <f t="shared" si="176"/>
        <v>00</v>
      </c>
      <c r="E494" t="s">
        <v>45</v>
      </c>
      <c r="F494" s="139" t="s">
        <v>379</v>
      </c>
      <c r="G494" t="s">
        <v>380</v>
      </c>
      <c r="H494" s="156">
        <v>0</v>
      </c>
      <c r="I494" s="156">
        <v>0</v>
      </c>
      <c r="J494" s="156">
        <v>0</v>
      </c>
      <c r="K494" s="156">
        <v>0</v>
      </c>
      <c r="L494" s="156">
        <v>0</v>
      </c>
      <c r="M494" s="156">
        <v>0</v>
      </c>
      <c r="N494" s="156">
        <v>0</v>
      </c>
      <c r="O494" s="156">
        <v>0</v>
      </c>
      <c r="P494" s="156">
        <v>0</v>
      </c>
      <c r="Q494" s="156">
        <v>0</v>
      </c>
      <c r="R494" s="156">
        <v>0</v>
      </c>
      <c r="S494" s="156">
        <f t="shared" si="177"/>
        <v>0</v>
      </c>
      <c r="T494" s="156">
        <f t="shared" si="178"/>
        <v>0</v>
      </c>
      <c r="U494" s="140" t="str">
        <f t="shared" si="179"/>
        <v/>
      </c>
      <c r="V494" s="140" t="str">
        <f t="shared" si="180"/>
        <v/>
      </c>
      <c r="W494" s="140" t="str">
        <f t="shared" si="181"/>
        <v/>
      </c>
      <c r="X494" s="140" t="str">
        <f t="shared" si="182"/>
        <v/>
      </c>
      <c r="Y494" s="140" t="str">
        <f t="shared" si="183"/>
        <v/>
      </c>
      <c r="Z494" s="140" t="str">
        <f t="shared" si="184"/>
        <v/>
      </c>
      <c r="AA494" s="140" t="str">
        <f t="shared" si="185"/>
        <v/>
      </c>
      <c r="AB494" s="140" t="str">
        <f t="shared" si="186"/>
        <v/>
      </c>
      <c r="AC494" s="140" t="str">
        <f t="shared" si="187"/>
        <v/>
      </c>
      <c r="AD494" s="140" t="str">
        <f t="shared" si="188"/>
        <v/>
      </c>
      <c r="AE494" s="140" t="str">
        <f t="shared" si="189"/>
        <v/>
      </c>
      <c r="AF494" s="140" t="str">
        <f t="shared" si="190"/>
        <v/>
      </c>
      <c r="AG494" s="140" t="str">
        <f t="shared" si="191"/>
        <v/>
      </c>
      <c r="AH494" s="140" t="str">
        <f t="shared" si="192"/>
        <v/>
      </c>
      <c r="AI494" s="140" t="str">
        <f t="shared" si="193"/>
        <v/>
      </c>
      <c r="AJ494" s="140" t="str">
        <f t="shared" si="194"/>
        <v/>
      </c>
      <c r="AK494" s="140" t="str">
        <f t="shared" si="195"/>
        <v/>
      </c>
      <c r="AL494" s="140" t="str">
        <f t="shared" si="196"/>
        <v/>
      </c>
      <c r="AM494" t="str">
        <f t="shared" si="197"/>
        <v>4560-001: Library Consortiums</v>
      </c>
      <c r="AN494" s="140">
        <f t="shared" si="198"/>
        <v>0</v>
      </c>
      <c r="AO494" s="140">
        <f t="shared" si="199"/>
        <v>0</v>
      </c>
      <c r="AP494" s="1" t="str">
        <f>IF(AND(AO494&gt;0, _xlfn.XLOOKUP($AM494, Discretionaries!$A$2:'Discretionaries'!$A$150, Discretionaries!$B$2:'Discretionaries'!$B$150)), (1+AN494)*$N494, "")</f>
        <v/>
      </c>
      <c r="AQ494" s="1" t="str">
        <f>IF(AND(AO494&gt;0, _xlfn.XLOOKUP($AM494, Discretionaries!$A$2:'Discretionaries'!$A$150, Discretionaries!$B$2:'Discretionaries'!$B$150)),AP494-$Q494,"")</f>
        <v/>
      </c>
      <c r="AR494" s="140">
        <f>IF(AG494="", 0-CPI!$B$15, AG494-CPI!$B$15)</f>
        <v>-3.8999999999999993E-2</v>
      </c>
      <c r="AS494" s="1" t="str">
        <f>IF(AND(AR494&gt;0, _xlfn.XLOOKUP($AM494, Discretionaries!$A$2:'Discretionaries'!$A$150, Discretionaries!$B$2:'Discretionaries'!$B$150)), (1+CPI!$B$15)*$N494, "")</f>
        <v/>
      </c>
      <c r="AT494" s="1" t="str">
        <f>IF(AND(AR494&gt;0, _xlfn.XLOOKUP($AM494, Discretionaries!$A$2:'Discretionaries'!$A$150, Discretionaries!$B$2:'Discretionaries'!$B$150)),AS494-$Q494,"")</f>
        <v/>
      </c>
    </row>
    <row r="495" spans="1:46" x14ac:dyDescent="0.3">
      <c r="A495" t="s">
        <v>444</v>
      </c>
      <c r="B495" t="str">
        <f t="shared" si="175"/>
        <v>31</v>
      </c>
      <c r="C495" t="s">
        <v>408</v>
      </c>
      <c r="D495" t="str">
        <f t="shared" si="176"/>
        <v>00</v>
      </c>
      <c r="E495" t="s">
        <v>45</v>
      </c>
      <c r="F495" s="139" t="s">
        <v>24</v>
      </c>
      <c r="G495" t="s">
        <v>25</v>
      </c>
      <c r="H495" s="156">
        <v>2000</v>
      </c>
      <c r="I495" s="156">
        <v>2730.81</v>
      </c>
      <c r="J495" s="156">
        <v>2000</v>
      </c>
      <c r="K495" s="156">
        <v>511.82</v>
      </c>
      <c r="L495" s="156">
        <v>2000</v>
      </c>
      <c r="M495" s="156">
        <v>120</v>
      </c>
      <c r="N495" s="156">
        <v>1000</v>
      </c>
      <c r="O495" s="156">
        <v>2000</v>
      </c>
      <c r="P495" s="156">
        <v>2000</v>
      </c>
      <c r="Q495" s="156">
        <v>2000</v>
      </c>
      <c r="R495" s="156">
        <v>1000</v>
      </c>
      <c r="S495" s="156">
        <f t="shared" si="177"/>
        <v>1000</v>
      </c>
      <c r="T495" s="156">
        <f t="shared" si="178"/>
        <v>1000</v>
      </c>
      <c r="U495" s="140">
        <f t="shared" si="179"/>
        <v>1</v>
      </c>
      <c r="V495" s="140">
        <f t="shared" si="180"/>
        <v>0.36540499999999998</v>
      </c>
      <c r="W495" s="140">
        <f t="shared" si="181"/>
        <v>-0.74409000000000003</v>
      </c>
      <c r="X495" s="140">
        <f t="shared" si="182"/>
        <v>-0.94</v>
      </c>
      <c r="Y495" s="140">
        <f t="shared" si="183"/>
        <v>0</v>
      </c>
      <c r="Z495" s="140">
        <f t="shared" si="184"/>
        <v>-0.81257575591124975</v>
      </c>
      <c r="AA495" s="140">
        <f t="shared" si="185"/>
        <v>0</v>
      </c>
      <c r="AB495" s="140">
        <f t="shared" si="186"/>
        <v>-0.76554257356101751</v>
      </c>
      <c r="AC495" s="140">
        <f t="shared" si="187"/>
        <v>-0.5</v>
      </c>
      <c r="AD495" s="140">
        <f t="shared" si="188"/>
        <v>-0.5</v>
      </c>
      <c r="AE495" s="140">
        <f t="shared" si="189"/>
        <v>1</v>
      </c>
      <c r="AF495" s="140">
        <f t="shared" si="190"/>
        <v>1</v>
      </c>
      <c r="AG495" s="140">
        <f t="shared" si="191"/>
        <v>1</v>
      </c>
      <c r="AH495" s="140">
        <f t="shared" si="192"/>
        <v>0</v>
      </c>
      <c r="AI495" s="140">
        <f t="shared" si="193"/>
        <v>0</v>
      </c>
      <c r="AJ495" s="140">
        <f t="shared" si="194"/>
        <v>0</v>
      </c>
      <c r="AK495" s="140">
        <f t="shared" si="195"/>
        <v>0</v>
      </c>
      <c r="AL495" s="140">
        <f t="shared" si="196"/>
        <v>-0.5</v>
      </c>
      <c r="AM495" t="str">
        <f t="shared" si="197"/>
        <v>4570-000: Sem &amp; workshops Services</v>
      </c>
      <c r="AN495" s="140">
        <f t="shared" si="198"/>
        <v>-0.16666666666666666</v>
      </c>
      <c r="AO495" s="140">
        <f t="shared" si="199"/>
        <v>1.1666666666666667</v>
      </c>
      <c r="AP495" s="1">
        <f>IF(AND(AO495&gt;0, _xlfn.XLOOKUP($AM495, Discretionaries!$A$2:'Discretionaries'!$A$150, Discretionaries!$B$2:'Discretionaries'!$B$150)), (1+AN495)*$N495, "")</f>
        <v>833.33333333333337</v>
      </c>
      <c r="AQ495" s="1">
        <f>IF(AND(AO495&gt;0, _xlfn.XLOOKUP($AM495, Discretionaries!$A$2:'Discretionaries'!$A$150, Discretionaries!$B$2:'Discretionaries'!$B$150)),AP495-$Q495,"")</f>
        <v>-1166.6666666666665</v>
      </c>
      <c r="AR495" s="140">
        <f>IF(AG495="", 0-CPI!$B$15, AG495-CPI!$B$15)</f>
        <v>0.96099999999999997</v>
      </c>
      <c r="AS495" s="1">
        <f>IF(AND(AR495&gt;0, _xlfn.XLOOKUP($AM495, Discretionaries!$A$2:'Discretionaries'!$A$150, Discretionaries!$B$2:'Discretionaries'!$B$150)), (1+CPI!$B$15)*$N495, "")</f>
        <v>1039</v>
      </c>
      <c r="AT495" s="1">
        <f>IF(AND(AR495&gt;0, _xlfn.XLOOKUP($AM495, Discretionaries!$A$2:'Discretionaries'!$A$150, Discretionaries!$B$2:'Discretionaries'!$B$150)),AS495-$Q495,"")</f>
        <v>-961</v>
      </c>
    </row>
    <row r="496" spans="1:46" x14ac:dyDescent="0.3">
      <c r="A496" t="s">
        <v>444</v>
      </c>
      <c r="B496" t="str">
        <f t="shared" si="175"/>
        <v>31</v>
      </c>
      <c r="C496" t="s">
        <v>408</v>
      </c>
      <c r="D496" t="str">
        <f t="shared" si="176"/>
        <v>00</v>
      </c>
      <c r="E496" t="s">
        <v>45</v>
      </c>
      <c r="F496" s="139" t="s">
        <v>26</v>
      </c>
      <c r="G496" t="s">
        <v>27</v>
      </c>
      <c r="H496" s="156">
        <v>0</v>
      </c>
      <c r="I496" s="156">
        <v>0</v>
      </c>
      <c r="J496" s="156">
        <v>0</v>
      </c>
      <c r="K496" s="156">
        <v>0</v>
      </c>
      <c r="L496" s="156">
        <v>0</v>
      </c>
      <c r="M496" s="156">
        <v>159.85</v>
      </c>
      <c r="N496" s="156">
        <v>1000</v>
      </c>
      <c r="O496" s="156">
        <v>1500</v>
      </c>
      <c r="P496" s="156">
        <v>1500</v>
      </c>
      <c r="Q496" s="156">
        <v>1500</v>
      </c>
      <c r="R496" s="156">
        <v>1000</v>
      </c>
      <c r="S496" s="156">
        <f t="shared" si="177"/>
        <v>500</v>
      </c>
      <c r="T496" s="156">
        <f t="shared" si="178"/>
        <v>500</v>
      </c>
      <c r="U496" s="140">
        <f t="shared" si="179"/>
        <v>0.5</v>
      </c>
      <c r="V496" s="140" t="str">
        <f t="shared" si="180"/>
        <v/>
      </c>
      <c r="W496" s="140" t="str">
        <f t="shared" si="181"/>
        <v/>
      </c>
      <c r="X496" s="140" t="str">
        <f t="shared" si="182"/>
        <v/>
      </c>
      <c r="Y496" s="140" t="str">
        <f t="shared" si="183"/>
        <v/>
      </c>
      <c r="Z496" s="140" t="str">
        <f t="shared" si="184"/>
        <v/>
      </c>
      <c r="AA496" s="140" t="str">
        <f t="shared" si="185"/>
        <v/>
      </c>
      <c r="AB496" s="140" t="str">
        <f t="shared" si="186"/>
        <v/>
      </c>
      <c r="AC496" s="140" t="str">
        <f t="shared" si="187"/>
        <v/>
      </c>
      <c r="AD496" s="140" t="str">
        <f t="shared" si="188"/>
        <v/>
      </c>
      <c r="AE496" s="140">
        <f t="shared" si="189"/>
        <v>0.5</v>
      </c>
      <c r="AF496" s="140">
        <f t="shared" si="190"/>
        <v>0.5</v>
      </c>
      <c r="AG496" s="140">
        <f t="shared" si="191"/>
        <v>0.5</v>
      </c>
      <c r="AH496" s="140">
        <f t="shared" si="192"/>
        <v>0</v>
      </c>
      <c r="AI496" s="140" t="str">
        <f t="shared" si="193"/>
        <v/>
      </c>
      <c r="AJ496" s="140" t="str">
        <f t="shared" si="194"/>
        <v/>
      </c>
      <c r="AK496" s="140" t="str">
        <f t="shared" si="195"/>
        <v/>
      </c>
      <c r="AL496" s="140" t="str">
        <f t="shared" si="196"/>
        <v/>
      </c>
      <c r="AM496" t="str">
        <f t="shared" si="197"/>
        <v>4575-000: Travel &amp; mileage Services</v>
      </c>
      <c r="AN496" s="140">
        <f t="shared" si="198"/>
        <v>0</v>
      </c>
      <c r="AO496" s="140">
        <f t="shared" si="199"/>
        <v>0.5</v>
      </c>
      <c r="AP496" s="1">
        <f>IF(AND(AO496&gt;0, _xlfn.XLOOKUP($AM496, Discretionaries!$A$2:'Discretionaries'!$A$150, Discretionaries!$B$2:'Discretionaries'!$B$150)), (1+AN496)*$N496, "")</f>
        <v>1000</v>
      </c>
      <c r="AQ496" s="1">
        <f>IF(AND(AO496&gt;0, _xlfn.XLOOKUP($AM496, Discretionaries!$A$2:'Discretionaries'!$A$150, Discretionaries!$B$2:'Discretionaries'!$B$150)),AP496-$Q496,"")</f>
        <v>-500</v>
      </c>
      <c r="AR496" s="140">
        <f>IF(AG496="", 0-CPI!$B$15, AG496-CPI!$B$15)</f>
        <v>0.46100000000000002</v>
      </c>
      <c r="AS496" s="1">
        <f>IF(AND(AR496&gt;0, _xlfn.XLOOKUP($AM496, Discretionaries!$A$2:'Discretionaries'!$A$150, Discretionaries!$B$2:'Discretionaries'!$B$150)), (1+CPI!$B$15)*$N496, "")</f>
        <v>1039</v>
      </c>
      <c r="AT496" s="1">
        <f>IF(AND(AR496&gt;0, _xlfn.XLOOKUP($AM496, Discretionaries!$A$2:'Discretionaries'!$A$150, Discretionaries!$B$2:'Discretionaries'!$B$150)),AS496-$Q496,"")</f>
        <v>-461</v>
      </c>
    </row>
    <row r="497" spans="1:46" x14ac:dyDescent="0.3">
      <c r="A497" t="s">
        <v>444</v>
      </c>
      <c r="B497" t="str">
        <f t="shared" si="175"/>
        <v>31</v>
      </c>
      <c r="C497" t="s">
        <v>408</v>
      </c>
      <c r="D497" t="str">
        <f t="shared" si="176"/>
        <v>00</v>
      </c>
      <c r="E497" t="s">
        <v>30</v>
      </c>
      <c r="F497" s="139" t="s">
        <v>31</v>
      </c>
      <c r="G497" t="s">
        <v>32</v>
      </c>
      <c r="H497" s="156">
        <v>14603</v>
      </c>
      <c r="I497" s="156">
        <v>7619.41</v>
      </c>
      <c r="J497" s="156">
        <v>14603</v>
      </c>
      <c r="K497" s="156">
        <v>9809.01</v>
      </c>
      <c r="L497" s="156">
        <v>10000</v>
      </c>
      <c r="M497" s="156">
        <v>4982.7299999999996</v>
      </c>
      <c r="N497" s="156">
        <v>9100</v>
      </c>
      <c r="O497" s="156">
        <v>7500</v>
      </c>
      <c r="P497" s="156">
        <v>7500</v>
      </c>
      <c r="Q497" s="156">
        <v>7500</v>
      </c>
      <c r="R497" s="156">
        <v>9100</v>
      </c>
      <c r="S497" s="156">
        <f t="shared" si="177"/>
        <v>-1600</v>
      </c>
      <c r="T497" s="156">
        <f t="shared" si="178"/>
        <v>-1600</v>
      </c>
      <c r="U497" s="140">
        <f t="shared" si="179"/>
        <v>-0.17582417582417584</v>
      </c>
      <c r="V497" s="140">
        <f t="shared" si="180"/>
        <v>-0.47822981579127577</v>
      </c>
      <c r="W497" s="140">
        <f t="shared" si="181"/>
        <v>-0.32828802300897075</v>
      </c>
      <c r="X497" s="140">
        <f t="shared" si="182"/>
        <v>-0.50172700000000003</v>
      </c>
      <c r="Y497" s="140">
        <f t="shared" si="183"/>
        <v>0</v>
      </c>
      <c r="Z497" s="140">
        <f t="shared" si="184"/>
        <v>0.28737133190102648</v>
      </c>
      <c r="AA497" s="140">
        <f t="shared" si="185"/>
        <v>-0.31520920358830379</v>
      </c>
      <c r="AB497" s="140">
        <f t="shared" si="186"/>
        <v>-0.49202518908636045</v>
      </c>
      <c r="AC497" s="140">
        <f t="shared" si="187"/>
        <v>-0.09</v>
      </c>
      <c r="AD497" s="140">
        <f t="shared" si="188"/>
        <v>-0.37684037526535641</v>
      </c>
      <c r="AE497" s="140">
        <f t="shared" si="189"/>
        <v>-0.17582417582417584</v>
      </c>
      <c r="AF497" s="140">
        <f t="shared" si="190"/>
        <v>-0.17582417582417584</v>
      </c>
      <c r="AG497" s="140">
        <f t="shared" si="191"/>
        <v>-0.17582417582417584</v>
      </c>
      <c r="AH497" s="140">
        <f t="shared" si="192"/>
        <v>0</v>
      </c>
      <c r="AI497" s="140">
        <f t="shared" si="193"/>
        <v>-0.48640690269122783</v>
      </c>
      <c r="AJ497" s="140">
        <f t="shared" si="194"/>
        <v>-0.48640690269122783</v>
      </c>
      <c r="AK497" s="140">
        <f t="shared" si="195"/>
        <v>-0.48640690269122783</v>
      </c>
      <c r="AL497" s="140">
        <f t="shared" si="196"/>
        <v>-0.37684037526535641</v>
      </c>
      <c r="AM497" t="str">
        <f t="shared" si="197"/>
        <v>4610-000: General expenses Supplies</v>
      </c>
      <c r="AN497" s="140">
        <f t="shared" si="198"/>
        <v>-0.1350697345294346</v>
      </c>
      <c r="AO497" s="140">
        <f t="shared" si="199"/>
        <v>-4.0754441294741234E-2</v>
      </c>
      <c r="AP497" s="1" t="str">
        <f>IF(AND(AO497&gt;0, _xlfn.XLOOKUP($AM497, Discretionaries!$A$2:'Discretionaries'!$A$150, Discretionaries!$B$2:'Discretionaries'!$B$150)), (1+AN497)*$N497, "")</f>
        <v/>
      </c>
      <c r="AQ497" s="1" t="str">
        <f>IF(AND(AO497&gt;0, _xlfn.XLOOKUP($AM497, Discretionaries!$A$2:'Discretionaries'!$A$150, Discretionaries!$B$2:'Discretionaries'!$B$150)),AP497-$Q497,"")</f>
        <v/>
      </c>
      <c r="AR497" s="140">
        <f>IF(AG497="", 0-CPI!$B$15, AG497-CPI!$B$15)</f>
        <v>-0.21482417582417584</v>
      </c>
      <c r="AS497" s="1" t="str">
        <f>IF(AND(AR497&gt;0, _xlfn.XLOOKUP($AM497, Discretionaries!$A$2:'Discretionaries'!$A$150, Discretionaries!$B$2:'Discretionaries'!$B$150)), (1+CPI!$B$15)*$N497, "")</f>
        <v/>
      </c>
      <c r="AT497" s="1" t="str">
        <f>IF(AND(AR497&gt;0, _xlfn.XLOOKUP($AM497, Discretionaries!$A$2:'Discretionaries'!$A$150, Discretionaries!$B$2:'Discretionaries'!$B$150)),AS497-$Q497,"")</f>
        <v/>
      </c>
    </row>
    <row r="498" spans="1:46" x14ac:dyDescent="0.3">
      <c r="A498" t="s">
        <v>444</v>
      </c>
      <c r="B498" t="str">
        <f t="shared" si="175"/>
        <v>31</v>
      </c>
      <c r="C498" t="s">
        <v>408</v>
      </c>
      <c r="D498" t="str">
        <f t="shared" si="176"/>
        <v>00</v>
      </c>
      <c r="E498" t="s">
        <v>30</v>
      </c>
      <c r="F498" s="139" t="s">
        <v>51</v>
      </c>
      <c r="G498" t="s">
        <v>48</v>
      </c>
      <c r="H498" s="156">
        <v>19300</v>
      </c>
      <c r="I498" s="156">
        <v>12418.6</v>
      </c>
      <c r="J498" s="156">
        <v>19300</v>
      </c>
      <c r="K498" s="156">
        <v>9528.65</v>
      </c>
      <c r="L498" s="156">
        <v>12000</v>
      </c>
      <c r="M498" s="156">
        <v>10217.1</v>
      </c>
      <c r="N498" s="156">
        <v>11099</v>
      </c>
      <c r="O498" s="156">
        <v>11099</v>
      </c>
      <c r="P498" s="156">
        <v>11099</v>
      </c>
      <c r="Q498" s="156">
        <v>11099</v>
      </c>
      <c r="R498" s="156">
        <v>11099</v>
      </c>
      <c r="S498" s="156">
        <f t="shared" si="177"/>
        <v>0</v>
      </c>
      <c r="T498" s="156">
        <f t="shared" si="178"/>
        <v>0</v>
      </c>
      <c r="U498" s="140">
        <f t="shared" si="179"/>
        <v>0</v>
      </c>
      <c r="V498" s="140">
        <f t="shared" si="180"/>
        <v>-0.35654922279792745</v>
      </c>
      <c r="W498" s="140">
        <f t="shared" si="181"/>
        <v>-0.50628756476683945</v>
      </c>
      <c r="X498" s="140">
        <f t="shared" si="182"/>
        <v>-0.14857499999999996</v>
      </c>
      <c r="Y498" s="140">
        <f t="shared" si="183"/>
        <v>0</v>
      </c>
      <c r="Z498" s="140">
        <f t="shared" si="184"/>
        <v>-0.23271141674584903</v>
      </c>
      <c r="AA498" s="140">
        <f t="shared" si="185"/>
        <v>-0.37823834196891193</v>
      </c>
      <c r="AB498" s="140">
        <f t="shared" si="186"/>
        <v>7.2250528668804159E-2</v>
      </c>
      <c r="AC498" s="140">
        <f t="shared" si="187"/>
        <v>-7.5083333333333335E-2</v>
      </c>
      <c r="AD498" s="140">
        <f t="shared" si="188"/>
        <v>-0.4249222797927461</v>
      </c>
      <c r="AE498" s="140">
        <f t="shared" si="189"/>
        <v>0</v>
      </c>
      <c r="AF498" s="140">
        <f t="shared" si="190"/>
        <v>0</v>
      </c>
      <c r="AG498" s="140">
        <f t="shared" si="191"/>
        <v>0</v>
      </c>
      <c r="AH498" s="140">
        <f t="shared" si="192"/>
        <v>0</v>
      </c>
      <c r="AI498" s="140">
        <f t="shared" si="193"/>
        <v>-0.4249222797927461</v>
      </c>
      <c r="AJ498" s="140">
        <f t="shared" si="194"/>
        <v>-0.4249222797927461</v>
      </c>
      <c r="AK498" s="140">
        <f t="shared" si="195"/>
        <v>-0.4249222797927461</v>
      </c>
      <c r="AL498" s="140">
        <f t="shared" si="196"/>
        <v>-0.4249222797927461</v>
      </c>
      <c r="AM498" t="str">
        <f t="shared" si="197"/>
        <v>4620-000: Office supplies Supplies</v>
      </c>
      <c r="AN498" s="140">
        <f t="shared" si="198"/>
        <v>-0.15110722510074842</v>
      </c>
      <c r="AO498" s="140">
        <f t="shared" si="199"/>
        <v>0.15110722510074842</v>
      </c>
      <c r="AP498" s="1">
        <f>IF(AND(AO498&gt;0, _xlfn.XLOOKUP($AM498, Discretionaries!$A$2:'Discretionaries'!$A$150, Discretionaries!$B$2:'Discretionaries'!$B$150)), (1+AN498)*$N498, "")</f>
        <v>9421.8609086067936</v>
      </c>
      <c r="AQ498" s="1">
        <f>IF(AND(AO498&gt;0, _xlfn.XLOOKUP($AM498, Discretionaries!$A$2:'Discretionaries'!$A$150, Discretionaries!$B$2:'Discretionaries'!$B$150)),AP498-$Q498,"")</f>
        <v>-1677.1390913932064</v>
      </c>
      <c r="AR498" s="140">
        <f>IF(AG498="", 0-CPI!$B$15, AG498-CPI!$B$15)</f>
        <v>-3.8999999999999993E-2</v>
      </c>
      <c r="AS498" s="1" t="str">
        <f>IF(AND(AR498&gt;0, _xlfn.XLOOKUP($AM498, Discretionaries!$A$2:'Discretionaries'!$A$150, Discretionaries!$B$2:'Discretionaries'!$B$150)), (1+CPI!$B$15)*$N498, "")</f>
        <v/>
      </c>
      <c r="AT498" s="1" t="str">
        <f>IF(AND(AR498&gt;0, _xlfn.XLOOKUP($AM498, Discretionaries!$A$2:'Discretionaries'!$A$150, Discretionaries!$B$2:'Discretionaries'!$B$150)),AS498-$Q498,"")</f>
        <v/>
      </c>
    </row>
    <row r="499" spans="1:46" x14ac:dyDescent="0.3">
      <c r="A499" t="s">
        <v>444</v>
      </c>
      <c r="B499" t="str">
        <f t="shared" si="175"/>
        <v>31</v>
      </c>
      <c r="C499" t="s">
        <v>408</v>
      </c>
      <c r="D499" t="str">
        <f t="shared" si="176"/>
        <v>00</v>
      </c>
      <c r="E499" t="s">
        <v>30</v>
      </c>
      <c r="F499" s="139" t="s">
        <v>52</v>
      </c>
      <c r="G499" t="s">
        <v>49</v>
      </c>
      <c r="H499" s="156">
        <v>2367</v>
      </c>
      <c r="I499" s="156">
        <v>2262.2600000000002</v>
      </c>
      <c r="J499" s="156">
        <v>2367</v>
      </c>
      <c r="K499" s="156">
        <v>612.63</v>
      </c>
      <c r="L499" s="156">
        <v>1367</v>
      </c>
      <c r="M499" s="156">
        <v>3307.9</v>
      </c>
      <c r="N499" s="156">
        <v>1000</v>
      </c>
      <c r="O499" s="156">
        <v>2000</v>
      </c>
      <c r="P499" s="156">
        <v>2000</v>
      </c>
      <c r="Q499" s="156">
        <v>2000</v>
      </c>
      <c r="R499" s="156">
        <v>1000</v>
      </c>
      <c r="S499" s="156">
        <f t="shared" si="177"/>
        <v>1000</v>
      </c>
      <c r="T499" s="156">
        <f t="shared" si="178"/>
        <v>1000</v>
      </c>
      <c r="U499" s="140">
        <f t="shared" si="179"/>
        <v>1</v>
      </c>
      <c r="V499" s="140">
        <f t="shared" si="180"/>
        <v>-4.4250105618926817E-2</v>
      </c>
      <c r="W499" s="140">
        <f t="shared" si="181"/>
        <v>-0.74117870722433454</v>
      </c>
      <c r="X499" s="140">
        <f t="shared" si="182"/>
        <v>1.4198244330651062</v>
      </c>
      <c r="Y499" s="140">
        <f t="shared" si="183"/>
        <v>0</v>
      </c>
      <c r="Z499" s="140">
        <f t="shared" si="184"/>
        <v>-0.72919558317788402</v>
      </c>
      <c r="AA499" s="140">
        <f t="shared" si="185"/>
        <v>-0.42247570764681031</v>
      </c>
      <c r="AB499" s="140">
        <f t="shared" si="186"/>
        <v>4.399507043403033</v>
      </c>
      <c r="AC499" s="140">
        <f t="shared" si="187"/>
        <v>-0.26847110460863205</v>
      </c>
      <c r="AD499" s="140">
        <f t="shared" si="188"/>
        <v>-0.57752429235318969</v>
      </c>
      <c r="AE499" s="140">
        <f t="shared" si="189"/>
        <v>1</v>
      </c>
      <c r="AF499" s="140">
        <f t="shared" si="190"/>
        <v>1</v>
      </c>
      <c r="AG499" s="140">
        <f t="shared" si="191"/>
        <v>1</v>
      </c>
      <c r="AH499" s="140">
        <f t="shared" si="192"/>
        <v>0</v>
      </c>
      <c r="AI499" s="140">
        <f t="shared" si="193"/>
        <v>-0.15504858470637939</v>
      </c>
      <c r="AJ499" s="140">
        <f t="shared" si="194"/>
        <v>-0.15504858470637939</v>
      </c>
      <c r="AK499" s="140">
        <f t="shared" si="195"/>
        <v>-0.15504858470637939</v>
      </c>
      <c r="AL499" s="140">
        <f t="shared" si="196"/>
        <v>-0.57752429235318969</v>
      </c>
      <c r="AM499" t="str">
        <f t="shared" si="197"/>
        <v>4625-000: Postage Supplies</v>
      </c>
      <c r="AN499" s="140">
        <f t="shared" si="198"/>
        <v>-0.23031560408514742</v>
      </c>
      <c r="AO499" s="140">
        <f t="shared" si="199"/>
        <v>1.2303156040851475</v>
      </c>
      <c r="AP499" s="1">
        <f>IF(AND(AO499&gt;0, _xlfn.XLOOKUP($AM499, Discretionaries!$A$2:'Discretionaries'!$A$150, Discretionaries!$B$2:'Discretionaries'!$B$150)), (1+AN499)*$N499, "")</f>
        <v>769.68439591485264</v>
      </c>
      <c r="AQ499" s="1">
        <f>IF(AND(AO499&gt;0, _xlfn.XLOOKUP($AM499, Discretionaries!$A$2:'Discretionaries'!$A$150, Discretionaries!$B$2:'Discretionaries'!$B$150)),AP499-$Q499,"")</f>
        <v>-1230.3156040851472</v>
      </c>
      <c r="AR499" s="140">
        <f>IF(AG499="", 0-CPI!$B$15, AG499-CPI!$B$15)</f>
        <v>0.96099999999999997</v>
      </c>
      <c r="AS499" s="1">
        <f>IF(AND(AR499&gt;0, _xlfn.XLOOKUP($AM499, Discretionaries!$A$2:'Discretionaries'!$A$150, Discretionaries!$B$2:'Discretionaries'!$B$150)), (1+CPI!$B$15)*$N499, "")</f>
        <v>1039</v>
      </c>
      <c r="AT499" s="1">
        <f>IF(AND(AR499&gt;0, _xlfn.XLOOKUP($AM499, Discretionaries!$A$2:'Discretionaries'!$A$150, Discretionaries!$B$2:'Discretionaries'!$B$150)),AS499-$Q499,"")</f>
        <v>-961</v>
      </c>
    </row>
    <row r="500" spans="1:46" x14ac:dyDescent="0.3">
      <c r="A500" t="s">
        <v>444</v>
      </c>
      <c r="B500" t="str">
        <f t="shared" si="175"/>
        <v>31</v>
      </c>
      <c r="C500" t="s">
        <v>408</v>
      </c>
      <c r="D500" t="str">
        <f t="shared" si="176"/>
        <v>00</v>
      </c>
      <c r="E500" t="s">
        <v>30</v>
      </c>
      <c r="F500" s="139" t="s">
        <v>137</v>
      </c>
      <c r="G500" t="s">
        <v>138</v>
      </c>
      <c r="H500" s="156">
        <v>25000</v>
      </c>
      <c r="I500" s="156">
        <v>41660.29</v>
      </c>
      <c r="J500" s="156">
        <v>25000</v>
      </c>
      <c r="K500" s="156">
        <v>25716.080000000002</v>
      </c>
      <c r="L500" s="156">
        <v>25000</v>
      </c>
      <c r="M500" s="156">
        <v>27910.25</v>
      </c>
      <c r="N500" s="156">
        <v>25000</v>
      </c>
      <c r="O500" s="156">
        <v>25000</v>
      </c>
      <c r="P500" s="156">
        <v>25000</v>
      </c>
      <c r="Q500" s="156">
        <v>25000</v>
      </c>
      <c r="R500" s="156">
        <v>25000</v>
      </c>
      <c r="S500" s="156">
        <f t="shared" si="177"/>
        <v>0</v>
      </c>
      <c r="T500" s="156">
        <f t="shared" si="178"/>
        <v>0</v>
      </c>
      <c r="U500" s="140">
        <f t="shared" si="179"/>
        <v>0</v>
      </c>
      <c r="V500" s="140">
        <f t="shared" si="180"/>
        <v>0.66641159999999999</v>
      </c>
      <c r="W500" s="140">
        <f t="shared" si="181"/>
        <v>2.864320000000007E-2</v>
      </c>
      <c r="X500" s="140">
        <f t="shared" si="182"/>
        <v>0.11641</v>
      </c>
      <c r="Y500" s="140">
        <f t="shared" si="183"/>
        <v>0</v>
      </c>
      <c r="Z500" s="140">
        <f t="shared" si="184"/>
        <v>-0.38271961140933003</v>
      </c>
      <c r="AA500" s="140">
        <f t="shared" si="185"/>
        <v>0</v>
      </c>
      <c r="AB500" s="140">
        <f t="shared" si="186"/>
        <v>8.5322879692394729E-2</v>
      </c>
      <c r="AC500" s="140">
        <f t="shared" si="187"/>
        <v>0</v>
      </c>
      <c r="AD500" s="140">
        <f t="shared" si="188"/>
        <v>0</v>
      </c>
      <c r="AE500" s="140">
        <f t="shared" si="189"/>
        <v>0</v>
      </c>
      <c r="AF500" s="140">
        <f t="shared" si="190"/>
        <v>0</v>
      </c>
      <c r="AG500" s="140">
        <f t="shared" si="191"/>
        <v>0</v>
      </c>
      <c r="AH500" s="140">
        <f t="shared" si="192"/>
        <v>0</v>
      </c>
      <c r="AI500" s="140">
        <f t="shared" si="193"/>
        <v>0</v>
      </c>
      <c r="AJ500" s="140">
        <f t="shared" si="194"/>
        <v>0</v>
      </c>
      <c r="AK500" s="140">
        <f t="shared" si="195"/>
        <v>0</v>
      </c>
      <c r="AL500" s="140">
        <f t="shared" si="196"/>
        <v>0</v>
      </c>
      <c r="AM500" t="str">
        <f t="shared" si="197"/>
        <v>4630-000: Maint &amp; repairs Supplies</v>
      </c>
      <c r="AN500" s="140">
        <f t="shared" si="198"/>
        <v>0</v>
      </c>
      <c r="AO500" s="140">
        <f t="shared" si="199"/>
        <v>0</v>
      </c>
      <c r="AP500" s="1" t="str">
        <f>IF(AND(AO500&gt;0, _xlfn.XLOOKUP($AM500, Discretionaries!$A$2:'Discretionaries'!$A$150, Discretionaries!$B$2:'Discretionaries'!$B$150)), (1+AN500)*$N500, "")</f>
        <v/>
      </c>
      <c r="AQ500" s="1" t="str">
        <f>IF(AND(AO500&gt;0, _xlfn.XLOOKUP($AM500, Discretionaries!$A$2:'Discretionaries'!$A$150, Discretionaries!$B$2:'Discretionaries'!$B$150)),AP500-$Q500,"")</f>
        <v/>
      </c>
      <c r="AR500" s="140">
        <f>IF(AG500="", 0-CPI!$B$15, AG500-CPI!$B$15)</f>
        <v>-3.8999999999999993E-2</v>
      </c>
      <c r="AS500" s="1" t="str">
        <f>IF(AND(AR500&gt;0, _xlfn.XLOOKUP($AM500, Discretionaries!$A$2:'Discretionaries'!$A$150, Discretionaries!$B$2:'Discretionaries'!$B$150)), (1+CPI!$B$15)*$N500, "")</f>
        <v/>
      </c>
      <c r="AT500" s="1" t="str">
        <f>IF(AND(AR500&gt;0, _xlfn.XLOOKUP($AM500, Discretionaries!$A$2:'Discretionaries'!$A$150, Discretionaries!$B$2:'Discretionaries'!$B$150)),AS500-$Q500,"")</f>
        <v/>
      </c>
    </row>
    <row r="501" spans="1:46" x14ac:dyDescent="0.3">
      <c r="A501" t="s">
        <v>444</v>
      </c>
      <c r="B501" t="str">
        <f t="shared" si="175"/>
        <v>31</v>
      </c>
      <c r="C501" t="s">
        <v>408</v>
      </c>
      <c r="D501" t="str">
        <f t="shared" si="176"/>
        <v>00</v>
      </c>
      <c r="E501" t="s">
        <v>30</v>
      </c>
      <c r="F501" s="139" t="s">
        <v>53</v>
      </c>
      <c r="G501" t="s">
        <v>50</v>
      </c>
      <c r="H501" s="156">
        <v>95000</v>
      </c>
      <c r="I501" s="156">
        <v>190507.44</v>
      </c>
      <c r="J501" s="156">
        <v>100000</v>
      </c>
      <c r="K501" s="156">
        <v>160035.01</v>
      </c>
      <c r="L501" s="156">
        <v>90000</v>
      </c>
      <c r="M501" s="156">
        <v>103146.16</v>
      </c>
      <c r="N501" s="156">
        <v>100000</v>
      </c>
      <c r="O501" s="156">
        <v>141000</v>
      </c>
      <c r="P501" s="156">
        <v>141000</v>
      </c>
      <c r="Q501" s="156">
        <v>141000</v>
      </c>
      <c r="R501" s="156">
        <v>100000</v>
      </c>
      <c r="S501" s="156">
        <f t="shared" si="177"/>
        <v>41000</v>
      </c>
      <c r="T501" s="156">
        <f t="shared" si="178"/>
        <v>41000</v>
      </c>
      <c r="U501" s="140">
        <f t="shared" si="179"/>
        <v>0.41</v>
      </c>
      <c r="V501" s="140">
        <f t="shared" si="180"/>
        <v>1.0053414736842106</v>
      </c>
      <c r="W501" s="140">
        <f t="shared" si="181"/>
        <v>0.60035010000000011</v>
      </c>
      <c r="X501" s="140">
        <f t="shared" si="182"/>
        <v>0.14606844444444447</v>
      </c>
      <c r="Y501" s="140">
        <f t="shared" si="183"/>
        <v>5.2631578947368418E-2</v>
      </c>
      <c r="Z501" s="140">
        <f t="shared" si="184"/>
        <v>-0.15995401544422619</v>
      </c>
      <c r="AA501" s="140">
        <f t="shared" si="185"/>
        <v>-0.1</v>
      </c>
      <c r="AB501" s="140">
        <f t="shared" si="186"/>
        <v>-0.35547752957306034</v>
      </c>
      <c r="AC501" s="140">
        <f t="shared" si="187"/>
        <v>0.1111111111111111</v>
      </c>
      <c r="AD501" s="140">
        <f t="shared" si="188"/>
        <v>5.2631578947368418E-2</v>
      </c>
      <c r="AE501" s="140">
        <f t="shared" si="189"/>
        <v>0.41</v>
      </c>
      <c r="AF501" s="140">
        <f t="shared" si="190"/>
        <v>0.41</v>
      </c>
      <c r="AG501" s="140">
        <f t="shared" si="191"/>
        <v>0.41</v>
      </c>
      <c r="AH501" s="140">
        <f t="shared" si="192"/>
        <v>0</v>
      </c>
      <c r="AI501" s="140">
        <f t="shared" si="193"/>
        <v>0.48421052631578948</v>
      </c>
      <c r="AJ501" s="140">
        <f t="shared" si="194"/>
        <v>0.48421052631578948</v>
      </c>
      <c r="AK501" s="140">
        <f t="shared" si="195"/>
        <v>0.48421052631578948</v>
      </c>
      <c r="AL501" s="140">
        <f t="shared" si="196"/>
        <v>5.2631578947368418E-2</v>
      </c>
      <c r="AM501" t="str">
        <f t="shared" si="197"/>
        <v>4670-000: Books &amp; periodicals Supplies</v>
      </c>
      <c r="AN501" s="140">
        <f t="shared" si="198"/>
        <v>2.1247563352826505E-2</v>
      </c>
      <c r="AO501" s="140">
        <f t="shared" si="199"/>
        <v>0.38875243664717346</v>
      </c>
      <c r="AP501" s="1">
        <f>IF(AND(AO501&gt;0, _xlfn.XLOOKUP($AM501, Discretionaries!$A$2:'Discretionaries'!$A$150, Discretionaries!$B$2:'Discretionaries'!$B$150)), (1+AN501)*$N501, "")</f>
        <v>102124.75633528264</v>
      </c>
      <c r="AQ501" s="1">
        <f>IF(AND(AO501&gt;0, _xlfn.XLOOKUP($AM501, Discretionaries!$A$2:'Discretionaries'!$A$150, Discretionaries!$B$2:'Discretionaries'!$B$150)),AP501-$Q501,"")</f>
        <v>-38875.24366471736</v>
      </c>
      <c r="AR501" s="140">
        <f>IF(AG501="", 0-CPI!$B$15, AG501-CPI!$B$15)</f>
        <v>0.371</v>
      </c>
      <c r="AS501" s="1">
        <f>IF(AND(AR501&gt;0, _xlfn.XLOOKUP($AM501, Discretionaries!$A$2:'Discretionaries'!$A$150, Discretionaries!$B$2:'Discretionaries'!$B$150)), (1+CPI!$B$15)*$N501, "")</f>
        <v>103899.99999999999</v>
      </c>
      <c r="AT501" s="1">
        <f>IF(AND(AR501&gt;0, _xlfn.XLOOKUP($AM501, Discretionaries!$A$2:'Discretionaries'!$A$150, Discretionaries!$B$2:'Discretionaries'!$B$150)),AS501-$Q501,"")</f>
        <v>-37100.000000000015</v>
      </c>
    </row>
    <row r="502" spans="1:46" x14ac:dyDescent="0.3">
      <c r="A502" t="s">
        <v>444</v>
      </c>
      <c r="B502" t="str">
        <f t="shared" si="175"/>
        <v>31</v>
      </c>
      <c r="C502" t="s">
        <v>408</v>
      </c>
      <c r="D502" t="str">
        <f t="shared" si="176"/>
        <v>00</v>
      </c>
      <c r="E502" t="s">
        <v>30</v>
      </c>
      <c r="F502" s="139" t="s">
        <v>381</v>
      </c>
      <c r="G502" t="s">
        <v>382</v>
      </c>
      <c r="H502" s="156">
        <v>0</v>
      </c>
      <c r="I502" s="156">
        <v>0</v>
      </c>
      <c r="J502" s="156">
        <v>0</v>
      </c>
      <c r="K502" s="156">
        <v>0</v>
      </c>
      <c r="L502" s="156">
        <v>0</v>
      </c>
      <c r="M502" s="156">
        <v>0</v>
      </c>
      <c r="N502" s="156">
        <v>0</v>
      </c>
      <c r="O502" s="156">
        <v>0</v>
      </c>
      <c r="P502" s="156">
        <v>0</v>
      </c>
      <c r="Q502" s="156">
        <v>0</v>
      </c>
      <c r="R502" s="156">
        <v>0</v>
      </c>
      <c r="S502" s="156">
        <f t="shared" si="177"/>
        <v>0</v>
      </c>
      <c r="T502" s="156">
        <f t="shared" si="178"/>
        <v>0</v>
      </c>
      <c r="U502" s="140" t="str">
        <f t="shared" si="179"/>
        <v/>
      </c>
      <c r="V502" s="140" t="str">
        <f t="shared" si="180"/>
        <v/>
      </c>
      <c r="W502" s="140" t="str">
        <f t="shared" si="181"/>
        <v/>
      </c>
      <c r="X502" s="140" t="str">
        <f t="shared" si="182"/>
        <v/>
      </c>
      <c r="Y502" s="140" t="str">
        <f t="shared" si="183"/>
        <v/>
      </c>
      <c r="Z502" s="140" t="str">
        <f t="shared" si="184"/>
        <v/>
      </c>
      <c r="AA502" s="140" t="str">
        <f t="shared" si="185"/>
        <v/>
      </c>
      <c r="AB502" s="140" t="str">
        <f t="shared" si="186"/>
        <v/>
      </c>
      <c r="AC502" s="140" t="str">
        <f t="shared" si="187"/>
        <v/>
      </c>
      <c r="AD502" s="140" t="str">
        <f t="shared" si="188"/>
        <v/>
      </c>
      <c r="AE502" s="140" t="str">
        <f t="shared" si="189"/>
        <v/>
      </c>
      <c r="AF502" s="140" t="str">
        <f t="shared" si="190"/>
        <v/>
      </c>
      <c r="AG502" s="140" t="str">
        <f t="shared" si="191"/>
        <v/>
      </c>
      <c r="AH502" s="140" t="str">
        <f t="shared" si="192"/>
        <v/>
      </c>
      <c r="AI502" s="140" t="str">
        <f t="shared" si="193"/>
        <v/>
      </c>
      <c r="AJ502" s="140" t="str">
        <f t="shared" si="194"/>
        <v/>
      </c>
      <c r="AK502" s="140" t="str">
        <f t="shared" si="195"/>
        <v/>
      </c>
      <c r="AL502" s="140" t="str">
        <f t="shared" si="196"/>
        <v/>
      </c>
      <c r="AM502" t="str">
        <f t="shared" si="197"/>
        <v>4670-001: Electronic Books/Databases</v>
      </c>
      <c r="AN502" s="140">
        <f t="shared" si="198"/>
        <v>0</v>
      </c>
      <c r="AO502" s="140">
        <f t="shared" si="199"/>
        <v>0</v>
      </c>
      <c r="AP502" s="1" t="str">
        <f>IF(AND(AO502&gt;0, _xlfn.XLOOKUP($AM502, Discretionaries!$A$2:'Discretionaries'!$A$150, Discretionaries!$B$2:'Discretionaries'!$B$150)), (1+AN502)*$N502, "")</f>
        <v/>
      </c>
      <c r="AQ502" s="1" t="str">
        <f>IF(AND(AO502&gt;0, _xlfn.XLOOKUP($AM502, Discretionaries!$A$2:'Discretionaries'!$A$150, Discretionaries!$B$2:'Discretionaries'!$B$150)),AP502-$Q502,"")</f>
        <v/>
      </c>
      <c r="AR502" s="140">
        <f>IF(AG502="", 0-CPI!$B$15, AG502-CPI!$B$15)</f>
        <v>-3.8999999999999993E-2</v>
      </c>
      <c r="AS502" s="1" t="str">
        <f>IF(AND(AR502&gt;0, _xlfn.XLOOKUP($AM502, Discretionaries!$A$2:'Discretionaries'!$A$150, Discretionaries!$B$2:'Discretionaries'!$B$150)), (1+CPI!$B$15)*$N502, "")</f>
        <v/>
      </c>
      <c r="AT502" s="1" t="str">
        <f>IF(AND(AR502&gt;0, _xlfn.XLOOKUP($AM502, Discretionaries!$A$2:'Discretionaries'!$A$150, Discretionaries!$B$2:'Discretionaries'!$B$150)),AS502-$Q502,"")</f>
        <v/>
      </c>
    </row>
    <row r="503" spans="1:46" x14ac:dyDescent="0.3">
      <c r="A503" t="s">
        <v>444</v>
      </c>
      <c r="B503" t="str">
        <f t="shared" si="175"/>
        <v>31</v>
      </c>
      <c r="C503" t="s">
        <v>408</v>
      </c>
      <c r="D503" t="str">
        <f t="shared" si="176"/>
        <v>00</v>
      </c>
      <c r="E503" t="s">
        <v>54</v>
      </c>
      <c r="F503" s="139" t="s">
        <v>114</v>
      </c>
      <c r="G503" t="s">
        <v>115</v>
      </c>
      <c r="H503" s="156">
        <v>0</v>
      </c>
      <c r="I503" s="156">
        <v>1989.63</v>
      </c>
      <c r="J503" s="156">
        <v>0</v>
      </c>
      <c r="K503" s="156">
        <v>3013.78</v>
      </c>
      <c r="L503" s="156">
        <v>0</v>
      </c>
      <c r="M503" s="156">
        <v>3963.03</v>
      </c>
      <c r="N503" s="156">
        <v>0</v>
      </c>
      <c r="O503" s="156">
        <v>1000</v>
      </c>
      <c r="P503" s="156">
        <v>1000</v>
      </c>
      <c r="Q503" s="156">
        <v>1000</v>
      </c>
      <c r="R503" s="156">
        <v>0</v>
      </c>
      <c r="S503" s="156">
        <f t="shared" si="177"/>
        <v>1000</v>
      </c>
      <c r="T503" s="156">
        <f t="shared" si="178"/>
        <v>1000</v>
      </c>
      <c r="U503" s="140" t="str">
        <f t="shared" si="179"/>
        <v/>
      </c>
      <c r="V503" s="140" t="str">
        <f t="shared" si="180"/>
        <v/>
      </c>
      <c r="W503" s="140" t="str">
        <f t="shared" si="181"/>
        <v/>
      </c>
      <c r="X503" s="140" t="str">
        <f t="shared" si="182"/>
        <v/>
      </c>
      <c r="Y503" s="140" t="str">
        <f t="shared" si="183"/>
        <v/>
      </c>
      <c r="Z503" s="140">
        <f t="shared" si="184"/>
        <v>0.51474394736709839</v>
      </c>
      <c r="AA503" s="140" t="str">
        <f t="shared" si="185"/>
        <v/>
      </c>
      <c r="AB503" s="140">
        <f t="shared" si="186"/>
        <v>0.31496990490347665</v>
      </c>
      <c r="AC503" s="140" t="str">
        <f t="shared" si="187"/>
        <v/>
      </c>
      <c r="AD503" s="140" t="str">
        <f t="shared" si="188"/>
        <v/>
      </c>
      <c r="AE503" s="140" t="str">
        <f t="shared" si="189"/>
        <v/>
      </c>
      <c r="AF503" s="140" t="str">
        <f t="shared" si="190"/>
        <v/>
      </c>
      <c r="AG503" s="140" t="str">
        <f t="shared" si="191"/>
        <v/>
      </c>
      <c r="AH503" s="140" t="str">
        <f t="shared" si="192"/>
        <v/>
      </c>
      <c r="AI503" s="140" t="str">
        <f t="shared" si="193"/>
        <v/>
      </c>
      <c r="AJ503" s="140" t="str">
        <f t="shared" si="194"/>
        <v/>
      </c>
      <c r="AK503" s="140" t="str">
        <f t="shared" si="195"/>
        <v/>
      </c>
      <c r="AL503" s="140" t="str">
        <f t="shared" si="196"/>
        <v/>
      </c>
      <c r="AM503" t="str">
        <f t="shared" si="197"/>
        <v>4740-000: Mach &amp; equip Property</v>
      </c>
      <c r="AN503" s="140">
        <f t="shared" si="198"/>
        <v>0</v>
      </c>
      <c r="AO503" s="140">
        <f t="shared" si="199"/>
        <v>0</v>
      </c>
      <c r="AP503" s="1" t="str">
        <f>IF(AND(AO503&gt;0, _xlfn.XLOOKUP($AM503, Discretionaries!$A$2:'Discretionaries'!$A$150, Discretionaries!$B$2:'Discretionaries'!$B$150)), (1+AN503)*$N503, "")</f>
        <v/>
      </c>
      <c r="AQ503" s="1" t="str">
        <f>IF(AND(AO503&gt;0, _xlfn.XLOOKUP($AM503, Discretionaries!$A$2:'Discretionaries'!$A$150, Discretionaries!$B$2:'Discretionaries'!$B$150)),AP503-$Q503,"")</f>
        <v/>
      </c>
      <c r="AR503" s="140">
        <f>IF(AG503="", 0-CPI!$B$15, AG503-CPI!$B$15)</f>
        <v>-3.8999999999999993E-2</v>
      </c>
      <c r="AS503" s="1" t="str">
        <f>IF(AND(AR503&gt;0, _xlfn.XLOOKUP($AM503, Discretionaries!$A$2:'Discretionaries'!$A$150, Discretionaries!$B$2:'Discretionaries'!$B$150)), (1+CPI!$B$15)*$N503, "")</f>
        <v/>
      </c>
      <c r="AT503" s="1" t="str">
        <f>IF(AND(AR503&gt;0, _xlfn.XLOOKUP($AM503, Discretionaries!$A$2:'Discretionaries'!$A$150, Discretionaries!$B$2:'Discretionaries'!$B$150)),AS503-$Q503,"")</f>
        <v/>
      </c>
    </row>
    <row r="504" spans="1:46" x14ac:dyDescent="0.3">
      <c r="A504" t="s">
        <v>444</v>
      </c>
      <c r="B504" t="str">
        <f t="shared" si="175"/>
        <v>31</v>
      </c>
      <c r="C504" t="s">
        <v>408</v>
      </c>
      <c r="D504" t="str">
        <f t="shared" si="176"/>
        <v>00</v>
      </c>
      <c r="E504" t="s">
        <v>54</v>
      </c>
      <c r="F504" s="139" t="s">
        <v>55</v>
      </c>
      <c r="G504" t="s">
        <v>56</v>
      </c>
      <c r="H504" s="156">
        <v>0</v>
      </c>
      <c r="I504" s="156">
        <v>9666.34</v>
      </c>
      <c r="J504" s="156">
        <v>0</v>
      </c>
      <c r="K504" s="156">
        <v>1711.75</v>
      </c>
      <c r="L504" s="156">
        <v>0</v>
      </c>
      <c r="M504" s="156">
        <v>0</v>
      </c>
      <c r="N504" s="156">
        <v>2500</v>
      </c>
      <c r="O504" s="156">
        <v>2500</v>
      </c>
      <c r="P504" s="156">
        <v>2500</v>
      </c>
      <c r="Q504" s="156">
        <v>2500</v>
      </c>
      <c r="R504" s="156">
        <v>2500</v>
      </c>
      <c r="S504" s="156">
        <f t="shared" si="177"/>
        <v>0</v>
      </c>
      <c r="T504" s="156">
        <f t="shared" si="178"/>
        <v>0</v>
      </c>
      <c r="U504" s="140">
        <f t="shared" si="179"/>
        <v>0</v>
      </c>
      <c r="V504" s="140" t="str">
        <f t="shared" si="180"/>
        <v/>
      </c>
      <c r="W504" s="140" t="str">
        <f t="shared" si="181"/>
        <v/>
      </c>
      <c r="X504" s="140" t="str">
        <f t="shared" si="182"/>
        <v/>
      </c>
      <c r="Y504" s="140" t="str">
        <f t="shared" si="183"/>
        <v/>
      </c>
      <c r="Z504" s="140">
        <f t="shared" si="184"/>
        <v>-0.82291642958968958</v>
      </c>
      <c r="AA504" s="140" t="str">
        <f t="shared" si="185"/>
        <v/>
      </c>
      <c r="AB504" s="140">
        <f t="shared" si="186"/>
        <v>-1</v>
      </c>
      <c r="AC504" s="140" t="str">
        <f t="shared" si="187"/>
        <v/>
      </c>
      <c r="AD504" s="140" t="str">
        <f t="shared" si="188"/>
        <v/>
      </c>
      <c r="AE504" s="140">
        <f t="shared" si="189"/>
        <v>0</v>
      </c>
      <c r="AF504" s="140">
        <f t="shared" si="190"/>
        <v>0</v>
      </c>
      <c r="AG504" s="140">
        <f t="shared" si="191"/>
        <v>0</v>
      </c>
      <c r="AH504" s="140">
        <f t="shared" si="192"/>
        <v>0</v>
      </c>
      <c r="AI504" s="140" t="str">
        <f t="shared" si="193"/>
        <v/>
      </c>
      <c r="AJ504" s="140" t="str">
        <f t="shared" si="194"/>
        <v/>
      </c>
      <c r="AK504" s="140" t="str">
        <f t="shared" si="195"/>
        <v/>
      </c>
      <c r="AL504" s="140" t="str">
        <f t="shared" si="196"/>
        <v/>
      </c>
      <c r="AM504" t="str">
        <f t="shared" si="197"/>
        <v>4750-000: Furniture &amp; fixures Property</v>
      </c>
      <c r="AN504" s="140">
        <f t="shared" si="198"/>
        <v>0</v>
      </c>
      <c r="AO504" s="140">
        <f t="shared" si="199"/>
        <v>0</v>
      </c>
      <c r="AP504" s="1" t="str">
        <f>IF(AND(AO504&gt;0, _xlfn.XLOOKUP($AM504, Discretionaries!$A$2:'Discretionaries'!$A$150, Discretionaries!$B$2:'Discretionaries'!$B$150)), (1+AN504)*$N504, "")</f>
        <v/>
      </c>
      <c r="AQ504" s="1" t="str">
        <f>IF(AND(AO504&gt;0, _xlfn.XLOOKUP($AM504, Discretionaries!$A$2:'Discretionaries'!$A$150, Discretionaries!$B$2:'Discretionaries'!$B$150)),AP504-$Q504,"")</f>
        <v/>
      </c>
      <c r="AR504" s="140">
        <f>IF(AG504="", 0-CPI!$B$15, AG504-CPI!$B$15)</f>
        <v>-3.8999999999999993E-2</v>
      </c>
      <c r="AS504" s="1" t="str">
        <f>IF(AND(AR504&gt;0, _xlfn.XLOOKUP($AM504, Discretionaries!$A$2:'Discretionaries'!$A$150, Discretionaries!$B$2:'Discretionaries'!$B$150)), (1+CPI!$B$15)*$N504, "")</f>
        <v/>
      </c>
      <c r="AT504" s="1" t="str">
        <f>IF(AND(AR504&gt;0, _xlfn.XLOOKUP($AM504, Discretionaries!$A$2:'Discretionaries'!$A$150, Discretionaries!$B$2:'Discretionaries'!$B$150)),AS504-$Q504,"")</f>
        <v/>
      </c>
    </row>
    <row r="505" spans="1:46" x14ac:dyDescent="0.3">
      <c r="A505" t="s">
        <v>444</v>
      </c>
      <c r="B505" t="str">
        <f t="shared" si="175"/>
        <v>31</v>
      </c>
      <c r="C505" t="s">
        <v>408</v>
      </c>
      <c r="D505" t="str">
        <f t="shared" si="176"/>
        <v>00</v>
      </c>
      <c r="E505" t="s">
        <v>172</v>
      </c>
      <c r="F505" s="139" t="s">
        <v>370</v>
      </c>
      <c r="G505" t="s">
        <v>371</v>
      </c>
      <c r="H505" s="156">
        <v>0</v>
      </c>
      <c r="I505" s="156">
        <v>0</v>
      </c>
      <c r="J505" s="156">
        <v>0</v>
      </c>
      <c r="K505" s="156">
        <v>0</v>
      </c>
      <c r="L505" s="156">
        <v>0</v>
      </c>
      <c r="M505" s="156">
        <v>0</v>
      </c>
      <c r="N505" s="156">
        <v>0</v>
      </c>
      <c r="O505" s="156">
        <v>0</v>
      </c>
      <c r="P505" s="156">
        <v>0</v>
      </c>
      <c r="Q505" s="156">
        <v>0</v>
      </c>
      <c r="R505" s="156">
        <v>0</v>
      </c>
      <c r="S505" s="156">
        <f t="shared" si="177"/>
        <v>0</v>
      </c>
      <c r="T505" s="156">
        <f t="shared" si="178"/>
        <v>0</v>
      </c>
      <c r="U505" s="140" t="str">
        <f t="shared" si="179"/>
        <v/>
      </c>
      <c r="V505" s="140" t="str">
        <f t="shared" si="180"/>
        <v/>
      </c>
      <c r="W505" s="140" t="str">
        <f t="shared" si="181"/>
        <v/>
      </c>
      <c r="X505" s="140" t="str">
        <f t="shared" si="182"/>
        <v/>
      </c>
      <c r="Y505" s="140" t="str">
        <f t="shared" si="183"/>
        <v/>
      </c>
      <c r="Z505" s="140" t="str">
        <f t="shared" si="184"/>
        <v/>
      </c>
      <c r="AA505" s="140" t="str">
        <f t="shared" si="185"/>
        <v/>
      </c>
      <c r="AB505" s="140" t="str">
        <f t="shared" si="186"/>
        <v/>
      </c>
      <c r="AC505" s="140" t="str">
        <f t="shared" si="187"/>
        <v/>
      </c>
      <c r="AD505" s="140" t="str">
        <f t="shared" si="188"/>
        <v/>
      </c>
      <c r="AE505" s="140" t="str">
        <f t="shared" si="189"/>
        <v/>
      </c>
      <c r="AF505" s="140" t="str">
        <f t="shared" si="190"/>
        <v/>
      </c>
      <c r="AG505" s="140" t="str">
        <f t="shared" si="191"/>
        <v/>
      </c>
      <c r="AH505" s="140" t="str">
        <f t="shared" si="192"/>
        <v/>
      </c>
      <c r="AI505" s="140" t="str">
        <f t="shared" si="193"/>
        <v/>
      </c>
      <c r="AJ505" s="140" t="str">
        <f t="shared" si="194"/>
        <v/>
      </c>
      <c r="AK505" s="140" t="str">
        <f t="shared" si="195"/>
        <v/>
      </c>
      <c r="AL505" s="140" t="str">
        <f t="shared" si="196"/>
        <v/>
      </c>
      <c r="AM505" t="str">
        <f t="shared" si="197"/>
        <v>4821-000: Adult programs Other</v>
      </c>
      <c r="AN505" s="140">
        <f t="shared" si="198"/>
        <v>0</v>
      </c>
      <c r="AO505" s="140">
        <f t="shared" si="199"/>
        <v>0</v>
      </c>
      <c r="AP505" s="1" t="str">
        <f>IF(AND(AO505&gt;0, _xlfn.XLOOKUP($AM505, Discretionaries!$A$2:'Discretionaries'!$A$150, Discretionaries!$B$2:'Discretionaries'!$B$150)), (1+AN505)*$N505, "")</f>
        <v/>
      </c>
      <c r="AQ505" s="1" t="str">
        <f>IF(AND(AO505&gt;0, _xlfn.XLOOKUP($AM505, Discretionaries!$A$2:'Discretionaries'!$A$150, Discretionaries!$B$2:'Discretionaries'!$B$150)),AP505-$Q505,"")</f>
        <v/>
      </c>
      <c r="AR505" s="140">
        <f>IF(AG505="", 0-CPI!$B$15, AG505-CPI!$B$15)</f>
        <v>-3.8999999999999993E-2</v>
      </c>
      <c r="AS505" s="1" t="str">
        <f>IF(AND(AR505&gt;0, _xlfn.XLOOKUP($AM505, Discretionaries!$A$2:'Discretionaries'!$A$150, Discretionaries!$B$2:'Discretionaries'!$B$150)), (1+CPI!$B$15)*$N505, "")</f>
        <v/>
      </c>
      <c r="AT505" s="1" t="str">
        <f>IF(AND(AR505&gt;0, _xlfn.XLOOKUP($AM505, Discretionaries!$A$2:'Discretionaries'!$A$150, Discretionaries!$B$2:'Discretionaries'!$B$150)),AS505-$Q505,"")</f>
        <v/>
      </c>
    </row>
    <row r="506" spans="1:46" x14ac:dyDescent="0.3">
      <c r="A506" t="s">
        <v>444</v>
      </c>
      <c r="B506" t="str">
        <f t="shared" si="175"/>
        <v>31</v>
      </c>
      <c r="C506" t="s">
        <v>408</v>
      </c>
      <c r="D506" t="str">
        <f t="shared" si="176"/>
        <v>00</v>
      </c>
      <c r="E506" t="s">
        <v>172</v>
      </c>
      <c r="F506" s="139" t="s">
        <v>383</v>
      </c>
      <c r="G506" t="s">
        <v>384</v>
      </c>
      <c r="H506" s="156">
        <v>0</v>
      </c>
      <c r="I506" s="156">
        <v>0</v>
      </c>
      <c r="J506" s="156">
        <v>0</v>
      </c>
      <c r="K506" s="156">
        <v>0</v>
      </c>
      <c r="L506" s="156">
        <v>0</v>
      </c>
      <c r="M506" s="156">
        <v>0</v>
      </c>
      <c r="N506" s="156">
        <v>0</v>
      </c>
      <c r="O506" s="156">
        <v>0</v>
      </c>
      <c r="P506" s="156">
        <v>0</v>
      </c>
      <c r="Q506" s="156">
        <v>0</v>
      </c>
      <c r="R506" s="156">
        <v>0</v>
      </c>
      <c r="S506" s="156">
        <f t="shared" si="177"/>
        <v>0</v>
      </c>
      <c r="T506" s="156">
        <f t="shared" si="178"/>
        <v>0</v>
      </c>
      <c r="U506" s="140" t="str">
        <f t="shared" si="179"/>
        <v/>
      </c>
      <c r="V506" s="140" t="str">
        <f t="shared" si="180"/>
        <v/>
      </c>
      <c r="W506" s="140" t="str">
        <f t="shared" si="181"/>
        <v/>
      </c>
      <c r="X506" s="140" t="str">
        <f t="shared" si="182"/>
        <v/>
      </c>
      <c r="Y506" s="140" t="str">
        <f t="shared" si="183"/>
        <v/>
      </c>
      <c r="Z506" s="140" t="str">
        <f t="shared" si="184"/>
        <v/>
      </c>
      <c r="AA506" s="140" t="str">
        <f t="shared" si="185"/>
        <v/>
      </c>
      <c r="AB506" s="140" t="str">
        <f t="shared" si="186"/>
        <v/>
      </c>
      <c r="AC506" s="140" t="str">
        <f t="shared" si="187"/>
        <v/>
      </c>
      <c r="AD506" s="140" t="str">
        <f t="shared" si="188"/>
        <v/>
      </c>
      <c r="AE506" s="140" t="str">
        <f t="shared" si="189"/>
        <v/>
      </c>
      <c r="AF506" s="140" t="str">
        <f t="shared" si="190"/>
        <v/>
      </c>
      <c r="AG506" s="140" t="str">
        <f t="shared" si="191"/>
        <v/>
      </c>
      <c r="AH506" s="140" t="str">
        <f t="shared" si="192"/>
        <v/>
      </c>
      <c r="AI506" s="140" t="str">
        <f t="shared" si="193"/>
        <v/>
      </c>
      <c r="AJ506" s="140" t="str">
        <f t="shared" si="194"/>
        <v/>
      </c>
      <c r="AK506" s="140" t="str">
        <f t="shared" si="195"/>
        <v/>
      </c>
      <c r="AL506" s="140" t="str">
        <f t="shared" si="196"/>
        <v/>
      </c>
      <c r="AM506" t="str">
        <f t="shared" si="197"/>
        <v>4822-000: Youth programs Other</v>
      </c>
      <c r="AN506" s="140">
        <f t="shared" si="198"/>
        <v>0</v>
      </c>
      <c r="AO506" s="140">
        <f t="shared" si="199"/>
        <v>0</v>
      </c>
      <c r="AP506" s="1" t="str">
        <f>IF(AND(AO506&gt;0, _xlfn.XLOOKUP($AM506, Discretionaries!$A$2:'Discretionaries'!$A$150, Discretionaries!$B$2:'Discretionaries'!$B$150)), (1+AN506)*$N506, "")</f>
        <v/>
      </c>
      <c r="AQ506" s="1" t="str">
        <f>IF(AND(AO506&gt;0, _xlfn.XLOOKUP($AM506, Discretionaries!$A$2:'Discretionaries'!$A$150, Discretionaries!$B$2:'Discretionaries'!$B$150)),AP506-$Q506,"")</f>
        <v/>
      </c>
      <c r="AR506" s="140">
        <f>IF(AG506="", 0-CPI!$B$15, AG506-CPI!$B$15)</f>
        <v>-3.8999999999999993E-2</v>
      </c>
      <c r="AS506" s="1" t="str">
        <f>IF(AND(AR506&gt;0, _xlfn.XLOOKUP($AM506, Discretionaries!$A$2:'Discretionaries'!$A$150, Discretionaries!$B$2:'Discretionaries'!$B$150)), (1+CPI!$B$15)*$N506, "")</f>
        <v/>
      </c>
      <c r="AT506" s="1" t="str">
        <f>IF(AND(AR506&gt;0, _xlfn.XLOOKUP($AM506, Discretionaries!$A$2:'Discretionaries'!$A$150, Discretionaries!$B$2:'Discretionaries'!$B$150)),AS506-$Q506,"")</f>
        <v/>
      </c>
    </row>
    <row r="507" spans="1:46" x14ac:dyDescent="0.3">
      <c r="A507" t="s">
        <v>444</v>
      </c>
      <c r="B507" t="str">
        <f t="shared" si="175"/>
        <v>31</v>
      </c>
      <c r="C507" t="s">
        <v>408</v>
      </c>
      <c r="D507" t="str">
        <f t="shared" si="176"/>
        <v>00</v>
      </c>
      <c r="E507" t="s">
        <v>172</v>
      </c>
      <c r="F507" s="139" t="s">
        <v>362</v>
      </c>
      <c r="G507" t="s">
        <v>363</v>
      </c>
      <c r="H507" s="156">
        <v>0</v>
      </c>
      <c r="I507" s="156">
        <v>0</v>
      </c>
      <c r="J507" s="156">
        <v>0</v>
      </c>
      <c r="K507" s="156">
        <v>0</v>
      </c>
      <c r="L507" s="156">
        <v>0</v>
      </c>
      <c r="M507" s="156">
        <v>0</v>
      </c>
      <c r="N507" s="156">
        <v>0</v>
      </c>
      <c r="O507" s="156">
        <v>0</v>
      </c>
      <c r="P507" s="156">
        <v>0</v>
      </c>
      <c r="Q507" s="156">
        <v>0</v>
      </c>
      <c r="R507" s="156">
        <v>0</v>
      </c>
      <c r="S507" s="156">
        <f t="shared" si="177"/>
        <v>0</v>
      </c>
      <c r="T507" s="156">
        <f t="shared" si="178"/>
        <v>0</v>
      </c>
      <c r="U507" s="140" t="str">
        <f t="shared" si="179"/>
        <v/>
      </c>
      <c r="V507" s="140" t="str">
        <f t="shared" si="180"/>
        <v/>
      </c>
      <c r="W507" s="140" t="str">
        <f t="shared" si="181"/>
        <v/>
      </c>
      <c r="X507" s="140" t="str">
        <f t="shared" si="182"/>
        <v/>
      </c>
      <c r="Y507" s="140" t="str">
        <f t="shared" si="183"/>
        <v/>
      </c>
      <c r="Z507" s="140" t="str">
        <f t="shared" si="184"/>
        <v/>
      </c>
      <c r="AA507" s="140" t="str">
        <f t="shared" si="185"/>
        <v/>
      </c>
      <c r="AB507" s="140" t="str">
        <f t="shared" si="186"/>
        <v/>
      </c>
      <c r="AC507" s="140" t="str">
        <f t="shared" si="187"/>
        <v/>
      </c>
      <c r="AD507" s="140" t="str">
        <f t="shared" si="188"/>
        <v/>
      </c>
      <c r="AE507" s="140" t="str">
        <f t="shared" si="189"/>
        <v/>
      </c>
      <c r="AF507" s="140" t="str">
        <f t="shared" si="190"/>
        <v/>
      </c>
      <c r="AG507" s="140" t="str">
        <f t="shared" si="191"/>
        <v/>
      </c>
      <c r="AH507" s="140" t="str">
        <f t="shared" si="192"/>
        <v/>
      </c>
      <c r="AI507" s="140" t="str">
        <f t="shared" si="193"/>
        <v/>
      </c>
      <c r="AJ507" s="140" t="str">
        <f t="shared" si="194"/>
        <v/>
      </c>
      <c r="AK507" s="140" t="str">
        <f t="shared" si="195"/>
        <v/>
      </c>
      <c r="AL507" s="140" t="str">
        <f t="shared" si="196"/>
        <v/>
      </c>
      <c r="AM507" t="str">
        <f t="shared" si="197"/>
        <v>4824-000: Programs Other</v>
      </c>
      <c r="AN507" s="140">
        <f t="shared" si="198"/>
        <v>0</v>
      </c>
      <c r="AO507" s="140">
        <f t="shared" si="199"/>
        <v>0</v>
      </c>
      <c r="AP507" s="1" t="str">
        <f>IF(AND(AO507&gt;0, _xlfn.XLOOKUP($AM507, Discretionaries!$A$2:'Discretionaries'!$A$150, Discretionaries!$B$2:'Discretionaries'!$B$150)), (1+AN507)*$N507, "")</f>
        <v/>
      </c>
      <c r="AQ507" s="1" t="str">
        <f>IF(AND(AO507&gt;0, _xlfn.XLOOKUP($AM507, Discretionaries!$A$2:'Discretionaries'!$A$150, Discretionaries!$B$2:'Discretionaries'!$B$150)),AP507-$Q507,"")</f>
        <v/>
      </c>
      <c r="AR507" s="140">
        <f>IF(AG507="", 0-CPI!$B$15, AG507-CPI!$B$15)</f>
        <v>-3.8999999999999993E-2</v>
      </c>
      <c r="AS507" s="1" t="str">
        <f>IF(AND(AR507&gt;0, _xlfn.XLOOKUP($AM507, Discretionaries!$A$2:'Discretionaries'!$A$150, Discretionaries!$B$2:'Discretionaries'!$B$150)), (1+CPI!$B$15)*$N507, "")</f>
        <v/>
      </c>
      <c r="AT507" s="1" t="str">
        <f>IF(AND(AR507&gt;0, _xlfn.XLOOKUP($AM507, Discretionaries!$A$2:'Discretionaries'!$A$150, Discretionaries!$B$2:'Discretionaries'!$B$150)),AS507-$Q507,"")</f>
        <v/>
      </c>
    </row>
    <row r="508" spans="1:46" x14ac:dyDescent="0.3">
      <c r="A508" t="s">
        <v>444</v>
      </c>
      <c r="B508" t="str">
        <f t="shared" si="175"/>
        <v>31</v>
      </c>
      <c r="C508" t="s">
        <v>408</v>
      </c>
      <c r="D508" t="str">
        <f t="shared" si="176"/>
        <v>00</v>
      </c>
      <c r="E508" t="s">
        <v>172</v>
      </c>
      <c r="F508" s="139" t="s">
        <v>385</v>
      </c>
      <c r="G508" t="s">
        <v>386</v>
      </c>
      <c r="H508" s="156">
        <v>0</v>
      </c>
      <c r="I508" s="156">
        <v>0</v>
      </c>
      <c r="J508" s="156">
        <v>0</v>
      </c>
      <c r="K508" s="156">
        <v>0</v>
      </c>
      <c r="L508" s="156">
        <v>0</v>
      </c>
      <c r="M508" s="156">
        <v>0</v>
      </c>
      <c r="N508" s="156">
        <v>0</v>
      </c>
      <c r="O508" s="156">
        <v>0</v>
      </c>
      <c r="P508" s="156">
        <v>0</v>
      </c>
      <c r="Q508" s="156">
        <v>0</v>
      </c>
      <c r="R508" s="156">
        <v>0</v>
      </c>
      <c r="S508" s="156">
        <f t="shared" si="177"/>
        <v>0</v>
      </c>
      <c r="T508" s="156">
        <f t="shared" si="178"/>
        <v>0</v>
      </c>
      <c r="U508" s="140" t="str">
        <f t="shared" si="179"/>
        <v/>
      </c>
      <c r="V508" s="140" t="str">
        <f t="shared" si="180"/>
        <v/>
      </c>
      <c r="W508" s="140" t="str">
        <f t="shared" si="181"/>
        <v/>
      </c>
      <c r="X508" s="140" t="str">
        <f t="shared" si="182"/>
        <v/>
      </c>
      <c r="Y508" s="140" t="str">
        <f t="shared" si="183"/>
        <v/>
      </c>
      <c r="Z508" s="140" t="str">
        <f t="shared" si="184"/>
        <v/>
      </c>
      <c r="AA508" s="140" t="str">
        <f t="shared" si="185"/>
        <v/>
      </c>
      <c r="AB508" s="140" t="str">
        <f t="shared" si="186"/>
        <v/>
      </c>
      <c r="AC508" s="140" t="str">
        <f t="shared" si="187"/>
        <v/>
      </c>
      <c r="AD508" s="140" t="str">
        <f t="shared" si="188"/>
        <v/>
      </c>
      <c r="AE508" s="140" t="str">
        <f t="shared" si="189"/>
        <v/>
      </c>
      <c r="AF508" s="140" t="str">
        <f t="shared" si="190"/>
        <v/>
      </c>
      <c r="AG508" s="140" t="str">
        <f t="shared" si="191"/>
        <v/>
      </c>
      <c r="AH508" s="140" t="str">
        <f t="shared" si="192"/>
        <v/>
      </c>
      <c r="AI508" s="140" t="str">
        <f t="shared" si="193"/>
        <v/>
      </c>
      <c r="AJ508" s="140" t="str">
        <f t="shared" si="194"/>
        <v/>
      </c>
      <c r="AK508" s="140" t="str">
        <f t="shared" si="195"/>
        <v/>
      </c>
      <c r="AL508" s="140" t="str">
        <f t="shared" si="196"/>
        <v/>
      </c>
      <c r="AM508" t="str">
        <f t="shared" si="197"/>
        <v>4825-000: Teen programs Other</v>
      </c>
      <c r="AN508" s="140">
        <f t="shared" si="198"/>
        <v>0</v>
      </c>
      <c r="AO508" s="140">
        <f t="shared" si="199"/>
        <v>0</v>
      </c>
      <c r="AP508" s="1" t="str">
        <f>IF(AND(AO508&gt;0, _xlfn.XLOOKUP($AM508, Discretionaries!$A$2:'Discretionaries'!$A$150, Discretionaries!$B$2:'Discretionaries'!$B$150)), (1+AN508)*$N508, "")</f>
        <v/>
      </c>
      <c r="AQ508" s="1" t="str">
        <f>IF(AND(AO508&gt;0, _xlfn.XLOOKUP($AM508, Discretionaries!$A$2:'Discretionaries'!$A$150, Discretionaries!$B$2:'Discretionaries'!$B$150)),AP508-$Q508,"")</f>
        <v/>
      </c>
      <c r="AR508" s="140">
        <f>IF(AG508="", 0-CPI!$B$15, AG508-CPI!$B$15)</f>
        <v>-3.8999999999999993E-2</v>
      </c>
      <c r="AS508" s="1" t="str">
        <f>IF(AND(AR508&gt;0, _xlfn.XLOOKUP($AM508, Discretionaries!$A$2:'Discretionaries'!$A$150, Discretionaries!$B$2:'Discretionaries'!$B$150)), (1+CPI!$B$15)*$N508, "")</f>
        <v/>
      </c>
      <c r="AT508" s="1" t="str">
        <f>IF(AND(AR508&gt;0, _xlfn.XLOOKUP($AM508, Discretionaries!$A$2:'Discretionaries'!$A$150, Discretionaries!$B$2:'Discretionaries'!$B$150)),AS508-$Q508,"")</f>
        <v/>
      </c>
    </row>
    <row r="509" spans="1:46" x14ac:dyDescent="0.3">
      <c r="A509" t="s">
        <v>445</v>
      </c>
      <c r="B509" t="str">
        <f t="shared" si="175"/>
        <v>32</v>
      </c>
      <c r="C509" t="s">
        <v>408</v>
      </c>
      <c r="D509" t="str">
        <f t="shared" si="176"/>
        <v>00</v>
      </c>
      <c r="E509" t="s">
        <v>11</v>
      </c>
      <c r="F509" s="139" t="s">
        <v>35</v>
      </c>
      <c r="G509" t="s">
        <v>36</v>
      </c>
      <c r="H509" s="156">
        <v>51757</v>
      </c>
      <c r="I509" s="156">
        <v>51570.13</v>
      </c>
      <c r="J509" s="156">
        <v>49390</v>
      </c>
      <c r="K509" s="156">
        <v>51325.68</v>
      </c>
      <c r="L509" s="156">
        <v>52920</v>
      </c>
      <c r="M509" s="156">
        <v>54139.91</v>
      </c>
      <c r="N509" s="156">
        <v>56476</v>
      </c>
      <c r="O509" s="156">
        <v>60186</v>
      </c>
      <c r="P509" s="156">
        <v>60186</v>
      </c>
      <c r="Q509" s="156">
        <v>60186</v>
      </c>
      <c r="R509" s="156">
        <v>60186</v>
      </c>
      <c r="S509" s="156">
        <f t="shared" si="177"/>
        <v>3710</v>
      </c>
      <c r="T509" s="156">
        <f t="shared" si="178"/>
        <v>0</v>
      </c>
      <c r="U509" s="140">
        <f t="shared" si="179"/>
        <v>6.5691621219633123E-2</v>
      </c>
      <c r="V509" s="140">
        <f t="shared" si="180"/>
        <v>-3.6105261124099661E-3</v>
      </c>
      <c r="W509" s="140">
        <f t="shared" si="181"/>
        <v>3.9191739218465284E-2</v>
      </c>
      <c r="X509" s="140">
        <f t="shared" si="182"/>
        <v>2.3051965230536726E-2</v>
      </c>
      <c r="Y509" s="140">
        <f t="shared" si="183"/>
        <v>-4.5732944336031839E-2</v>
      </c>
      <c r="Z509" s="140">
        <f t="shared" si="184"/>
        <v>-4.7401470579965009E-3</v>
      </c>
      <c r="AA509" s="140">
        <f t="shared" si="185"/>
        <v>7.1471957886211787E-2</v>
      </c>
      <c r="AB509" s="140">
        <f t="shared" si="186"/>
        <v>5.4830837117014392E-2</v>
      </c>
      <c r="AC509" s="140">
        <f t="shared" si="187"/>
        <v>6.7195767195767198E-2</v>
      </c>
      <c r="AD509" s="140">
        <f t="shared" si="188"/>
        <v>9.1176072801746624E-2</v>
      </c>
      <c r="AE509" s="140">
        <f t="shared" si="189"/>
        <v>6.5691621219633123E-2</v>
      </c>
      <c r="AF509" s="140">
        <f t="shared" si="190"/>
        <v>6.5691621219633123E-2</v>
      </c>
      <c r="AG509" s="140">
        <f t="shared" si="191"/>
        <v>6.5691621219633123E-2</v>
      </c>
      <c r="AH509" s="140">
        <f t="shared" si="192"/>
        <v>6.5691621219633123E-2</v>
      </c>
      <c r="AI509" s="140">
        <f t="shared" si="193"/>
        <v>0.16285719806016577</v>
      </c>
      <c r="AJ509" s="140">
        <f t="shared" si="194"/>
        <v>0.16285719806016577</v>
      </c>
      <c r="AK509" s="140">
        <f t="shared" si="195"/>
        <v>0.16285719806016577</v>
      </c>
      <c r="AL509" s="140">
        <f t="shared" si="196"/>
        <v>0.16285719806016577</v>
      </c>
      <c r="AM509" t="str">
        <f t="shared" si="197"/>
        <v>4110-000: Regular Salaries</v>
      </c>
      <c r="AN509" s="140">
        <f t="shared" si="198"/>
        <v>3.097826024864905E-2</v>
      </c>
      <c r="AO509" s="140">
        <f t="shared" si="199"/>
        <v>3.471336097098407E-2</v>
      </c>
      <c r="AP509" s="1" t="str">
        <f>IF(AND(AO509&gt;0, _xlfn.XLOOKUP($AM509, Discretionaries!$A$2:'Discretionaries'!$A$150, Discretionaries!$B$2:'Discretionaries'!$B$150)), (1+AN509)*$N509, "")</f>
        <v/>
      </c>
      <c r="AQ509" s="1" t="str">
        <f>IF(AND(AO509&gt;0, _xlfn.XLOOKUP($AM509, Discretionaries!$A$2:'Discretionaries'!$A$150, Discretionaries!$B$2:'Discretionaries'!$B$150)),AP509-$Q509,"")</f>
        <v/>
      </c>
      <c r="AR509" s="140">
        <f>IF(AG509="", 0-CPI!$B$15, AG509-CPI!$B$15)</f>
        <v>2.669162121963313E-2</v>
      </c>
      <c r="AS509" s="1" t="str">
        <f>IF(AND(AR509&gt;0, _xlfn.XLOOKUP($AM509, Discretionaries!$A$2:'Discretionaries'!$A$150, Discretionaries!$B$2:'Discretionaries'!$B$150)), (1+CPI!$B$15)*$N509, "")</f>
        <v/>
      </c>
      <c r="AT509" s="1" t="str">
        <f>IF(AND(AR509&gt;0, _xlfn.XLOOKUP($AM509, Discretionaries!$A$2:'Discretionaries'!$A$150, Discretionaries!$B$2:'Discretionaries'!$B$150)),AS509-$Q509,"")</f>
        <v/>
      </c>
    </row>
    <row r="510" spans="1:46" x14ac:dyDescent="0.3">
      <c r="A510" t="s">
        <v>445</v>
      </c>
      <c r="B510" t="str">
        <f t="shared" si="175"/>
        <v>32</v>
      </c>
      <c r="C510" t="s">
        <v>408</v>
      </c>
      <c r="D510" t="str">
        <f t="shared" si="176"/>
        <v>00</v>
      </c>
      <c r="E510" t="s">
        <v>11</v>
      </c>
      <c r="F510" s="139" t="s">
        <v>37</v>
      </c>
      <c r="G510" t="s">
        <v>38</v>
      </c>
      <c r="H510" s="156">
        <v>0</v>
      </c>
      <c r="I510" s="156">
        <v>0</v>
      </c>
      <c r="J510" s="156">
        <v>0</v>
      </c>
      <c r="K510" s="156">
        <v>0</v>
      </c>
      <c r="L510" s="156">
        <v>0</v>
      </c>
      <c r="M510" s="156">
        <v>0</v>
      </c>
      <c r="N510" s="156">
        <v>0</v>
      </c>
      <c r="O510" s="156">
        <v>0</v>
      </c>
      <c r="P510" s="156">
        <v>0</v>
      </c>
      <c r="Q510" s="156">
        <v>0</v>
      </c>
      <c r="R510" s="156">
        <v>0</v>
      </c>
      <c r="S510" s="156">
        <f t="shared" si="177"/>
        <v>0</v>
      </c>
      <c r="T510" s="156">
        <f t="shared" si="178"/>
        <v>0</v>
      </c>
      <c r="U510" s="140" t="str">
        <f t="shared" si="179"/>
        <v/>
      </c>
      <c r="V510" s="140" t="str">
        <f t="shared" si="180"/>
        <v/>
      </c>
      <c r="W510" s="140" t="str">
        <f t="shared" si="181"/>
        <v/>
      </c>
      <c r="X510" s="140" t="str">
        <f t="shared" si="182"/>
        <v/>
      </c>
      <c r="Y510" s="140" t="str">
        <f t="shared" si="183"/>
        <v/>
      </c>
      <c r="Z510" s="140" t="str">
        <f t="shared" si="184"/>
        <v/>
      </c>
      <c r="AA510" s="140" t="str">
        <f t="shared" si="185"/>
        <v/>
      </c>
      <c r="AB510" s="140" t="str">
        <f t="shared" si="186"/>
        <v/>
      </c>
      <c r="AC510" s="140" t="str">
        <f t="shared" si="187"/>
        <v/>
      </c>
      <c r="AD510" s="140" t="str">
        <f t="shared" si="188"/>
        <v/>
      </c>
      <c r="AE510" s="140" t="str">
        <f t="shared" si="189"/>
        <v/>
      </c>
      <c r="AF510" s="140" t="str">
        <f t="shared" si="190"/>
        <v/>
      </c>
      <c r="AG510" s="140" t="str">
        <f t="shared" si="191"/>
        <v/>
      </c>
      <c r="AH510" s="140" t="str">
        <f t="shared" si="192"/>
        <v/>
      </c>
      <c r="AI510" s="140" t="str">
        <f t="shared" si="193"/>
        <v/>
      </c>
      <c r="AJ510" s="140" t="str">
        <f t="shared" si="194"/>
        <v/>
      </c>
      <c r="AK510" s="140" t="str">
        <f t="shared" si="195"/>
        <v/>
      </c>
      <c r="AL510" s="140" t="str">
        <f t="shared" si="196"/>
        <v/>
      </c>
      <c r="AM510" t="str">
        <f t="shared" si="197"/>
        <v>4120-000: Part-time Salaries</v>
      </c>
      <c r="AN510" s="140">
        <f t="shared" si="198"/>
        <v>0</v>
      </c>
      <c r="AO510" s="140">
        <f t="shared" si="199"/>
        <v>0</v>
      </c>
      <c r="AP510" s="1" t="str">
        <f>IF(AND(AO510&gt;0, _xlfn.XLOOKUP($AM510, Discretionaries!$A$2:'Discretionaries'!$A$150, Discretionaries!$B$2:'Discretionaries'!$B$150)), (1+AN510)*$N510, "")</f>
        <v/>
      </c>
      <c r="AQ510" s="1" t="str">
        <f>IF(AND(AO510&gt;0, _xlfn.XLOOKUP($AM510, Discretionaries!$A$2:'Discretionaries'!$A$150, Discretionaries!$B$2:'Discretionaries'!$B$150)),AP510-$Q510,"")</f>
        <v/>
      </c>
      <c r="AR510" s="140">
        <f>IF(AG510="", 0-CPI!$B$15, AG510-CPI!$B$15)</f>
        <v>-3.8999999999999993E-2</v>
      </c>
      <c r="AS510" s="1" t="str">
        <f>IF(AND(AR510&gt;0, _xlfn.XLOOKUP($AM510, Discretionaries!$A$2:'Discretionaries'!$A$150, Discretionaries!$B$2:'Discretionaries'!$B$150)), (1+CPI!$B$15)*$N510, "")</f>
        <v/>
      </c>
      <c r="AT510" s="1" t="str">
        <f>IF(AND(AR510&gt;0, _xlfn.XLOOKUP($AM510, Discretionaries!$A$2:'Discretionaries'!$A$150, Discretionaries!$B$2:'Discretionaries'!$B$150)),AS510-$Q510,"")</f>
        <v/>
      </c>
    </row>
    <row r="511" spans="1:46" x14ac:dyDescent="0.3">
      <c r="A511" t="s">
        <v>445</v>
      </c>
      <c r="B511" t="str">
        <f t="shared" si="175"/>
        <v>32</v>
      </c>
      <c r="C511" t="s">
        <v>408</v>
      </c>
      <c r="D511" t="str">
        <f t="shared" si="176"/>
        <v>00</v>
      </c>
      <c r="F511" s="139" t="s">
        <v>15</v>
      </c>
      <c r="G511" t="s">
        <v>16</v>
      </c>
      <c r="H511" s="156">
        <v>3209</v>
      </c>
      <c r="I511" s="156">
        <v>2999.51</v>
      </c>
      <c r="J511" s="156">
        <v>3063</v>
      </c>
      <c r="K511" s="156">
        <v>3179.32</v>
      </c>
      <c r="L511" s="156">
        <v>3281</v>
      </c>
      <c r="M511" s="156">
        <v>3341.9</v>
      </c>
      <c r="N511" s="156">
        <v>3502</v>
      </c>
      <c r="O511" s="156">
        <v>3732</v>
      </c>
      <c r="P511" s="156">
        <v>3732</v>
      </c>
      <c r="Q511" s="156">
        <v>3732</v>
      </c>
      <c r="R511" s="156">
        <v>3732</v>
      </c>
      <c r="S511" s="156">
        <f t="shared" si="177"/>
        <v>230</v>
      </c>
      <c r="T511" s="156">
        <f t="shared" si="178"/>
        <v>0</v>
      </c>
      <c r="U511" s="140">
        <f t="shared" si="179"/>
        <v>6.5676756139348938E-2</v>
      </c>
      <c r="V511" s="140">
        <f t="shared" si="180"/>
        <v>-6.5282019320660578E-2</v>
      </c>
      <c r="W511" s="140">
        <f t="shared" si="181"/>
        <v>3.7975840679072857E-2</v>
      </c>
      <c r="X511" s="140">
        <f t="shared" si="182"/>
        <v>1.8561414202986921E-2</v>
      </c>
      <c r="Y511" s="140">
        <f t="shared" si="183"/>
        <v>-4.5497039576191958E-2</v>
      </c>
      <c r="Z511" s="140">
        <f t="shared" si="184"/>
        <v>5.9946457921460486E-2</v>
      </c>
      <c r="AA511" s="140">
        <f t="shared" si="185"/>
        <v>7.1172053542278818E-2</v>
      </c>
      <c r="AB511" s="140">
        <f t="shared" si="186"/>
        <v>5.1136721059849254E-2</v>
      </c>
      <c r="AC511" s="140">
        <f t="shared" si="187"/>
        <v>6.7357512953367879E-2</v>
      </c>
      <c r="AD511" s="140">
        <f t="shared" si="188"/>
        <v>9.1305702711124967E-2</v>
      </c>
      <c r="AE511" s="140">
        <f t="shared" si="189"/>
        <v>6.5676756139348938E-2</v>
      </c>
      <c r="AF511" s="140">
        <f t="shared" si="190"/>
        <v>6.5676756139348938E-2</v>
      </c>
      <c r="AG511" s="140">
        <f t="shared" si="191"/>
        <v>6.5676756139348938E-2</v>
      </c>
      <c r="AH511" s="140">
        <f t="shared" si="192"/>
        <v>6.5676756139348938E-2</v>
      </c>
      <c r="AI511" s="140">
        <f t="shared" si="193"/>
        <v>0.16297912122156435</v>
      </c>
      <c r="AJ511" s="140">
        <f t="shared" si="194"/>
        <v>0.16297912122156435</v>
      </c>
      <c r="AK511" s="140">
        <f t="shared" si="195"/>
        <v>0.16297912122156435</v>
      </c>
      <c r="AL511" s="140">
        <f t="shared" si="196"/>
        <v>0.16297912122156435</v>
      </c>
      <c r="AM511" t="str">
        <f t="shared" si="197"/>
        <v>4220-000: FICA Benefits</v>
      </c>
      <c r="AN511" s="140">
        <f t="shared" si="198"/>
        <v>3.1010842306484914E-2</v>
      </c>
      <c r="AO511" s="140">
        <f t="shared" si="199"/>
        <v>3.466591383286402E-2</v>
      </c>
      <c r="AP511" s="1" t="str">
        <f>IF(AND(AO511&gt;0, _xlfn.XLOOKUP($AM511, Discretionaries!$A$2:'Discretionaries'!$A$150, Discretionaries!$B$2:'Discretionaries'!$B$150)), (1+AN511)*$N511, "")</f>
        <v/>
      </c>
      <c r="AQ511" s="1" t="str">
        <f>IF(AND(AO511&gt;0, _xlfn.XLOOKUP($AM511, Discretionaries!$A$2:'Discretionaries'!$A$150, Discretionaries!$B$2:'Discretionaries'!$B$150)),AP511-$Q511,"")</f>
        <v/>
      </c>
      <c r="AR511" s="140">
        <f>IF(AG511="", 0-CPI!$B$15, AG511-CPI!$B$15)</f>
        <v>2.6676756139348945E-2</v>
      </c>
      <c r="AS511" s="1" t="str">
        <f>IF(AND(AR511&gt;0, _xlfn.XLOOKUP($AM511, Discretionaries!$A$2:'Discretionaries'!$A$150, Discretionaries!$B$2:'Discretionaries'!$B$150)), (1+CPI!$B$15)*$N511, "")</f>
        <v/>
      </c>
      <c r="AT511" s="1" t="str">
        <f>IF(AND(AR511&gt;0, _xlfn.XLOOKUP($AM511, Discretionaries!$A$2:'Discretionaries'!$A$150, Discretionaries!$B$2:'Discretionaries'!$B$150)),AS511-$Q511,"")</f>
        <v/>
      </c>
    </row>
    <row r="512" spans="1:46" x14ac:dyDescent="0.3">
      <c r="A512" t="s">
        <v>445</v>
      </c>
      <c r="B512" t="str">
        <f t="shared" si="175"/>
        <v>32</v>
      </c>
      <c r="C512" t="s">
        <v>408</v>
      </c>
      <c r="D512" t="str">
        <f t="shared" si="176"/>
        <v>00</v>
      </c>
      <c r="F512" s="139" t="s">
        <v>17</v>
      </c>
      <c r="G512" t="s">
        <v>18</v>
      </c>
      <c r="H512" s="156">
        <v>751</v>
      </c>
      <c r="I512" s="156">
        <v>701.5</v>
      </c>
      <c r="J512" s="156">
        <v>717</v>
      </c>
      <c r="K512" s="156">
        <v>743.56</v>
      </c>
      <c r="L512" s="156">
        <v>768</v>
      </c>
      <c r="M512" s="156">
        <v>781.57</v>
      </c>
      <c r="N512" s="156">
        <v>820</v>
      </c>
      <c r="O512" s="156">
        <v>873</v>
      </c>
      <c r="P512" s="156">
        <v>873</v>
      </c>
      <c r="Q512" s="156">
        <v>873</v>
      </c>
      <c r="R512" s="156">
        <v>873</v>
      </c>
      <c r="S512" s="156">
        <f t="shared" si="177"/>
        <v>53</v>
      </c>
      <c r="T512" s="156">
        <f t="shared" si="178"/>
        <v>0</v>
      </c>
      <c r="U512" s="140">
        <f t="shared" si="179"/>
        <v>6.4634146341463417E-2</v>
      </c>
      <c r="V512" s="140">
        <f t="shared" si="180"/>
        <v>-6.5912117177097204E-2</v>
      </c>
      <c r="W512" s="140">
        <f t="shared" si="181"/>
        <v>3.7043235704323496E-2</v>
      </c>
      <c r="X512" s="140">
        <f t="shared" si="182"/>
        <v>1.76692708333334E-2</v>
      </c>
      <c r="Y512" s="140">
        <f t="shared" si="183"/>
        <v>-4.5272969374167776E-2</v>
      </c>
      <c r="Z512" s="140">
        <f t="shared" si="184"/>
        <v>5.9957234497505271E-2</v>
      </c>
      <c r="AA512" s="140">
        <f t="shared" si="185"/>
        <v>7.1129707112970716E-2</v>
      </c>
      <c r="AB512" s="140">
        <f t="shared" si="186"/>
        <v>5.1118941309376657E-2</v>
      </c>
      <c r="AC512" s="140">
        <f t="shared" si="187"/>
        <v>6.7708333333333329E-2</v>
      </c>
      <c r="AD512" s="140">
        <f t="shared" si="188"/>
        <v>9.1877496671105188E-2</v>
      </c>
      <c r="AE512" s="140">
        <f t="shared" si="189"/>
        <v>6.4634146341463417E-2</v>
      </c>
      <c r="AF512" s="140">
        <f t="shared" si="190"/>
        <v>6.4634146341463417E-2</v>
      </c>
      <c r="AG512" s="140">
        <f t="shared" si="191"/>
        <v>6.4634146341463417E-2</v>
      </c>
      <c r="AH512" s="140">
        <f t="shared" si="192"/>
        <v>6.4634146341463417E-2</v>
      </c>
      <c r="AI512" s="140">
        <f t="shared" si="193"/>
        <v>0.16245006657789615</v>
      </c>
      <c r="AJ512" s="140">
        <f t="shared" si="194"/>
        <v>0.16245006657789615</v>
      </c>
      <c r="AK512" s="140">
        <f t="shared" si="195"/>
        <v>0.16245006657789615</v>
      </c>
      <c r="AL512" s="140">
        <f t="shared" si="196"/>
        <v>0.16245006657789615</v>
      </c>
      <c r="AM512" t="str">
        <f t="shared" si="197"/>
        <v>4225-000: Medicare Benefits</v>
      </c>
      <c r="AN512" s="140">
        <f t="shared" si="198"/>
        <v>3.1188357024045422E-2</v>
      </c>
      <c r="AO512" s="140">
        <f t="shared" si="199"/>
        <v>3.3445789317417998E-2</v>
      </c>
      <c r="AP512" s="1" t="str">
        <f>IF(AND(AO512&gt;0, _xlfn.XLOOKUP($AM512, Discretionaries!$A$2:'Discretionaries'!$A$150, Discretionaries!$B$2:'Discretionaries'!$B$150)), (1+AN512)*$N512, "")</f>
        <v/>
      </c>
      <c r="AQ512" s="1" t="str">
        <f>IF(AND(AO512&gt;0, _xlfn.XLOOKUP($AM512, Discretionaries!$A$2:'Discretionaries'!$A$150, Discretionaries!$B$2:'Discretionaries'!$B$150)),AP512-$Q512,"")</f>
        <v/>
      </c>
      <c r="AR512" s="140">
        <f>IF(AG512="", 0-CPI!$B$15, AG512-CPI!$B$15)</f>
        <v>2.5634146341463424E-2</v>
      </c>
      <c r="AS512" s="1" t="str">
        <f>IF(AND(AR512&gt;0, _xlfn.XLOOKUP($AM512, Discretionaries!$A$2:'Discretionaries'!$A$150, Discretionaries!$B$2:'Discretionaries'!$B$150)), (1+CPI!$B$15)*$N512, "")</f>
        <v/>
      </c>
      <c r="AT512" s="1" t="str">
        <f>IF(AND(AR512&gt;0, _xlfn.XLOOKUP($AM512, Discretionaries!$A$2:'Discretionaries'!$A$150, Discretionaries!$B$2:'Discretionaries'!$B$150)),AS512-$Q512,"")</f>
        <v/>
      </c>
    </row>
    <row r="513" spans="1:46" x14ac:dyDescent="0.3">
      <c r="A513" t="s">
        <v>445</v>
      </c>
      <c r="B513" t="str">
        <f t="shared" si="175"/>
        <v>32</v>
      </c>
      <c r="C513" t="s">
        <v>408</v>
      </c>
      <c r="D513" t="str">
        <f t="shared" si="176"/>
        <v>00</v>
      </c>
      <c r="F513" s="139" t="s">
        <v>19</v>
      </c>
      <c r="G513" t="s">
        <v>20</v>
      </c>
      <c r="H513" s="156">
        <v>71</v>
      </c>
      <c r="I513" s="156">
        <v>67.81</v>
      </c>
      <c r="J513" s="156">
        <v>77</v>
      </c>
      <c r="K513" s="156">
        <v>81.459999999999994</v>
      </c>
      <c r="L513" s="156">
        <v>91</v>
      </c>
      <c r="M513" s="156">
        <v>91.29</v>
      </c>
      <c r="N513" s="156">
        <v>108</v>
      </c>
      <c r="O513" s="156">
        <v>106</v>
      </c>
      <c r="P513" s="156">
        <v>106</v>
      </c>
      <c r="Q513" s="156">
        <v>106</v>
      </c>
      <c r="R513" s="156">
        <v>106</v>
      </c>
      <c r="S513" s="156">
        <f t="shared" si="177"/>
        <v>-2</v>
      </c>
      <c r="T513" s="156">
        <f t="shared" si="178"/>
        <v>0</v>
      </c>
      <c r="U513" s="140">
        <f t="shared" si="179"/>
        <v>-1.8518518518518517E-2</v>
      </c>
      <c r="V513" s="140">
        <f t="shared" si="180"/>
        <v>-4.4929577464788699E-2</v>
      </c>
      <c r="W513" s="140">
        <f t="shared" si="181"/>
        <v>5.792207792207784E-2</v>
      </c>
      <c r="X513" s="140">
        <f t="shared" si="182"/>
        <v>3.1868131868132555E-3</v>
      </c>
      <c r="Y513" s="140">
        <f t="shared" si="183"/>
        <v>8.4507042253521125E-2</v>
      </c>
      <c r="Z513" s="140">
        <f t="shared" si="184"/>
        <v>0.20129774369561998</v>
      </c>
      <c r="AA513" s="140">
        <f t="shared" si="185"/>
        <v>0.18181818181818182</v>
      </c>
      <c r="AB513" s="140">
        <f t="shared" si="186"/>
        <v>0.12067272280874065</v>
      </c>
      <c r="AC513" s="140">
        <f t="shared" si="187"/>
        <v>0.18681318681318682</v>
      </c>
      <c r="AD513" s="140">
        <f t="shared" si="188"/>
        <v>0.52112676056338025</v>
      </c>
      <c r="AE513" s="140">
        <f t="shared" si="189"/>
        <v>-1.8518518518518517E-2</v>
      </c>
      <c r="AF513" s="140">
        <f t="shared" si="190"/>
        <v>-1.8518518518518517E-2</v>
      </c>
      <c r="AG513" s="140">
        <f t="shared" si="191"/>
        <v>-1.8518518518518517E-2</v>
      </c>
      <c r="AH513" s="140">
        <f t="shared" si="192"/>
        <v>-1.8518518518518517E-2</v>
      </c>
      <c r="AI513" s="140">
        <f t="shared" si="193"/>
        <v>0.49295774647887325</v>
      </c>
      <c r="AJ513" s="140">
        <f t="shared" si="194"/>
        <v>0.49295774647887325</v>
      </c>
      <c r="AK513" s="140">
        <f t="shared" si="195"/>
        <v>0.49295774647887325</v>
      </c>
      <c r="AL513" s="140">
        <f t="shared" si="196"/>
        <v>0.49295774647887325</v>
      </c>
      <c r="AM513" t="str">
        <f t="shared" si="197"/>
        <v>4260-000: Workers' comp Benefits</v>
      </c>
      <c r="AN513" s="140">
        <f t="shared" si="198"/>
        <v>0.15104613696162991</v>
      </c>
      <c r="AO513" s="140">
        <f t="shared" si="199"/>
        <v>-0.16956465548014843</v>
      </c>
      <c r="AP513" s="1" t="str">
        <f>IF(AND(AO513&gt;0, _xlfn.XLOOKUP($AM513, Discretionaries!$A$2:'Discretionaries'!$A$150, Discretionaries!$B$2:'Discretionaries'!$B$150)), (1+AN513)*$N513, "")</f>
        <v/>
      </c>
      <c r="AQ513" s="1" t="str">
        <f>IF(AND(AO513&gt;0, _xlfn.XLOOKUP($AM513, Discretionaries!$A$2:'Discretionaries'!$A$150, Discretionaries!$B$2:'Discretionaries'!$B$150)),AP513-$Q513,"")</f>
        <v/>
      </c>
      <c r="AR513" s="140">
        <f>IF(AG513="", 0-CPI!$B$15, AG513-CPI!$B$15)</f>
        <v>-5.751851851851851E-2</v>
      </c>
      <c r="AS513" s="1" t="str">
        <f>IF(AND(AR513&gt;0, _xlfn.XLOOKUP($AM513, Discretionaries!$A$2:'Discretionaries'!$A$150, Discretionaries!$B$2:'Discretionaries'!$B$150)), (1+CPI!$B$15)*$N513, "")</f>
        <v/>
      </c>
      <c r="AT513" s="1" t="str">
        <f>IF(AND(AR513&gt;0, _xlfn.XLOOKUP($AM513, Discretionaries!$A$2:'Discretionaries'!$A$150, Discretionaries!$B$2:'Discretionaries'!$B$150)),AS513-$Q513,"")</f>
        <v/>
      </c>
    </row>
    <row r="514" spans="1:46" x14ac:dyDescent="0.3">
      <c r="A514" t="s">
        <v>445</v>
      </c>
      <c r="B514" t="str">
        <f t="shared" ref="B514:B537" si="200">LEFT(A514, 2)</f>
        <v>32</v>
      </c>
      <c r="C514" t="s">
        <v>408</v>
      </c>
      <c r="D514" t="str">
        <f t="shared" ref="D514:D537" si="201">LEFT(C514, 2)</f>
        <v>00</v>
      </c>
      <c r="E514" t="s">
        <v>45</v>
      </c>
      <c r="F514" s="139" t="s">
        <v>391</v>
      </c>
      <c r="G514" t="s">
        <v>392</v>
      </c>
      <c r="H514" s="156">
        <v>18200</v>
      </c>
      <c r="I514" s="156">
        <v>5000</v>
      </c>
      <c r="J514" s="156">
        <v>18200</v>
      </c>
      <c r="K514" s="156">
        <v>5000</v>
      </c>
      <c r="L514" s="156">
        <v>15700</v>
      </c>
      <c r="M514" s="156">
        <v>5000</v>
      </c>
      <c r="N514" s="156">
        <v>14700</v>
      </c>
      <c r="O514" s="156">
        <v>14700</v>
      </c>
      <c r="P514" s="156">
        <v>5000</v>
      </c>
      <c r="Q514" s="156">
        <v>5000</v>
      </c>
      <c r="R514" s="156">
        <v>14700</v>
      </c>
      <c r="S514" s="156">
        <f t="shared" ref="S514:S537" si="202">Q514 - N514</f>
        <v>-9700</v>
      </c>
      <c r="T514" s="156">
        <f t="shared" ref="T514:T537" si="203">Q514 - R514</f>
        <v>-9700</v>
      </c>
      <c r="U514" s="140">
        <f t="shared" ref="U514:U538" si="204">IFERROR((Q514 - N514) / N514, "")</f>
        <v>-0.65986394557823125</v>
      </c>
      <c r="V514" s="140">
        <f t="shared" ref="V514:V538" si="205">IFERROR((I514 - H514) / H514, "")</f>
        <v>-0.72527472527472525</v>
      </c>
      <c r="W514" s="140">
        <f t="shared" ref="W514:W538" si="206">IFERROR((K514 - J514) / J514, "")</f>
        <v>-0.72527472527472525</v>
      </c>
      <c r="X514" s="140">
        <f t="shared" ref="X514:X538" si="207">IFERROR((M514 - L514) / L514, "")</f>
        <v>-0.68152866242038213</v>
      </c>
      <c r="Y514" s="140">
        <f t="shared" ref="Y514:Y538" si="208">IFERROR((J514 - H514) / H514, "")</f>
        <v>0</v>
      </c>
      <c r="Z514" s="140">
        <f t="shared" ref="Z514:Z538" si="209">IFERROR((K514 - I514) / I514, "")</f>
        <v>0</v>
      </c>
      <c r="AA514" s="140">
        <f t="shared" ref="AA514:AA538" si="210">IFERROR((L514 - J514) / J514, "")</f>
        <v>-0.13736263736263737</v>
      </c>
      <c r="AB514" s="140">
        <f t="shared" ref="AB514:AB538" si="211">IFERROR((M514 - K514) / K514, "")</f>
        <v>0</v>
      </c>
      <c r="AC514" s="140">
        <f t="shared" ref="AC514:AC538" si="212">IFERROR((N514 - L514) / L514, "")</f>
        <v>-6.3694267515923567E-2</v>
      </c>
      <c r="AD514" s="140">
        <f t="shared" ref="AD514:AD538" si="213">IFERROR((N514 - H514) / H514, "")</f>
        <v>-0.19230769230769232</v>
      </c>
      <c r="AE514" s="140">
        <f t="shared" ref="AE514:AE538" si="214">IFERROR((O514 - N514) / N514, "")</f>
        <v>0</v>
      </c>
      <c r="AF514" s="140">
        <f t="shared" ref="AF514:AF538" si="215">IFERROR((P514 - N514) / N514, "")</f>
        <v>-0.65986394557823125</v>
      </c>
      <c r="AG514" s="140">
        <f t="shared" ref="AG514:AG538" si="216">IFERROR((Q514 - N514) / N514, "")</f>
        <v>-0.65986394557823125</v>
      </c>
      <c r="AH514" s="140">
        <f t="shared" ref="AH514:AH538" si="217">IFERROR((R514 - N514) / N514, "")</f>
        <v>0</v>
      </c>
      <c r="AI514" s="140">
        <f t="shared" ref="AI514:AI538" si="218">IFERROR((O514 - H514) / H514, "")</f>
        <v>-0.19230769230769232</v>
      </c>
      <c r="AJ514" s="140">
        <f t="shared" ref="AJ514:AJ538" si="219">IFERROR((P514 - H514) / H514, "")</f>
        <v>-0.72527472527472525</v>
      </c>
      <c r="AK514" s="140">
        <f t="shared" ref="AK514:AK538" si="220">IFERROR((Q514 - H514) / H514, "")</f>
        <v>-0.72527472527472525</v>
      </c>
      <c r="AL514" s="140">
        <f t="shared" ref="AL514:AL538" si="221">IFERROR((R514 - H514) / H514, "")</f>
        <v>-0.19230769230769232</v>
      </c>
      <c r="AM514" t="str">
        <f t="shared" ref="AM514:AM537" si="222">_xlfn.CONCAT(TRIM(F514), ": ", TRIM(G514))</f>
        <v>4870-000: Senior Transportation</v>
      </c>
      <c r="AN514" s="140">
        <f t="shared" si="198"/>
        <v>-6.7018968292853642E-2</v>
      </c>
      <c r="AO514" s="140">
        <f t="shared" si="199"/>
        <v>-0.59284497728537766</v>
      </c>
      <c r="AP514" s="1" t="str">
        <f>IF(AND(AO514&gt;0, _xlfn.XLOOKUP($AM514, Discretionaries!$A$2:'Discretionaries'!$A$150, Discretionaries!$B$2:'Discretionaries'!$B$150)), (1+AN514)*$N514, "")</f>
        <v/>
      </c>
      <c r="AQ514" s="1" t="str">
        <f>IF(AND(AO514&gt;0, _xlfn.XLOOKUP($AM514, Discretionaries!$A$2:'Discretionaries'!$A$150, Discretionaries!$B$2:'Discretionaries'!$B$150)),AP514-$Q514,"")</f>
        <v/>
      </c>
      <c r="AR514" s="140">
        <f>IF(AG514="", 0-CPI!$B$15, AG514-CPI!$B$15)</f>
        <v>-0.69886394557823128</v>
      </c>
      <c r="AS514" s="1" t="str">
        <f>IF(AND(AR514&gt;0, _xlfn.XLOOKUP($AM514, Discretionaries!$A$2:'Discretionaries'!$A$150, Discretionaries!$B$2:'Discretionaries'!$B$150)), (1+CPI!$B$15)*$N514, "")</f>
        <v/>
      </c>
      <c r="AT514" s="1" t="str">
        <f>IF(AND(AR514&gt;0, _xlfn.XLOOKUP($AM514, Discretionaries!$A$2:'Discretionaries'!$A$150, Discretionaries!$B$2:'Discretionaries'!$B$150)),AS514-$Q514,"")</f>
        <v/>
      </c>
    </row>
    <row r="515" spans="1:46" x14ac:dyDescent="0.3">
      <c r="A515" t="s">
        <v>445</v>
      </c>
      <c r="B515" t="str">
        <f t="shared" si="200"/>
        <v>32</v>
      </c>
      <c r="C515" t="s">
        <v>408</v>
      </c>
      <c r="D515" t="str">
        <f t="shared" si="201"/>
        <v>00</v>
      </c>
      <c r="E515" t="s">
        <v>30</v>
      </c>
      <c r="F515" s="139" t="s">
        <v>31</v>
      </c>
      <c r="G515" t="s">
        <v>32</v>
      </c>
      <c r="H515" s="156">
        <v>1300</v>
      </c>
      <c r="I515" s="156">
        <v>2675.28</v>
      </c>
      <c r="J515" s="156">
        <v>1300</v>
      </c>
      <c r="K515" s="156">
        <v>2439.86</v>
      </c>
      <c r="L515" s="156">
        <v>1300</v>
      </c>
      <c r="M515" s="156">
        <v>1230.22</v>
      </c>
      <c r="N515" s="156">
        <v>2000</v>
      </c>
      <c r="O515" s="156">
        <v>2000</v>
      </c>
      <c r="P515" s="156">
        <v>2000</v>
      </c>
      <c r="Q515" s="156">
        <v>2000</v>
      </c>
      <c r="R515" s="156">
        <v>2000</v>
      </c>
      <c r="S515" s="156">
        <f t="shared" si="202"/>
        <v>0</v>
      </c>
      <c r="T515" s="156">
        <f t="shared" si="203"/>
        <v>0</v>
      </c>
      <c r="U515" s="140">
        <f t="shared" si="204"/>
        <v>0</v>
      </c>
      <c r="V515" s="140">
        <f t="shared" si="205"/>
        <v>1.0579076923076924</v>
      </c>
      <c r="W515" s="140">
        <f t="shared" si="206"/>
        <v>0.87681538461538466</v>
      </c>
      <c r="X515" s="140">
        <f t="shared" si="207"/>
        <v>-5.3676923076923053E-2</v>
      </c>
      <c r="Y515" s="140">
        <f t="shared" si="208"/>
        <v>0</v>
      </c>
      <c r="Z515" s="140">
        <f t="shared" si="209"/>
        <v>-8.7998265602105219E-2</v>
      </c>
      <c r="AA515" s="140">
        <f t="shared" si="210"/>
        <v>0</v>
      </c>
      <c r="AB515" s="140">
        <f t="shared" si="211"/>
        <v>-0.49578254490011725</v>
      </c>
      <c r="AC515" s="140">
        <f t="shared" si="212"/>
        <v>0.53846153846153844</v>
      </c>
      <c r="AD515" s="140">
        <f t="shared" si="213"/>
        <v>0.53846153846153844</v>
      </c>
      <c r="AE515" s="140">
        <f t="shared" si="214"/>
        <v>0</v>
      </c>
      <c r="AF515" s="140">
        <f t="shared" si="215"/>
        <v>0</v>
      </c>
      <c r="AG515" s="140">
        <f t="shared" si="216"/>
        <v>0</v>
      </c>
      <c r="AH515" s="140">
        <f t="shared" si="217"/>
        <v>0</v>
      </c>
      <c r="AI515" s="140">
        <f t="shared" si="218"/>
        <v>0.53846153846153844</v>
      </c>
      <c r="AJ515" s="140">
        <f t="shared" si="219"/>
        <v>0.53846153846153844</v>
      </c>
      <c r="AK515" s="140">
        <f t="shared" si="220"/>
        <v>0.53846153846153844</v>
      </c>
      <c r="AL515" s="140">
        <f t="shared" si="221"/>
        <v>0.53846153846153844</v>
      </c>
      <c r="AM515" t="str">
        <f t="shared" si="222"/>
        <v>4610-000: General expenses Supplies</v>
      </c>
      <c r="AN515" s="140">
        <f t="shared" ref="AN515:AN538" si="223">IFERROR(AVERAGE(Y515, AA515, AC515), 0)</f>
        <v>0.17948717948717949</v>
      </c>
      <c r="AO515" s="140">
        <f t="shared" ref="AO515:AO537" si="224">IF($AG515="", 0-AN515, $AG515-AN515)</f>
        <v>-0.17948717948717949</v>
      </c>
      <c r="AP515" s="1" t="str">
        <f>IF(AND(AO515&gt;0, _xlfn.XLOOKUP($AM515, Discretionaries!$A$2:'Discretionaries'!$A$150, Discretionaries!$B$2:'Discretionaries'!$B$150)), (1+AN515)*$N515, "")</f>
        <v/>
      </c>
      <c r="AQ515" s="1" t="str">
        <f>IF(AND(AO515&gt;0, _xlfn.XLOOKUP($AM515, Discretionaries!$A$2:'Discretionaries'!$A$150, Discretionaries!$B$2:'Discretionaries'!$B$150)),AP515-$Q515,"")</f>
        <v/>
      </c>
      <c r="AR515" s="140">
        <f>IF(AG515="", 0-CPI!$B$15, AG515-CPI!$B$15)</f>
        <v>-3.8999999999999993E-2</v>
      </c>
      <c r="AS515" s="1" t="str">
        <f>IF(AND(AR515&gt;0, _xlfn.XLOOKUP($AM515, Discretionaries!$A$2:'Discretionaries'!$A$150, Discretionaries!$B$2:'Discretionaries'!$B$150)), (1+CPI!$B$15)*$N515, "")</f>
        <v/>
      </c>
      <c r="AT515" s="1" t="str">
        <f>IF(AND(AR515&gt;0, _xlfn.XLOOKUP($AM515, Discretionaries!$A$2:'Discretionaries'!$A$150, Discretionaries!$B$2:'Discretionaries'!$B$150)),AS515-$Q515,"")</f>
        <v/>
      </c>
    </row>
    <row r="516" spans="1:46" x14ac:dyDescent="0.3">
      <c r="A516" t="s">
        <v>445</v>
      </c>
      <c r="B516" t="str">
        <f t="shared" si="200"/>
        <v>32</v>
      </c>
      <c r="C516" t="s">
        <v>408</v>
      </c>
      <c r="D516" t="str">
        <f t="shared" si="201"/>
        <v>00</v>
      </c>
      <c r="E516" t="s">
        <v>30</v>
      </c>
      <c r="F516" s="139" t="s">
        <v>52</v>
      </c>
      <c r="G516" t="s">
        <v>49</v>
      </c>
      <c r="H516" s="156">
        <v>200</v>
      </c>
      <c r="I516" s="156">
        <v>332.22</v>
      </c>
      <c r="J516" s="156">
        <v>200</v>
      </c>
      <c r="K516" s="156">
        <v>121.4</v>
      </c>
      <c r="L516" s="156">
        <v>200</v>
      </c>
      <c r="M516" s="156">
        <v>219</v>
      </c>
      <c r="N516" s="156">
        <v>200</v>
      </c>
      <c r="O516" s="156">
        <v>250</v>
      </c>
      <c r="P516" s="156">
        <v>250</v>
      </c>
      <c r="Q516" s="156">
        <v>250</v>
      </c>
      <c r="R516" s="156">
        <v>200</v>
      </c>
      <c r="S516" s="156">
        <f t="shared" si="202"/>
        <v>50</v>
      </c>
      <c r="T516" s="156">
        <f t="shared" si="203"/>
        <v>50</v>
      </c>
      <c r="U516" s="140">
        <f t="shared" si="204"/>
        <v>0.25</v>
      </c>
      <c r="V516" s="140">
        <f t="shared" si="205"/>
        <v>0.66110000000000013</v>
      </c>
      <c r="W516" s="140">
        <f t="shared" si="206"/>
        <v>-0.39299999999999996</v>
      </c>
      <c r="X516" s="140">
        <f t="shared" si="207"/>
        <v>9.5000000000000001E-2</v>
      </c>
      <c r="Y516" s="140">
        <f t="shared" si="208"/>
        <v>0</v>
      </c>
      <c r="Z516" s="140">
        <f t="shared" si="209"/>
        <v>-0.63457949551502013</v>
      </c>
      <c r="AA516" s="140">
        <f t="shared" si="210"/>
        <v>0</v>
      </c>
      <c r="AB516" s="140">
        <f t="shared" si="211"/>
        <v>0.80395387149917619</v>
      </c>
      <c r="AC516" s="140">
        <f t="shared" si="212"/>
        <v>0</v>
      </c>
      <c r="AD516" s="140">
        <f t="shared" si="213"/>
        <v>0</v>
      </c>
      <c r="AE516" s="140">
        <f t="shared" si="214"/>
        <v>0.25</v>
      </c>
      <c r="AF516" s="140">
        <f t="shared" si="215"/>
        <v>0.25</v>
      </c>
      <c r="AG516" s="140">
        <f t="shared" si="216"/>
        <v>0.25</v>
      </c>
      <c r="AH516" s="140">
        <f t="shared" si="217"/>
        <v>0</v>
      </c>
      <c r="AI516" s="140">
        <f t="shared" si="218"/>
        <v>0.25</v>
      </c>
      <c r="AJ516" s="140">
        <f t="shared" si="219"/>
        <v>0.25</v>
      </c>
      <c r="AK516" s="140">
        <f t="shared" si="220"/>
        <v>0.25</v>
      </c>
      <c r="AL516" s="140">
        <f t="shared" si="221"/>
        <v>0</v>
      </c>
      <c r="AM516" t="str">
        <f t="shared" si="222"/>
        <v>4625-000: Postage Supplies</v>
      </c>
      <c r="AN516" s="140">
        <f t="shared" si="223"/>
        <v>0</v>
      </c>
      <c r="AO516" s="140">
        <f t="shared" si="224"/>
        <v>0.25</v>
      </c>
      <c r="AP516" s="1">
        <f>IF(AND(AO516&gt;0, _xlfn.XLOOKUP($AM516, Discretionaries!$A$2:'Discretionaries'!$A$150, Discretionaries!$B$2:'Discretionaries'!$B$150)), (1+AN516)*$N516, "")</f>
        <v>200</v>
      </c>
      <c r="AQ516" s="1">
        <f>IF(AND(AO516&gt;0, _xlfn.XLOOKUP($AM516, Discretionaries!$A$2:'Discretionaries'!$A$150, Discretionaries!$B$2:'Discretionaries'!$B$150)),AP516-$Q516,"")</f>
        <v>-50</v>
      </c>
      <c r="AR516" s="140">
        <f>IF(AG516="", 0-CPI!$B$15, AG516-CPI!$B$15)</f>
        <v>0.21100000000000002</v>
      </c>
      <c r="AS516" s="1">
        <f>IF(AND(AR516&gt;0, _xlfn.XLOOKUP($AM516, Discretionaries!$A$2:'Discretionaries'!$A$150, Discretionaries!$B$2:'Discretionaries'!$B$150)), (1+CPI!$B$15)*$N516, "")</f>
        <v>207.79999999999998</v>
      </c>
      <c r="AT516" s="1">
        <f>IF(AND(AR516&gt;0, _xlfn.XLOOKUP($AM516, Discretionaries!$A$2:'Discretionaries'!$A$150, Discretionaries!$B$2:'Discretionaries'!$B$150)),AS516-$Q516,"")</f>
        <v>-42.200000000000017</v>
      </c>
    </row>
    <row r="517" spans="1:46" x14ac:dyDescent="0.3">
      <c r="A517" t="s">
        <v>445</v>
      </c>
      <c r="B517" t="str">
        <f t="shared" si="200"/>
        <v>32</v>
      </c>
      <c r="C517" t="s">
        <v>408</v>
      </c>
      <c r="D517" t="str">
        <f t="shared" si="201"/>
        <v>00</v>
      </c>
      <c r="E517" t="s">
        <v>172</v>
      </c>
      <c r="F517" s="139" t="s">
        <v>393</v>
      </c>
      <c r="G517" t="s">
        <v>394</v>
      </c>
      <c r="H517" s="156">
        <v>12364</v>
      </c>
      <c r="I517" s="156">
        <v>14289.6</v>
      </c>
      <c r="J517" s="156">
        <v>12364</v>
      </c>
      <c r="K517" s="156">
        <v>14363.44</v>
      </c>
      <c r="L517" s="156">
        <v>12364</v>
      </c>
      <c r="M517" s="156">
        <v>16261.18</v>
      </c>
      <c r="N517" s="156">
        <v>12364</v>
      </c>
      <c r="O517" s="156">
        <v>13000</v>
      </c>
      <c r="P517" s="156">
        <v>13000</v>
      </c>
      <c r="Q517" s="156">
        <v>13000</v>
      </c>
      <c r="R517" s="156">
        <v>12364</v>
      </c>
      <c r="S517" s="156">
        <f t="shared" si="202"/>
        <v>636</v>
      </c>
      <c r="T517" s="156">
        <f t="shared" si="203"/>
        <v>636</v>
      </c>
      <c r="U517" s="140">
        <f t="shared" si="204"/>
        <v>5.1439663539307665E-2</v>
      </c>
      <c r="V517" s="140">
        <f t="shared" si="205"/>
        <v>0.15574247816240702</v>
      </c>
      <c r="W517" s="140">
        <f t="shared" si="206"/>
        <v>0.16171465545131031</v>
      </c>
      <c r="X517" s="140">
        <f t="shared" si="207"/>
        <v>0.31520381753477839</v>
      </c>
      <c r="Y517" s="140">
        <f t="shared" si="208"/>
        <v>0</v>
      </c>
      <c r="Z517" s="140">
        <f t="shared" si="209"/>
        <v>5.1673944687045227E-3</v>
      </c>
      <c r="AA517" s="140">
        <f t="shared" si="210"/>
        <v>0</v>
      </c>
      <c r="AB517" s="140">
        <f t="shared" si="211"/>
        <v>0.13212294547824197</v>
      </c>
      <c r="AC517" s="140">
        <f t="shared" si="212"/>
        <v>0</v>
      </c>
      <c r="AD517" s="140">
        <f t="shared" si="213"/>
        <v>0</v>
      </c>
      <c r="AE517" s="140">
        <f t="shared" si="214"/>
        <v>5.1439663539307665E-2</v>
      </c>
      <c r="AF517" s="140">
        <f t="shared" si="215"/>
        <v>5.1439663539307665E-2</v>
      </c>
      <c r="AG517" s="140">
        <f t="shared" si="216"/>
        <v>5.1439663539307665E-2</v>
      </c>
      <c r="AH517" s="140">
        <f t="shared" si="217"/>
        <v>0</v>
      </c>
      <c r="AI517" s="140">
        <f t="shared" si="218"/>
        <v>5.1439663539307665E-2</v>
      </c>
      <c r="AJ517" s="140">
        <f t="shared" si="219"/>
        <v>5.1439663539307665E-2</v>
      </c>
      <c r="AK517" s="140">
        <f t="shared" si="220"/>
        <v>5.1439663539307665E-2</v>
      </c>
      <c r="AL517" s="140">
        <f t="shared" si="221"/>
        <v>0</v>
      </c>
      <c r="AM517" t="str">
        <f t="shared" si="222"/>
        <v>4820-000: Sr. affairs program Other</v>
      </c>
      <c r="AN517" s="140">
        <f t="shared" si="223"/>
        <v>0</v>
      </c>
      <c r="AO517" s="140">
        <f t="shared" si="224"/>
        <v>5.1439663539307665E-2</v>
      </c>
      <c r="AP517" s="1">
        <f>IF(AND(AO517&gt;0, _xlfn.XLOOKUP($AM517, Discretionaries!$A$2:'Discretionaries'!$A$150, Discretionaries!$B$2:'Discretionaries'!$B$150)), (1+AN517)*$N517, "")</f>
        <v>12364</v>
      </c>
      <c r="AQ517" s="1">
        <f>IF(AND(AO517&gt;0, _xlfn.XLOOKUP($AM517, Discretionaries!$A$2:'Discretionaries'!$A$150, Discretionaries!$B$2:'Discretionaries'!$B$150)),AP517-$Q517,"")</f>
        <v>-636</v>
      </c>
      <c r="AR517" s="140">
        <f>IF(AG517="", 0-CPI!$B$15, AG517-CPI!$B$15)</f>
        <v>1.2439663539307672E-2</v>
      </c>
      <c r="AS517" s="1">
        <f>IF(AND(AR517&gt;0, _xlfn.XLOOKUP($AM517, Discretionaries!$A$2:'Discretionaries'!$A$150, Discretionaries!$B$2:'Discretionaries'!$B$150)), (1+CPI!$B$15)*$N517, "")</f>
        <v>12846.196</v>
      </c>
      <c r="AT517" s="1">
        <f>IF(AND(AR517&gt;0, _xlfn.XLOOKUP($AM517, Discretionaries!$A$2:'Discretionaries'!$A$150, Discretionaries!$B$2:'Discretionaries'!$B$150)),AS517-$Q517,"")</f>
        <v>-153.80400000000009</v>
      </c>
    </row>
    <row r="518" spans="1:46" x14ac:dyDescent="0.3">
      <c r="A518" t="s">
        <v>445</v>
      </c>
      <c r="B518" t="str">
        <f t="shared" si="200"/>
        <v>32</v>
      </c>
      <c r="C518" t="s">
        <v>408</v>
      </c>
      <c r="D518" t="str">
        <f t="shared" si="201"/>
        <v>00</v>
      </c>
      <c r="E518" t="s">
        <v>172</v>
      </c>
      <c r="F518" s="139" t="s">
        <v>362</v>
      </c>
      <c r="G518" t="s">
        <v>363</v>
      </c>
      <c r="H518" s="156">
        <v>0</v>
      </c>
      <c r="I518" s="156">
        <v>0</v>
      </c>
      <c r="J518" s="156">
        <v>0</v>
      </c>
      <c r="K518" s="156">
        <v>0</v>
      </c>
      <c r="L518" s="156">
        <v>2500</v>
      </c>
      <c r="M518" s="156">
        <v>0</v>
      </c>
      <c r="N518" s="156">
        <v>2600</v>
      </c>
      <c r="O518" s="156">
        <v>2600</v>
      </c>
      <c r="P518" s="156">
        <v>2600</v>
      </c>
      <c r="Q518" s="156">
        <v>2600</v>
      </c>
      <c r="R518" s="156">
        <v>2600</v>
      </c>
      <c r="S518" s="156">
        <f t="shared" si="202"/>
        <v>0</v>
      </c>
      <c r="T518" s="156">
        <f t="shared" si="203"/>
        <v>0</v>
      </c>
      <c r="U518" s="140">
        <f t="shared" si="204"/>
        <v>0</v>
      </c>
      <c r="V518" s="140" t="str">
        <f t="shared" si="205"/>
        <v/>
      </c>
      <c r="W518" s="140" t="str">
        <f t="shared" si="206"/>
        <v/>
      </c>
      <c r="X518" s="140">
        <f t="shared" si="207"/>
        <v>-1</v>
      </c>
      <c r="Y518" s="140" t="str">
        <f t="shared" si="208"/>
        <v/>
      </c>
      <c r="Z518" s="140" t="str">
        <f t="shared" si="209"/>
        <v/>
      </c>
      <c r="AA518" s="140" t="str">
        <f t="shared" si="210"/>
        <v/>
      </c>
      <c r="AB518" s="140" t="str">
        <f t="shared" si="211"/>
        <v/>
      </c>
      <c r="AC518" s="140">
        <f t="shared" si="212"/>
        <v>0.04</v>
      </c>
      <c r="AD518" s="140" t="str">
        <f t="shared" si="213"/>
        <v/>
      </c>
      <c r="AE518" s="140">
        <f t="shared" si="214"/>
        <v>0</v>
      </c>
      <c r="AF518" s="140">
        <f t="shared" si="215"/>
        <v>0</v>
      </c>
      <c r="AG518" s="140">
        <f t="shared" si="216"/>
        <v>0</v>
      </c>
      <c r="AH518" s="140">
        <f t="shared" si="217"/>
        <v>0</v>
      </c>
      <c r="AI518" s="140" t="str">
        <f t="shared" si="218"/>
        <v/>
      </c>
      <c r="AJ518" s="140" t="str">
        <f t="shared" si="219"/>
        <v/>
      </c>
      <c r="AK518" s="140" t="str">
        <f t="shared" si="220"/>
        <v/>
      </c>
      <c r="AL518" s="140" t="str">
        <f t="shared" si="221"/>
        <v/>
      </c>
      <c r="AM518" t="str">
        <f t="shared" si="222"/>
        <v>4824-000: Programs Other</v>
      </c>
      <c r="AN518" s="140">
        <f t="shared" si="223"/>
        <v>0.04</v>
      </c>
      <c r="AO518" s="140">
        <f t="shared" si="224"/>
        <v>-0.04</v>
      </c>
      <c r="AP518" s="1" t="str">
        <f>IF(AND(AO518&gt;0, _xlfn.XLOOKUP($AM518, Discretionaries!$A$2:'Discretionaries'!$A$150, Discretionaries!$B$2:'Discretionaries'!$B$150)), (1+AN518)*$N518, "")</f>
        <v/>
      </c>
      <c r="AQ518" s="1" t="str">
        <f>IF(AND(AO518&gt;0, _xlfn.XLOOKUP($AM518, Discretionaries!$A$2:'Discretionaries'!$A$150, Discretionaries!$B$2:'Discretionaries'!$B$150)),AP518-$Q518,"")</f>
        <v/>
      </c>
      <c r="AR518" s="140">
        <f>IF(AG518="", 0-CPI!$B$15, AG518-CPI!$B$15)</f>
        <v>-3.8999999999999993E-2</v>
      </c>
      <c r="AS518" s="1" t="str">
        <f>IF(AND(AR518&gt;0, _xlfn.XLOOKUP($AM518, Discretionaries!$A$2:'Discretionaries'!$A$150, Discretionaries!$B$2:'Discretionaries'!$B$150)), (1+CPI!$B$15)*$N518, "")</f>
        <v/>
      </c>
      <c r="AT518" s="1" t="str">
        <f>IF(AND(AR518&gt;0, _xlfn.XLOOKUP($AM518, Discretionaries!$A$2:'Discretionaries'!$A$150, Discretionaries!$B$2:'Discretionaries'!$B$150)),AS518-$Q518,"")</f>
        <v/>
      </c>
    </row>
    <row r="519" spans="1:46" x14ac:dyDescent="0.3">
      <c r="A519" t="s">
        <v>445</v>
      </c>
      <c r="B519" t="str">
        <f t="shared" si="200"/>
        <v>32</v>
      </c>
      <c r="C519" t="s">
        <v>408</v>
      </c>
      <c r="D519" t="str">
        <f t="shared" si="201"/>
        <v>00</v>
      </c>
      <c r="E519" t="s">
        <v>172</v>
      </c>
      <c r="F519" s="139" t="s">
        <v>175</v>
      </c>
      <c r="G519" t="s">
        <v>176</v>
      </c>
      <c r="H519" s="156">
        <v>0</v>
      </c>
      <c r="I519" s="156">
        <v>0</v>
      </c>
      <c r="J519" s="156">
        <v>27188</v>
      </c>
      <c r="K519" s="156">
        <v>27187.88</v>
      </c>
      <c r="L519" s="156">
        <v>27188</v>
      </c>
      <c r="M519" s="156">
        <v>27187.88</v>
      </c>
      <c r="N519" s="156">
        <v>27188</v>
      </c>
      <c r="O519" s="156">
        <v>27188</v>
      </c>
      <c r="P519" s="156">
        <v>37000</v>
      </c>
      <c r="Q519" s="156">
        <v>37000</v>
      </c>
      <c r="R519" s="156">
        <v>27188</v>
      </c>
      <c r="S519" s="156">
        <f t="shared" si="202"/>
        <v>9812</v>
      </c>
      <c r="T519" s="156">
        <f t="shared" si="203"/>
        <v>9812</v>
      </c>
      <c r="U519" s="140">
        <f t="shared" si="204"/>
        <v>0.36089451228483155</v>
      </c>
      <c r="V519" s="140" t="str">
        <f t="shared" si="205"/>
        <v/>
      </c>
      <c r="W519" s="140">
        <f t="shared" si="206"/>
        <v>-4.4137119316971225E-6</v>
      </c>
      <c r="X519" s="140">
        <f t="shared" si="207"/>
        <v>-4.4137119316971225E-6</v>
      </c>
      <c r="Y519" s="140" t="str">
        <f t="shared" si="208"/>
        <v/>
      </c>
      <c r="Z519" s="140" t="str">
        <f t="shared" si="209"/>
        <v/>
      </c>
      <c r="AA519" s="140">
        <f t="shared" si="210"/>
        <v>0</v>
      </c>
      <c r="AB519" s="140">
        <f t="shared" si="211"/>
        <v>0</v>
      </c>
      <c r="AC519" s="140">
        <f t="shared" si="212"/>
        <v>0</v>
      </c>
      <c r="AD519" s="140" t="str">
        <f t="shared" si="213"/>
        <v/>
      </c>
      <c r="AE519" s="140">
        <f t="shared" si="214"/>
        <v>0</v>
      </c>
      <c r="AF519" s="140">
        <f t="shared" si="215"/>
        <v>0.36089451228483155</v>
      </c>
      <c r="AG519" s="140">
        <f t="shared" si="216"/>
        <v>0.36089451228483155</v>
      </c>
      <c r="AH519" s="140">
        <f t="shared" si="217"/>
        <v>0</v>
      </c>
      <c r="AI519" s="140" t="str">
        <f t="shared" si="218"/>
        <v/>
      </c>
      <c r="AJ519" s="140" t="str">
        <f t="shared" si="219"/>
        <v/>
      </c>
      <c r="AK519" s="140" t="str">
        <f t="shared" si="220"/>
        <v/>
      </c>
      <c r="AL519" s="140" t="str">
        <f t="shared" si="221"/>
        <v/>
      </c>
      <c r="AM519" t="str">
        <f t="shared" si="222"/>
        <v>4868-000: Regional trans initiative Other</v>
      </c>
      <c r="AN519" s="140">
        <f t="shared" si="223"/>
        <v>0</v>
      </c>
      <c r="AO519" s="140">
        <f t="shared" si="224"/>
        <v>0.36089451228483155</v>
      </c>
      <c r="AP519" s="1">
        <f>IF(AND(AO519&gt;0, _xlfn.XLOOKUP($AM519, Discretionaries!$A$2:'Discretionaries'!$A$150, Discretionaries!$B$2:'Discretionaries'!$B$150)), (1+AN519)*$N519, "")</f>
        <v>27188</v>
      </c>
      <c r="AQ519" s="1">
        <f>IF(AND(AO519&gt;0, _xlfn.XLOOKUP($AM519, Discretionaries!$A$2:'Discretionaries'!$A$150, Discretionaries!$B$2:'Discretionaries'!$B$150)),AP519-$Q519,"")</f>
        <v>-9812</v>
      </c>
      <c r="AR519" s="140">
        <f>IF(AG519="", 0-CPI!$B$15, AG519-CPI!$B$15)</f>
        <v>0.32189451228483157</v>
      </c>
      <c r="AS519" s="1">
        <f>IF(AND(AR519&gt;0, _xlfn.XLOOKUP($AM519, Discretionaries!$A$2:'Discretionaries'!$A$150, Discretionaries!$B$2:'Discretionaries'!$B$150)), (1+CPI!$B$15)*$N519, "")</f>
        <v>28248.331999999999</v>
      </c>
      <c r="AT519" s="1">
        <f>IF(AND(AR519&gt;0, _xlfn.XLOOKUP($AM519, Discretionaries!$A$2:'Discretionaries'!$A$150, Discretionaries!$B$2:'Discretionaries'!$B$150)),AS519-$Q519,"")</f>
        <v>-8751.6680000000015</v>
      </c>
    </row>
    <row r="520" spans="1:46" x14ac:dyDescent="0.3">
      <c r="A520" t="s">
        <v>446</v>
      </c>
      <c r="B520" t="str">
        <f t="shared" si="200"/>
        <v>33</v>
      </c>
      <c r="C520" t="s">
        <v>408</v>
      </c>
      <c r="D520" t="str">
        <f t="shared" si="201"/>
        <v>00</v>
      </c>
      <c r="E520" t="s">
        <v>11</v>
      </c>
      <c r="F520" s="139" t="s">
        <v>35</v>
      </c>
      <c r="G520" t="s">
        <v>36</v>
      </c>
      <c r="H520" s="156">
        <v>275860</v>
      </c>
      <c r="I520" s="156">
        <v>211015.43</v>
      </c>
      <c r="J520" s="156">
        <v>192039</v>
      </c>
      <c r="K520" s="156">
        <v>154751.19</v>
      </c>
      <c r="L520" s="156">
        <v>198544</v>
      </c>
      <c r="M520" s="156">
        <v>167563.32999999999</v>
      </c>
      <c r="N520" s="156">
        <v>258075</v>
      </c>
      <c r="O520" s="156">
        <v>281697</v>
      </c>
      <c r="P520" s="156">
        <v>281697</v>
      </c>
      <c r="Q520" s="156">
        <v>281697</v>
      </c>
      <c r="R520" s="156">
        <v>281697</v>
      </c>
      <c r="S520" s="156">
        <f t="shared" si="202"/>
        <v>23622</v>
      </c>
      <c r="T520" s="156">
        <f t="shared" si="203"/>
        <v>0</v>
      </c>
      <c r="U520" s="140">
        <f t="shared" si="204"/>
        <v>9.1531531531531526E-2</v>
      </c>
      <c r="V520" s="140">
        <f t="shared" si="205"/>
        <v>-0.23506332922496923</v>
      </c>
      <c r="W520" s="140">
        <f t="shared" si="206"/>
        <v>-0.19416790339462295</v>
      </c>
      <c r="X520" s="140">
        <f t="shared" si="207"/>
        <v>-0.15603931622209694</v>
      </c>
      <c r="Y520" s="140">
        <f t="shared" si="208"/>
        <v>-0.30385340390052923</v>
      </c>
      <c r="Z520" s="140">
        <f t="shared" si="209"/>
        <v>-0.2666356673538044</v>
      </c>
      <c r="AA520" s="140">
        <f t="shared" si="210"/>
        <v>3.3873327813621193E-2</v>
      </c>
      <c r="AB520" s="140">
        <f t="shared" si="211"/>
        <v>8.2791867384024539E-2</v>
      </c>
      <c r="AC520" s="140">
        <f t="shared" si="212"/>
        <v>0.29983781932468367</v>
      </c>
      <c r="AD520" s="140">
        <f t="shared" si="213"/>
        <v>-6.4471108533314003E-2</v>
      </c>
      <c r="AE520" s="140">
        <f t="shared" si="214"/>
        <v>9.1531531531531526E-2</v>
      </c>
      <c r="AF520" s="140">
        <f t="shared" si="215"/>
        <v>9.1531531531531526E-2</v>
      </c>
      <c r="AG520" s="140">
        <f t="shared" si="216"/>
        <v>9.1531531531531526E-2</v>
      </c>
      <c r="AH520" s="140">
        <f t="shared" si="217"/>
        <v>9.1531531531531526E-2</v>
      </c>
      <c r="AI520" s="140">
        <f t="shared" si="218"/>
        <v>2.115928369462771E-2</v>
      </c>
      <c r="AJ520" s="140">
        <f t="shared" si="219"/>
        <v>2.115928369462771E-2</v>
      </c>
      <c r="AK520" s="140">
        <f t="shared" si="220"/>
        <v>2.115928369462771E-2</v>
      </c>
      <c r="AL520" s="140">
        <f t="shared" si="221"/>
        <v>2.115928369462771E-2</v>
      </c>
      <c r="AM520" t="str">
        <f t="shared" si="222"/>
        <v>4110-000: Regular Salaries</v>
      </c>
      <c r="AN520" s="140">
        <f t="shared" si="223"/>
        <v>9.952581079258541E-3</v>
      </c>
      <c r="AO520" s="140">
        <f t="shared" si="224"/>
        <v>8.157895045227298E-2</v>
      </c>
      <c r="AP520" s="1" t="str">
        <f>IF(AND(AO520&gt;0, _xlfn.XLOOKUP($AM520, Discretionaries!$A$2:'Discretionaries'!$A$150, Discretionaries!$B$2:'Discretionaries'!$B$150)), (1+AN520)*$N520, "")</f>
        <v/>
      </c>
      <c r="AQ520" s="1" t="str">
        <f>IF(AND(AO520&gt;0, _xlfn.XLOOKUP($AM520, Discretionaries!$A$2:'Discretionaries'!$A$150, Discretionaries!$B$2:'Discretionaries'!$B$150)),AP520-$Q520,"")</f>
        <v/>
      </c>
      <c r="AR520" s="140">
        <f>IF(AG520="", 0-CPI!$B$15, AG520-CPI!$B$15)</f>
        <v>5.2531531531531533E-2</v>
      </c>
      <c r="AS520" s="1" t="str">
        <f>IF(AND(AR520&gt;0, _xlfn.XLOOKUP($AM520, Discretionaries!$A$2:'Discretionaries'!$A$150, Discretionaries!$B$2:'Discretionaries'!$B$150)), (1+CPI!$B$15)*$N520, "")</f>
        <v/>
      </c>
      <c r="AT520" s="1" t="str">
        <f>IF(AND(AR520&gt;0, _xlfn.XLOOKUP($AM520, Discretionaries!$A$2:'Discretionaries'!$A$150, Discretionaries!$B$2:'Discretionaries'!$B$150)),AS520-$Q520,"")</f>
        <v/>
      </c>
    </row>
    <row r="521" spans="1:46" x14ac:dyDescent="0.3">
      <c r="A521" t="s">
        <v>446</v>
      </c>
      <c r="B521" t="str">
        <f t="shared" si="200"/>
        <v>33</v>
      </c>
      <c r="C521" t="s">
        <v>408</v>
      </c>
      <c r="D521" t="str">
        <f t="shared" si="201"/>
        <v>00</v>
      </c>
      <c r="E521" t="s">
        <v>11</v>
      </c>
      <c r="F521" s="139" t="s">
        <v>37</v>
      </c>
      <c r="G521" t="s">
        <v>38</v>
      </c>
      <c r="H521" s="156">
        <v>46892</v>
      </c>
      <c r="I521" s="156">
        <v>32108.5</v>
      </c>
      <c r="J521" s="156">
        <v>49544</v>
      </c>
      <c r="K521" s="156">
        <v>26136.31</v>
      </c>
      <c r="L521" s="156">
        <v>46024</v>
      </c>
      <c r="M521" s="156">
        <v>16357.58</v>
      </c>
      <c r="N521" s="156">
        <v>11801</v>
      </c>
      <c r="O521" s="156">
        <v>16068</v>
      </c>
      <c r="P521" s="156">
        <v>16068</v>
      </c>
      <c r="Q521" s="156">
        <v>16068</v>
      </c>
      <c r="R521" s="156">
        <v>16068</v>
      </c>
      <c r="S521" s="156">
        <f t="shared" si="202"/>
        <v>4267</v>
      </c>
      <c r="T521" s="156">
        <f t="shared" si="203"/>
        <v>0</v>
      </c>
      <c r="U521" s="140">
        <f t="shared" si="204"/>
        <v>0.36157952715871539</v>
      </c>
      <c r="V521" s="140">
        <f t="shared" si="205"/>
        <v>-0.3152669965026017</v>
      </c>
      <c r="W521" s="140">
        <f t="shared" si="206"/>
        <v>-0.4724626594542225</v>
      </c>
      <c r="X521" s="140">
        <f t="shared" si="207"/>
        <v>-0.64458586824265596</v>
      </c>
      <c r="Y521" s="140">
        <f t="shared" si="208"/>
        <v>5.655548920924678E-2</v>
      </c>
      <c r="Z521" s="140">
        <f t="shared" si="209"/>
        <v>-0.18600028029960911</v>
      </c>
      <c r="AA521" s="140">
        <f t="shared" si="210"/>
        <v>-7.1047957371225573E-2</v>
      </c>
      <c r="AB521" s="140">
        <f t="shared" si="211"/>
        <v>-0.37414348085096943</v>
      </c>
      <c r="AC521" s="140">
        <f t="shared" si="212"/>
        <v>-0.74359030071267163</v>
      </c>
      <c r="AD521" s="140">
        <f t="shared" si="213"/>
        <v>-0.74833660325855156</v>
      </c>
      <c r="AE521" s="140">
        <f t="shared" si="214"/>
        <v>0.36157952715871539</v>
      </c>
      <c r="AF521" s="140">
        <f t="shared" si="215"/>
        <v>0.36157952715871539</v>
      </c>
      <c r="AG521" s="140">
        <f t="shared" si="216"/>
        <v>0.36157952715871539</v>
      </c>
      <c r="AH521" s="140">
        <f t="shared" si="217"/>
        <v>0.36157952715871539</v>
      </c>
      <c r="AI521" s="140">
        <f t="shared" si="218"/>
        <v>-0.65734027126162242</v>
      </c>
      <c r="AJ521" s="140">
        <f t="shared" si="219"/>
        <v>-0.65734027126162242</v>
      </c>
      <c r="AK521" s="140">
        <f t="shared" si="220"/>
        <v>-0.65734027126162242</v>
      </c>
      <c r="AL521" s="140">
        <f t="shared" si="221"/>
        <v>-0.65734027126162242</v>
      </c>
      <c r="AM521" t="str">
        <f t="shared" si="222"/>
        <v>4120-000: Part-time Salaries</v>
      </c>
      <c r="AN521" s="140">
        <f t="shared" si="223"/>
        <v>-0.25269425629155012</v>
      </c>
      <c r="AO521" s="140">
        <f t="shared" si="224"/>
        <v>0.61427378345026551</v>
      </c>
      <c r="AP521" s="1" t="str">
        <f>IF(AND(AO521&gt;0, _xlfn.XLOOKUP($AM521, Discretionaries!$A$2:'Discretionaries'!$A$150, Discretionaries!$B$2:'Discretionaries'!$B$150)), (1+AN521)*$N521, "")</f>
        <v/>
      </c>
      <c r="AQ521" s="1" t="str">
        <f>IF(AND(AO521&gt;0, _xlfn.XLOOKUP($AM521, Discretionaries!$A$2:'Discretionaries'!$A$150, Discretionaries!$B$2:'Discretionaries'!$B$150)),AP521-$Q521,"")</f>
        <v/>
      </c>
      <c r="AR521" s="140">
        <f>IF(AG521="", 0-CPI!$B$15, AG521-CPI!$B$15)</f>
        <v>0.32257952715871541</v>
      </c>
      <c r="AS521" s="1" t="str">
        <f>IF(AND(AR521&gt;0, _xlfn.XLOOKUP($AM521, Discretionaries!$A$2:'Discretionaries'!$A$150, Discretionaries!$B$2:'Discretionaries'!$B$150)), (1+CPI!$B$15)*$N521, "")</f>
        <v/>
      </c>
      <c r="AT521" s="1" t="str">
        <f>IF(AND(AR521&gt;0, _xlfn.XLOOKUP($AM521, Discretionaries!$A$2:'Discretionaries'!$A$150, Discretionaries!$B$2:'Discretionaries'!$B$150)),AS521-$Q521,"")</f>
        <v/>
      </c>
    </row>
    <row r="522" spans="1:46" x14ac:dyDescent="0.3">
      <c r="A522" t="s">
        <v>446</v>
      </c>
      <c r="B522" t="str">
        <f t="shared" si="200"/>
        <v>33</v>
      </c>
      <c r="C522" t="s">
        <v>408</v>
      </c>
      <c r="D522" t="str">
        <f t="shared" si="201"/>
        <v>00</v>
      </c>
      <c r="E522" t="s">
        <v>11</v>
      </c>
      <c r="F522" s="139" t="s">
        <v>39</v>
      </c>
      <c r="G522" t="s">
        <v>40</v>
      </c>
      <c r="H522" s="156">
        <v>5500</v>
      </c>
      <c r="I522" s="156">
        <v>4522.67</v>
      </c>
      <c r="J522" s="156">
        <v>1</v>
      </c>
      <c r="K522" s="156">
        <v>0</v>
      </c>
      <c r="L522" s="156">
        <v>1</v>
      </c>
      <c r="M522" s="156">
        <v>941.46</v>
      </c>
      <c r="N522" s="156">
        <v>1</v>
      </c>
      <c r="O522" s="156">
        <v>1000</v>
      </c>
      <c r="P522" s="156">
        <v>1000</v>
      </c>
      <c r="Q522" s="156">
        <v>1000</v>
      </c>
      <c r="R522" s="156">
        <v>1</v>
      </c>
      <c r="S522" s="156">
        <f t="shared" si="202"/>
        <v>999</v>
      </c>
      <c r="T522" s="156">
        <f t="shared" si="203"/>
        <v>999</v>
      </c>
      <c r="U522" s="140">
        <f t="shared" si="204"/>
        <v>999</v>
      </c>
      <c r="V522" s="140">
        <f t="shared" si="205"/>
        <v>-0.17769636363636362</v>
      </c>
      <c r="W522" s="140">
        <f t="shared" si="206"/>
        <v>-1</v>
      </c>
      <c r="X522" s="140">
        <f t="shared" si="207"/>
        <v>940.46</v>
      </c>
      <c r="Y522" s="140">
        <f t="shared" si="208"/>
        <v>-0.99981818181818183</v>
      </c>
      <c r="Z522" s="140">
        <f t="shared" si="209"/>
        <v>-1</v>
      </c>
      <c r="AA522" s="140">
        <f t="shared" si="210"/>
        <v>0</v>
      </c>
      <c r="AB522" s="140" t="str">
        <f t="shared" si="211"/>
        <v/>
      </c>
      <c r="AC522" s="140">
        <f t="shared" si="212"/>
        <v>0</v>
      </c>
      <c r="AD522" s="140">
        <f t="shared" si="213"/>
        <v>-0.99981818181818183</v>
      </c>
      <c r="AE522" s="140">
        <f t="shared" si="214"/>
        <v>999</v>
      </c>
      <c r="AF522" s="140">
        <f t="shared" si="215"/>
        <v>999</v>
      </c>
      <c r="AG522" s="140">
        <f t="shared" si="216"/>
        <v>999</v>
      </c>
      <c r="AH522" s="140">
        <f t="shared" si="217"/>
        <v>0</v>
      </c>
      <c r="AI522" s="140">
        <f t="shared" si="218"/>
        <v>-0.81818181818181823</v>
      </c>
      <c r="AJ522" s="140">
        <f t="shared" si="219"/>
        <v>-0.81818181818181823</v>
      </c>
      <c r="AK522" s="140">
        <f t="shared" si="220"/>
        <v>-0.81818181818181823</v>
      </c>
      <c r="AL522" s="140">
        <f t="shared" si="221"/>
        <v>-0.99981818181818183</v>
      </c>
      <c r="AM522" t="str">
        <f t="shared" si="222"/>
        <v>4140-000: Overtime Salaries</v>
      </c>
      <c r="AN522" s="140">
        <f t="shared" si="223"/>
        <v>-0.33327272727272728</v>
      </c>
      <c r="AO522" s="140">
        <f t="shared" si="224"/>
        <v>999.33327272727274</v>
      </c>
      <c r="AP522" s="1" t="str">
        <f>IF(AND(AO522&gt;0, _xlfn.XLOOKUP($AM522, Discretionaries!$A$2:'Discretionaries'!$A$150, Discretionaries!$B$2:'Discretionaries'!$B$150)), (1+AN522)*$N522, "")</f>
        <v/>
      </c>
      <c r="AQ522" s="1" t="str">
        <f>IF(AND(AO522&gt;0, _xlfn.XLOOKUP($AM522, Discretionaries!$A$2:'Discretionaries'!$A$150, Discretionaries!$B$2:'Discretionaries'!$B$150)),AP522-$Q522,"")</f>
        <v/>
      </c>
      <c r="AR522" s="140">
        <f>IF(AG522="", 0-CPI!$B$15, AG522-CPI!$B$15)</f>
        <v>998.96100000000001</v>
      </c>
      <c r="AS522" s="1" t="str">
        <f>IF(AND(AR522&gt;0, _xlfn.XLOOKUP($AM522, Discretionaries!$A$2:'Discretionaries'!$A$150, Discretionaries!$B$2:'Discretionaries'!$B$150)), (1+CPI!$B$15)*$N522, "")</f>
        <v/>
      </c>
      <c r="AT522" s="1" t="str">
        <f>IF(AND(AR522&gt;0, _xlfn.XLOOKUP($AM522, Discretionaries!$A$2:'Discretionaries'!$A$150, Discretionaries!$B$2:'Discretionaries'!$B$150)),AS522-$Q522,"")</f>
        <v/>
      </c>
    </row>
    <row r="523" spans="1:46" x14ac:dyDescent="0.3">
      <c r="A523" t="s">
        <v>446</v>
      </c>
      <c r="B523" t="str">
        <f t="shared" si="200"/>
        <v>33</v>
      </c>
      <c r="C523" t="s">
        <v>408</v>
      </c>
      <c r="D523" t="str">
        <f t="shared" si="201"/>
        <v>00</v>
      </c>
      <c r="E523" t="s">
        <v>14</v>
      </c>
      <c r="F523" s="139" t="s">
        <v>41</v>
      </c>
      <c r="G523" t="s">
        <v>42</v>
      </c>
      <c r="H523" s="156">
        <v>2823</v>
      </c>
      <c r="I523" s="156">
        <v>2606.11</v>
      </c>
      <c r="J523" s="156">
        <v>3022</v>
      </c>
      <c r="K523" s="156">
        <v>2566.46</v>
      </c>
      <c r="L523" s="156">
        <v>2173</v>
      </c>
      <c r="M523" s="156">
        <v>2374.16</v>
      </c>
      <c r="N523" s="156">
        <v>1600</v>
      </c>
      <c r="O523" s="156">
        <v>1919</v>
      </c>
      <c r="P523" s="156">
        <v>1919</v>
      </c>
      <c r="Q523" s="156">
        <v>1919</v>
      </c>
      <c r="R523" s="156">
        <v>1919</v>
      </c>
      <c r="S523" s="156">
        <f t="shared" si="202"/>
        <v>319</v>
      </c>
      <c r="T523" s="156">
        <f t="shared" si="203"/>
        <v>0</v>
      </c>
      <c r="U523" s="140">
        <f t="shared" si="204"/>
        <v>0.199375</v>
      </c>
      <c r="V523" s="140">
        <f t="shared" si="205"/>
        <v>-7.6829613885936898E-2</v>
      </c>
      <c r="W523" s="140">
        <f t="shared" si="206"/>
        <v>-0.15074123097286565</v>
      </c>
      <c r="X523" s="140">
        <f t="shared" si="207"/>
        <v>9.2572480441785482E-2</v>
      </c>
      <c r="Y523" s="140">
        <f t="shared" si="208"/>
        <v>7.0492383988664545E-2</v>
      </c>
      <c r="Z523" s="140">
        <f t="shared" si="209"/>
        <v>-1.5214246520676445E-2</v>
      </c>
      <c r="AA523" s="140">
        <f t="shared" si="210"/>
        <v>-0.28093977498345468</v>
      </c>
      <c r="AB523" s="140">
        <f t="shared" si="211"/>
        <v>-7.4928111094659633E-2</v>
      </c>
      <c r="AC523" s="140">
        <f t="shared" si="212"/>
        <v>-0.26369075011504833</v>
      </c>
      <c r="AD523" s="140">
        <f t="shared" si="213"/>
        <v>-0.43322706340772227</v>
      </c>
      <c r="AE523" s="140">
        <f t="shared" si="214"/>
        <v>0.199375</v>
      </c>
      <c r="AF523" s="140">
        <f t="shared" si="215"/>
        <v>0.199375</v>
      </c>
      <c r="AG523" s="140">
        <f t="shared" si="216"/>
        <v>0.199375</v>
      </c>
      <c r="AH523" s="140">
        <f t="shared" si="217"/>
        <v>0.199375</v>
      </c>
      <c r="AI523" s="140">
        <f t="shared" si="218"/>
        <v>-0.32022670917463691</v>
      </c>
      <c r="AJ523" s="140">
        <f t="shared" si="219"/>
        <v>-0.32022670917463691</v>
      </c>
      <c r="AK523" s="140">
        <f t="shared" si="220"/>
        <v>-0.32022670917463691</v>
      </c>
      <c r="AL523" s="140">
        <f t="shared" si="221"/>
        <v>-0.32022670917463691</v>
      </c>
      <c r="AM523" t="str">
        <f t="shared" si="222"/>
        <v>4215-000: STD, LTD, &amp; Life Benefits</v>
      </c>
      <c r="AN523" s="140">
        <f t="shared" si="223"/>
        <v>-0.15804604703661282</v>
      </c>
      <c r="AO523" s="140">
        <f t="shared" si="224"/>
        <v>0.35742104703661282</v>
      </c>
      <c r="AP523" s="1" t="str">
        <f>IF(AND(AO523&gt;0, _xlfn.XLOOKUP($AM523, Discretionaries!$A$2:'Discretionaries'!$A$150, Discretionaries!$B$2:'Discretionaries'!$B$150)), (1+AN523)*$N523, "")</f>
        <v/>
      </c>
      <c r="AQ523" s="1" t="str">
        <f>IF(AND(AO523&gt;0, _xlfn.XLOOKUP($AM523, Discretionaries!$A$2:'Discretionaries'!$A$150, Discretionaries!$B$2:'Discretionaries'!$B$150)),AP523-$Q523,"")</f>
        <v/>
      </c>
      <c r="AR523" s="140">
        <f>IF(AG523="", 0-CPI!$B$15, AG523-CPI!$B$15)</f>
        <v>0.16037499999999999</v>
      </c>
      <c r="AS523" s="1" t="str">
        <f>IF(AND(AR523&gt;0, _xlfn.XLOOKUP($AM523, Discretionaries!$A$2:'Discretionaries'!$A$150, Discretionaries!$B$2:'Discretionaries'!$B$150)), (1+CPI!$B$15)*$N523, "")</f>
        <v/>
      </c>
      <c r="AT523" s="1" t="str">
        <f>IF(AND(AR523&gt;0, _xlfn.XLOOKUP($AM523, Discretionaries!$A$2:'Discretionaries'!$A$150, Discretionaries!$B$2:'Discretionaries'!$B$150)),AS523-$Q523,"")</f>
        <v/>
      </c>
    </row>
    <row r="524" spans="1:46" x14ac:dyDescent="0.3">
      <c r="A524" t="s">
        <v>446</v>
      </c>
      <c r="B524" t="str">
        <f t="shared" si="200"/>
        <v>33</v>
      </c>
      <c r="C524" t="s">
        <v>408</v>
      </c>
      <c r="D524" t="str">
        <f t="shared" si="201"/>
        <v>00</v>
      </c>
      <c r="E524" t="s">
        <v>14</v>
      </c>
      <c r="F524" s="139" t="s">
        <v>15</v>
      </c>
      <c r="G524" t="s">
        <v>16</v>
      </c>
      <c r="H524" s="156">
        <v>19609</v>
      </c>
      <c r="I524" s="156">
        <v>18527.59</v>
      </c>
      <c r="J524" s="156">
        <v>20352</v>
      </c>
      <c r="K524" s="156">
        <v>14078.64</v>
      </c>
      <c r="L524" s="156">
        <v>15164</v>
      </c>
      <c r="M524" s="156">
        <v>11453.02</v>
      </c>
      <c r="N524" s="156">
        <v>16734</v>
      </c>
      <c r="O524" s="156">
        <v>18524</v>
      </c>
      <c r="P524" s="156">
        <v>18524</v>
      </c>
      <c r="Q524" s="156">
        <v>18524</v>
      </c>
      <c r="R524" s="156">
        <v>18462</v>
      </c>
      <c r="S524" s="156">
        <f t="shared" si="202"/>
        <v>1790</v>
      </c>
      <c r="T524" s="156">
        <f t="shared" si="203"/>
        <v>62</v>
      </c>
      <c r="U524" s="140">
        <f t="shared" si="204"/>
        <v>0.1069678498864587</v>
      </c>
      <c r="V524" s="140">
        <f t="shared" si="205"/>
        <v>-5.5148656229282465E-2</v>
      </c>
      <c r="W524" s="140">
        <f t="shared" si="206"/>
        <v>-0.30824292452830193</v>
      </c>
      <c r="X524" s="140">
        <f t="shared" si="207"/>
        <v>-0.24472302822474279</v>
      </c>
      <c r="Y524" s="140">
        <f t="shared" si="208"/>
        <v>3.7890764444897751E-2</v>
      </c>
      <c r="Z524" s="140">
        <f t="shared" si="209"/>
        <v>-0.24012567203829535</v>
      </c>
      <c r="AA524" s="140">
        <f t="shared" si="210"/>
        <v>-0.25491352201257861</v>
      </c>
      <c r="AB524" s="140">
        <f t="shared" si="211"/>
        <v>-0.1864967070682963</v>
      </c>
      <c r="AC524" s="140">
        <f t="shared" si="212"/>
        <v>0.10353468741756792</v>
      </c>
      <c r="AD524" s="140">
        <f t="shared" si="213"/>
        <v>-0.14661634963537151</v>
      </c>
      <c r="AE524" s="140">
        <f t="shared" si="214"/>
        <v>0.1069678498864587</v>
      </c>
      <c r="AF524" s="140">
        <f t="shared" si="215"/>
        <v>0.1069678498864587</v>
      </c>
      <c r="AG524" s="140">
        <f t="shared" si="216"/>
        <v>0.1069678498864587</v>
      </c>
      <c r="AH524" s="140">
        <f t="shared" si="217"/>
        <v>0.10326281821441377</v>
      </c>
      <c r="AI524" s="140">
        <f t="shared" si="218"/>
        <v>-5.5331735427609774E-2</v>
      </c>
      <c r="AJ524" s="140">
        <f t="shared" si="219"/>
        <v>-5.5331735427609774E-2</v>
      </c>
      <c r="AK524" s="140">
        <f t="shared" si="220"/>
        <v>-5.5331735427609774E-2</v>
      </c>
      <c r="AL524" s="140">
        <f t="shared" si="221"/>
        <v>-5.8493548880616045E-2</v>
      </c>
      <c r="AM524" t="str">
        <f t="shared" si="222"/>
        <v>4220-000: FICA Benefits</v>
      </c>
      <c r="AN524" s="140">
        <f t="shared" si="223"/>
        <v>-3.7829356716704308E-2</v>
      </c>
      <c r="AO524" s="140">
        <f t="shared" si="224"/>
        <v>0.144797206603163</v>
      </c>
      <c r="AP524" s="1" t="str">
        <f>IF(AND(AO524&gt;0, _xlfn.XLOOKUP($AM524, Discretionaries!$A$2:'Discretionaries'!$A$150, Discretionaries!$B$2:'Discretionaries'!$B$150)), (1+AN524)*$N524, "")</f>
        <v/>
      </c>
      <c r="AQ524" s="1" t="str">
        <f>IF(AND(AO524&gt;0, _xlfn.XLOOKUP($AM524, Discretionaries!$A$2:'Discretionaries'!$A$150, Discretionaries!$B$2:'Discretionaries'!$B$150)),AP524-$Q524,"")</f>
        <v/>
      </c>
      <c r="AR524" s="140">
        <f>IF(AG524="", 0-CPI!$B$15, AG524-CPI!$B$15)</f>
        <v>6.7967849886458709E-2</v>
      </c>
      <c r="AS524" s="1" t="str">
        <f>IF(AND(AR524&gt;0, _xlfn.XLOOKUP($AM524, Discretionaries!$A$2:'Discretionaries'!$A$150, Discretionaries!$B$2:'Discretionaries'!$B$150)), (1+CPI!$B$15)*$N524, "")</f>
        <v/>
      </c>
      <c r="AT524" s="1" t="str">
        <f>IF(AND(AR524&gt;0, _xlfn.XLOOKUP($AM524, Discretionaries!$A$2:'Discretionaries'!$A$150, Discretionaries!$B$2:'Discretionaries'!$B$150)),AS524-$Q524,"")</f>
        <v/>
      </c>
    </row>
    <row r="525" spans="1:46" x14ac:dyDescent="0.3">
      <c r="A525" t="s">
        <v>446</v>
      </c>
      <c r="B525" t="str">
        <f t="shared" si="200"/>
        <v>33</v>
      </c>
      <c r="C525" t="s">
        <v>408</v>
      </c>
      <c r="D525" t="str">
        <f t="shared" si="201"/>
        <v>00</v>
      </c>
      <c r="E525" t="s">
        <v>14</v>
      </c>
      <c r="F525" s="139" t="s">
        <v>17</v>
      </c>
      <c r="G525" t="s">
        <v>18</v>
      </c>
      <c r="H525" s="156">
        <v>4586</v>
      </c>
      <c r="I525" s="156">
        <v>4333.09</v>
      </c>
      <c r="J525" s="156">
        <v>4760</v>
      </c>
      <c r="K525" s="156">
        <v>3292.59</v>
      </c>
      <c r="L525" s="156">
        <v>3547</v>
      </c>
      <c r="M525" s="156">
        <v>2678.53</v>
      </c>
      <c r="N525" s="156">
        <v>3914</v>
      </c>
      <c r="O525" s="156">
        <v>4333</v>
      </c>
      <c r="P525" s="156">
        <v>4333</v>
      </c>
      <c r="Q525" s="156">
        <v>4333</v>
      </c>
      <c r="R525" s="156">
        <v>4318</v>
      </c>
      <c r="S525" s="156">
        <f t="shared" si="202"/>
        <v>419</v>
      </c>
      <c r="T525" s="156">
        <f t="shared" si="203"/>
        <v>15</v>
      </c>
      <c r="U525" s="140">
        <f t="shared" si="204"/>
        <v>0.10705160960654063</v>
      </c>
      <c r="V525" s="140">
        <f t="shared" si="205"/>
        <v>-5.5148277365896177E-2</v>
      </c>
      <c r="W525" s="140">
        <f t="shared" si="206"/>
        <v>-0.30827941176470586</v>
      </c>
      <c r="X525" s="140">
        <f t="shared" si="207"/>
        <v>-0.244846349027347</v>
      </c>
      <c r="Y525" s="140">
        <f t="shared" si="208"/>
        <v>3.7941561273440907E-2</v>
      </c>
      <c r="Z525" s="140">
        <f t="shared" si="209"/>
        <v>-0.24012886877493889</v>
      </c>
      <c r="AA525" s="140">
        <f t="shared" si="210"/>
        <v>-0.25483193277310923</v>
      </c>
      <c r="AB525" s="140">
        <f t="shared" si="211"/>
        <v>-0.18649755967186923</v>
      </c>
      <c r="AC525" s="140">
        <f t="shared" si="212"/>
        <v>0.10346771919932338</v>
      </c>
      <c r="AD525" s="140">
        <f t="shared" si="213"/>
        <v>-0.14653292629742695</v>
      </c>
      <c r="AE525" s="140">
        <f t="shared" si="214"/>
        <v>0.10705160960654063</v>
      </c>
      <c r="AF525" s="140">
        <f t="shared" si="215"/>
        <v>0.10705160960654063</v>
      </c>
      <c r="AG525" s="140">
        <f t="shared" si="216"/>
        <v>0.10705160960654063</v>
      </c>
      <c r="AH525" s="140">
        <f t="shared" si="217"/>
        <v>0.10321921308124681</v>
      </c>
      <c r="AI525" s="140">
        <f t="shared" si="218"/>
        <v>-5.5167902311382466E-2</v>
      </c>
      <c r="AJ525" s="140">
        <f t="shared" si="219"/>
        <v>-5.5167902311382466E-2</v>
      </c>
      <c r="AK525" s="140">
        <f t="shared" si="220"/>
        <v>-5.5167902311382466E-2</v>
      </c>
      <c r="AL525" s="140">
        <f t="shared" si="221"/>
        <v>-5.8438726559092893E-2</v>
      </c>
      <c r="AM525" t="str">
        <f t="shared" si="222"/>
        <v>4225-000: Medicare Benefits</v>
      </c>
      <c r="AN525" s="140">
        <f t="shared" si="223"/>
        <v>-3.7807550766781654E-2</v>
      </c>
      <c r="AO525" s="140">
        <f t="shared" si="224"/>
        <v>0.14485916037332228</v>
      </c>
      <c r="AP525" s="1" t="str">
        <f>IF(AND(AO525&gt;0, _xlfn.XLOOKUP($AM525, Discretionaries!$A$2:'Discretionaries'!$A$150, Discretionaries!$B$2:'Discretionaries'!$B$150)), (1+AN525)*$N525, "")</f>
        <v/>
      </c>
      <c r="AQ525" s="1" t="str">
        <f>IF(AND(AO525&gt;0, _xlfn.XLOOKUP($AM525, Discretionaries!$A$2:'Discretionaries'!$A$150, Discretionaries!$B$2:'Discretionaries'!$B$150)),AP525-$Q525,"")</f>
        <v/>
      </c>
      <c r="AR525" s="140">
        <f>IF(AG525="", 0-CPI!$B$15, AG525-CPI!$B$15)</f>
        <v>6.8051609606540636E-2</v>
      </c>
      <c r="AS525" s="1" t="str">
        <f>IF(AND(AR525&gt;0, _xlfn.XLOOKUP($AM525, Discretionaries!$A$2:'Discretionaries'!$A$150, Discretionaries!$B$2:'Discretionaries'!$B$150)), (1+CPI!$B$15)*$N525, "")</f>
        <v/>
      </c>
      <c r="AT525" s="1" t="str">
        <f>IF(AND(AR525&gt;0, _xlfn.XLOOKUP($AM525, Discretionaries!$A$2:'Discretionaries'!$A$150, Discretionaries!$B$2:'Discretionaries'!$B$150)),AS525-$Q525,"")</f>
        <v/>
      </c>
    </row>
    <row r="526" spans="1:46" x14ac:dyDescent="0.3">
      <c r="A526" t="s">
        <v>446</v>
      </c>
      <c r="B526" t="str">
        <f t="shared" si="200"/>
        <v>33</v>
      </c>
      <c r="C526" t="s">
        <v>408</v>
      </c>
      <c r="D526" t="str">
        <f t="shared" si="201"/>
        <v>00</v>
      </c>
      <c r="E526" t="s">
        <v>14</v>
      </c>
      <c r="F526" s="139" t="s">
        <v>43</v>
      </c>
      <c r="G526" t="s">
        <v>44</v>
      </c>
      <c r="H526" s="156">
        <v>38301</v>
      </c>
      <c r="I526" s="156">
        <v>35749.800000000003</v>
      </c>
      <c r="J526" s="156">
        <v>39560</v>
      </c>
      <c r="K526" s="156">
        <v>24629.63</v>
      </c>
      <c r="L526" s="156">
        <v>26864</v>
      </c>
      <c r="M526" s="156">
        <v>22998.63</v>
      </c>
      <c r="N526" s="156">
        <v>32906</v>
      </c>
      <c r="O526" s="156">
        <v>36052</v>
      </c>
      <c r="P526" s="156">
        <v>36052</v>
      </c>
      <c r="Q526" s="156">
        <v>36052</v>
      </c>
      <c r="R526" s="156">
        <v>35917</v>
      </c>
      <c r="S526" s="156">
        <f t="shared" si="202"/>
        <v>3146</v>
      </c>
      <c r="T526" s="156">
        <f t="shared" si="203"/>
        <v>135</v>
      </c>
      <c r="U526" s="140">
        <f t="shared" si="204"/>
        <v>9.5605664620433961E-2</v>
      </c>
      <c r="V526" s="140">
        <f t="shared" si="205"/>
        <v>-6.6609226913135353E-2</v>
      </c>
      <c r="W526" s="140">
        <f t="shared" si="206"/>
        <v>-0.37741076845298277</v>
      </c>
      <c r="X526" s="140">
        <f t="shared" si="207"/>
        <v>-0.14388661405598566</v>
      </c>
      <c r="Y526" s="140">
        <f t="shared" si="208"/>
        <v>3.2871204407195632E-2</v>
      </c>
      <c r="Z526" s="140">
        <f t="shared" si="209"/>
        <v>-0.31105544646403621</v>
      </c>
      <c r="AA526" s="140">
        <f t="shared" si="210"/>
        <v>-0.32093023255813952</v>
      </c>
      <c r="AB526" s="140">
        <f t="shared" si="211"/>
        <v>-6.6221051635773659E-2</v>
      </c>
      <c r="AC526" s="140">
        <f t="shared" si="212"/>
        <v>0.22491066110780225</v>
      </c>
      <c r="AD526" s="140">
        <f t="shared" si="213"/>
        <v>-0.14085794104592569</v>
      </c>
      <c r="AE526" s="140">
        <f t="shared" si="214"/>
        <v>9.5605664620433961E-2</v>
      </c>
      <c r="AF526" s="140">
        <f t="shared" si="215"/>
        <v>9.5605664620433961E-2</v>
      </c>
      <c r="AG526" s="140">
        <f t="shared" si="216"/>
        <v>9.5605664620433961E-2</v>
      </c>
      <c r="AH526" s="140">
        <f t="shared" si="217"/>
        <v>9.1503069349054889E-2</v>
      </c>
      <c r="AI526" s="140">
        <f t="shared" si="218"/>
        <v>-5.8719093496253365E-2</v>
      </c>
      <c r="AJ526" s="140">
        <f t="shared" si="219"/>
        <v>-5.8719093496253365E-2</v>
      </c>
      <c r="AK526" s="140">
        <f t="shared" si="220"/>
        <v>-5.8719093496253365E-2</v>
      </c>
      <c r="AL526" s="140">
        <f t="shared" si="221"/>
        <v>-6.2243805644761237E-2</v>
      </c>
      <c r="AM526" t="str">
        <f t="shared" si="222"/>
        <v>4230-000: Retirement Benefits</v>
      </c>
      <c r="AN526" s="140">
        <f t="shared" si="223"/>
        <v>-2.1049455681047203E-2</v>
      </c>
      <c r="AO526" s="140">
        <f t="shared" si="224"/>
        <v>0.11665512030148116</v>
      </c>
      <c r="AP526" s="1" t="str">
        <f>IF(AND(AO526&gt;0, _xlfn.XLOOKUP($AM526, Discretionaries!$A$2:'Discretionaries'!$A$150, Discretionaries!$B$2:'Discretionaries'!$B$150)), (1+AN526)*$N526, "")</f>
        <v/>
      </c>
      <c r="AQ526" s="1" t="str">
        <f>IF(AND(AO526&gt;0, _xlfn.XLOOKUP($AM526, Discretionaries!$A$2:'Discretionaries'!$A$150, Discretionaries!$B$2:'Discretionaries'!$B$150)),AP526-$Q526,"")</f>
        <v/>
      </c>
      <c r="AR526" s="140">
        <f>IF(AG526="", 0-CPI!$B$15, AG526-CPI!$B$15)</f>
        <v>5.6605664620433968E-2</v>
      </c>
      <c r="AS526" s="1" t="str">
        <f>IF(AND(AR526&gt;0, _xlfn.XLOOKUP($AM526, Discretionaries!$A$2:'Discretionaries'!$A$150, Discretionaries!$B$2:'Discretionaries'!$B$150)), (1+CPI!$B$15)*$N526, "")</f>
        <v/>
      </c>
      <c r="AT526" s="1" t="str">
        <f>IF(AND(AR526&gt;0, _xlfn.XLOOKUP($AM526, Discretionaries!$A$2:'Discretionaries'!$A$150, Discretionaries!$B$2:'Discretionaries'!$B$150)),AS526-$Q526,"")</f>
        <v/>
      </c>
    </row>
    <row r="527" spans="1:46" x14ac:dyDescent="0.3">
      <c r="A527" t="s">
        <v>446</v>
      </c>
      <c r="B527" t="str">
        <f t="shared" si="200"/>
        <v>33</v>
      </c>
      <c r="C527" t="s">
        <v>408</v>
      </c>
      <c r="D527" t="str">
        <f t="shared" si="201"/>
        <v>00</v>
      </c>
      <c r="E527" t="s">
        <v>14</v>
      </c>
      <c r="F527" s="139" t="s">
        <v>19</v>
      </c>
      <c r="G527" t="s">
        <v>20</v>
      </c>
      <c r="H527" s="156">
        <v>578</v>
      </c>
      <c r="I527" s="156">
        <v>394.18</v>
      </c>
      <c r="J527" s="156">
        <v>602</v>
      </c>
      <c r="K527" s="156">
        <v>572.4</v>
      </c>
      <c r="L527" s="156">
        <v>759</v>
      </c>
      <c r="M527" s="156">
        <v>759.36</v>
      </c>
      <c r="N527" s="156">
        <v>897</v>
      </c>
      <c r="O527" s="156">
        <v>884</v>
      </c>
      <c r="P527" s="156">
        <v>884</v>
      </c>
      <c r="Q527" s="156">
        <v>884</v>
      </c>
      <c r="R527" s="156">
        <v>884</v>
      </c>
      <c r="S527" s="156">
        <f t="shared" si="202"/>
        <v>-13</v>
      </c>
      <c r="T527" s="156">
        <f t="shared" si="203"/>
        <v>0</v>
      </c>
      <c r="U527" s="140">
        <f t="shared" si="204"/>
        <v>-1.4492753623188406E-2</v>
      </c>
      <c r="V527" s="140">
        <f t="shared" si="205"/>
        <v>-0.31802768166089962</v>
      </c>
      <c r="W527" s="140">
        <f t="shared" si="206"/>
        <v>-4.9169435215946883E-2</v>
      </c>
      <c r="X527" s="140">
        <f t="shared" si="207"/>
        <v>4.743083003952749E-4</v>
      </c>
      <c r="Y527" s="140">
        <f t="shared" si="208"/>
        <v>4.1522491349480967E-2</v>
      </c>
      <c r="Z527" s="140">
        <f t="shared" si="209"/>
        <v>0.45212846922725652</v>
      </c>
      <c r="AA527" s="140">
        <f t="shared" si="210"/>
        <v>0.26079734219269102</v>
      </c>
      <c r="AB527" s="140">
        <f t="shared" si="211"/>
        <v>0.32662473794549274</v>
      </c>
      <c r="AC527" s="140">
        <f t="shared" si="212"/>
        <v>0.18181818181818182</v>
      </c>
      <c r="AD527" s="140">
        <f t="shared" si="213"/>
        <v>0.55190311418685123</v>
      </c>
      <c r="AE527" s="140">
        <f t="shared" si="214"/>
        <v>-1.4492753623188406E-2</v>
      </c>
      <c r="AF527" s="140">
        <f t="shared" si="215"/>
        <v>-1.4492753623188406E-2</v>
      </c>
      <c r="AG527" s="140">
        <f t="shared" si="216"/>
        <v>-1.4492753623188406E-2</v>
      </c>
      <c r="AH527" s="140">
        <f t="shared" si="217"/>
        <v>-1.4492753623188406E-2</v>
      </c>
      <c r="AI527" s="140">
        <f t="shared" si="218"/>
        <v>0.52941176470588236</v>
      </c>
      <c r="AJ527" s="140">
        <f t="shared" si="219"/>
        <v>0.52941176470588236</v>
      </c>
      <c r="AK527" s="140">
        <f t="shared" si="220"/>
        <v>0.52941176470588236</v>
      </c>
      <c r="AL527" s="140">
        <f t="shared" si="221"/>
        <v>0.52941176470588236</v>
      </c>
      <c r="AM527" t="str">
        <f t="shared" si="222"/>
        <v>4260-000: Workers' comp Benefits</v>
      </c>
      <c r="AN527" s="140">
        <f t="shared" si="223"/>
        <v>0.16137933845345126</v>
      </c>
      <c r="AO527" s="140">
        <f t="shared" si="224"/>
        <v>-0.17587209207663967</v>
      </c>
      <c r="AP527" s="1" t="str">
        <f>IF(AND(AO527&gt;0, _xlfn.XLOOKUP($AM527, Discretionaries!$A$2:'Discretionaries'!$A$150, Discretionaries!$B$2:'Discretionaries'!$B$150)), (1+AN527)*$N527, "")</f>
        <v/>
      </c>
      <c r="AQ527" s="1" t="str">
        <f>IF(AND(AO527&gt;0, _xlfn.XLOOKUP($AM527, Discretionaries!$A$2:'Discretionaries'!$A$150, Discretionaries!$B$2:'Discretionaries'!$B$150)),AP527-$Q527,"")</f>
        <v/>
      </c>
      <c r="AR527" s="140">
        <f>IF(AG527="", 0-CPI!$B$15, AG527-CPI!$B$15)</f>
        <v>-5.3492753623188401E-2</v>
      </c>
      <c r="AS527" s="1" t="str">
        <f>IF(AND(AR527&gt;0, _xlfn.XLOOKUP($AM527, Discretionaries!$A$2:'Discretionaries'!$A$150, Discretionaries!$B$2:'Discretionaries'!$B$150)), (1+CPI!$B$15)*$N527, "")</f>
        <v/>
      </c>
      <c r="AT527" s="1" t="str">
        <f>IF(AND(AR527&gt;0, _xlfn.XLOOKUP($AM527, Discretionaries!$A$2:'Discretionaries'!$A$150, Discretionaries!$B$2:'Discretionaries'!$B$150)),AS527-$Q527,"")</f>
        <v/>
      </c>
    </row>
    <row r="528" spans="1:46" x14ac:dyDescent="0.3">
      <c r="A528" t="s">
        <v>446</v>
      </c>
      <c r="B528" t="str">
        <f t="shared" si="200"/>
        <v>33</v>
      </c>
      <c r="C528" t="s">
        <v>408</v>
      </c>
      <c r="D528" t="str">
        <f t="shared" si="201"/>
        <v>00</v>
      </c>
      <c r="E528" t="s">
        <v>21</v>
      </c>
      <c r="F528" s="139" t="s">
        <v>28</v>
      </c>
      <c r="G528" t="s">
        <v>29</v>
      </c>
      <c r="H528" s="156">
        <v>37000</v>
      </c>
      <c r="I528" s="156">
        <v>10076.34</v>
      </c>
      <c r="J528" s="156">
        <v>37000</v>
      </c>
      <c r="K528" s="156">
        <v>12294.77</v>
      </c>
      <c r="L528" s="156">
        <v>37000</v>
      </c>
      <c r="M528" s="156">
        <v>75263.55</v>
      </c>
      <c r="N528" s="156">
        <v>37850</v>
      </c>
      <c r="O528" s="156">
        <v>37850</v>
      </c>
      <c r="P528" s="156">
        <v>37850</v>
      </c>
      <c r="Q528" s="156">
        <v>37850</v>
      </c>
      <c r="R528" s="156">
        <v>37850</v>
      </c>
      <c r="S528" s="156">
        <f t="shared" si="202"/>
        <v>0</v>
      </c>
      <c r="T528" s="156">
        <f t="shared" si="203"/>
        <v>0</v>
      </c>
      <c r="U528" s="140">
        <f t="shared" si="204"/>
        <v>0</v>
      </c>
      <c r="V528" s="140">
        <f t="shared" si="205"/>
        <v>-0.72766648648648646</v>
      </c>
      <c r="W528" s="140">
        <f t="shared" si="206"/>
        <v>-0.66770891891891893</v>
      </c>
      <c r="X528" s="140">
        <f t="shared" si="207"/>
        <v>1.0341500000000001</v>
      </c>
      <c r="Y528" s="140">
        <f t="shared" si="208"/>
        <v>0</v>
      </c>
      <c r="Z528" s="140">
        <f t="shared" si="209"/>
        <v>0.2201622811457335</v>
      </c>
      <c r="AA528" s="140">
        <f t="shared" si="210"/>
        <v>0</v>
      </c>
      <c r="AB528" s="140">
        <f t="shared" si="211"/>
        <v>5.1215907251619992</v>
      </c>
      <c r="AC528" s="140">
        <f t="shared" si="212"/>
        <v>2.2972972972972974E-2</v>
      </c>
      <c r="AD528" s="140">
        <f t="shared" si="213"/>
        <v>2.2972972972972974E-2</v>
      </c>
      <c r="AE528" s="140">
        <f t="shared" si="214"/>
        <v>0</v>
      </c>
      <c r="AF528" s="140">
        <f t="shared" si="215"/>
        <v>0</v>
      </c>
      <c r="AG528" s="140">
        <f t="shared" si="216"/>
        <v>0</v>
      </c>
      <c r="AH528" s="140">
        <f t="shared" si="217"/>
        <v>0</v>
      </c>
      <c r="AI528" s="140">
        <f t="shared" si="218"/>
        <v>2.2972972972972974E-2</v>
      </c>
      <c r="AJ528" s="140">
        <f t="shared" si="219"/>
        <v>2.2972972972972974E-2</v>
      </c>
      <c r="AK528" s="140">
        <f t="shared" si="220"/>
        <v>2.2972972972972974E-2</v>
      </c>
      <c r="AL528" s="140">
        <f t="shared" si="221"/>
        <v>2.2972972972972974E-2</v>
      </c>
      <c r="AM528" t="str">
        <f t="shared" si="222"/>
        <v>4330-000: MGMT services Services</v>
      </c>
      <c r="AN528" s="140">
        <f t="shared" si="223"/>
        <v>7.6576576576576584E-3</v>
      </c>
      <c r="AO528" s="140">
        <f t="shared" si="224"/>
        <v>-7.6576576576576584E-3</v>
      </c>
      <c r="AP528" s="1" t="str">
        <f>IF(AND(AO528&gt;0, _xlfn.XLOOKUP($AM528, Discretionaries!$A$2:'Discretionaries'!$A$150, Discretionaries!$B$2:'Discretionaries'!$B$150)), (1+AN528)*$N528, "")</f>
        <v/>
      </c>
      <c r="AQ528" s="1" t="str">
        <f>IF(AND(AO528&gt;0, _xlfn.XLOOKUP($AM528, Discretionaries!$A$2:'Discretionaries'!$A$150, Discretionaries!$B$2:'Discretionaries'!$B$150)),AP528-$Q528,"")</f>
        <v/>
      </c>
      <c r="AR528" s="140">
        <f>IF(AG528="", 0-CPI!$B$15, AG528-CPI!$B$15)</f>
        <v>-3.8999999999999993E-2</v>
      </c>
      <c r="AS528" s="1" t="str">
        <f>IF(AND(AR528&gt;0, _xlfn.XLOOKUP($AM528, Discretionaries!$A$2:'Discretionaries'!$A$150, Discretionaries!$B$2:'Discretionaries'!$B$150)), (1+CPI!$B$15)*$N528, "")</f>
        <v/>
      </c>
      <c r="AT528" s="1" t="str">
        <f>IF(AND(AR528&gt;0, _xlfn.XLOOKUP($AM528, Discretionaries!$A$2:'Discretionaries'!$A$150, Discretionaries!$B$2:'Discretionaries'!$B$150)),AS528-$Q528,"")</f>
        <v/>
      </c>
    </row>
    <row r="529" spans="1:46" x14ac:dyDescent="0.3">
      <c r="A529" t="s">
        <v>446</v>
      </c>
      <c r="B529" t="str">
        <f t="shared" si="200"/>
        <v>33</v>
      </c>
      <c r="C529" t="s">
        <v>408</v>
      </c>
      <c r="D529" t="str">
        <f t="shared" si="201"/>
        <v>00</v>
      </c>
      <c r="E529" t="s">
        <v>21</v>
      </c>
      <c r="F529" s="139" t="s">
        <v>144</v>
      </c>
      <c r="G529" t="s">
        <v>145</v>
      </c>
      <c r="H529" s="156">
        <v>500</v>
      </c>
      <c r="I529" s="156">
        <v>564.73</v>
      </c>
      <c r="J529" s="156">
        <v>500</v>
      </c>
      <c r="K529" s="156">
        <v>466.66</v>
      </c>
      <c r="L529" s="156">
        <v>500</v>
      </c>
      <c r="M529" s="156">
        <v>301.91000000000003</v>
      </c>
      <c r="N529" s="156">
        <v>500</v>
      </c>
      <c r="O529" s="156">
        <v>500</v>
      </c>
      <c r="P529" s="156">
        <v>500</v>
      </c>
      <c r="Q529" s="156">
        <v>500</v>
      </c>
      <c r="R529" s="156">
        <v>500</v>
      </c>
      <c r="S529" s="156">
        <f t="shared" si="202"/>
        <v>0</v>
      </c>
      <c r="T529" s="156">
        <f t="shared" si="203"/>
        <v>0</v>
      </c>
      <c r="U529" s="140">
        <f t="shared" si="204"/>
        <v>0</v>
      </c>
      <c r="V529" s="140">
        <f t="shared" si="205"/>
        <v>0.12946000000000005</v>
      </c>
      <c r="W529" s="140">
        <f t="shared" si="206"/>
        <v>-6.6679999999999948E-2</v>
      </c>
      <c r="X529" s="140">
        <f t="shared" si="207"/>
        <v>-0.39617999999999998</v>
      </c>
      <c r="Y529" s="140">
        <f t="shared" si="208"/>
        <v>0</v>
      </c>
      <c r="Z529" s="140">
        <f t="shared" si="209"/>
        <v>-0.17365820834735182</v>
      </c>
      <c r="AA529" s="140">
        <f t="shared" si="210"/>
        <v>0</v>
      </c>
      <c r="AB529" s="140">
        <f t="shared" si="211"/>
        <v>-0.35304075772511034</v>
      </c>
      <c r="AC529" s="140">
        <f t="shared" si="212"/>
        <v>0</v>
      </c>
      <c r="AD529" s="140">
        <f t="shared" si="213"/>
        <v>0</v>
      </c>
      <c r="AE529" s="140">
        <f t="shared" si="214"/>
        <v>0</v>
      </c>
      <c r="AF529" s="140">
        <f t="shared" si="215"/>
        <v>0</v>
      </c>
      <c r="AG529" s="140">
        <f t="shared" si="216"/>
        <v>0</v>
      </c>
      <c r="AH529" s="140">
        <f t="shared" si="217"/>
        <v>0</v>
      </c>
      <c r="AI529" s="140">
        <f t="shared" si="218"/>
        <v>0</v>
      </c>
      <c r="AJ529" s="140">
        <f t="shared" si="219"/>
        <v>0</v>
      </c>
      <c r="AK529" s="140">
        <f t="shared" si="220"/>
        <v>0</v>
      </c>
      <c r="AL529" s="140">
        <f t="shared" si="221"/>
        <v>0</v>
      </c>
      <c r="AM529" t="str">
        <f t="shared" si="222"/>
        <v>4341-000: Telephone Services</v>
      </c>
      <c r="AN529" s="140">
        <f t="shared" si="223"/>
        <v>0</v>
      </c>
      <c r="AO529" s="140">
        <f t="shared" si="224"/>
        <v>0</v>
      </c>
      <c r="AP529" s="1" t="str">
        <f>IF(AND(AO529&gt;0, _xlfn.XLOOKUP($AM529, Discretionaries!$A$2:'Discretionaries'!$A$150, Discretionaries!$B$2:'Discretionaries'!$B$150)), (1+AN529)*$N529, "")</f>
        <v/>
      </c>
      <c r="AQ529" s="1" t="str">
        <f>IF(AND(AO529&gt;0, _xlfn.XLOOKUP($AM529, Discretionaries!$A$2:'Discretionaries'!$A$150, Discretionaries!$B$2:'Discretionaries'!$B$150)),AP529-$Q529,"")</f>
        <v/>
      </c>
      <c r="AR529" s="140">
        <f>IF(AG529="", 0-CPI!$B$15, AG529-CPI!$B$15)</f>
        <v>-3.8999999999999993E-2</v>
      </c>
      <c r="AS529" s="1" t="str">
        <f>IF(AND(AR529&gt;0, _xlfn.XLOOKUP($AM529, Discretionaries!$A$2:'Discretionaries'!$A$150, Discretionaries!$B$2:'Discretionaries'!$B$150)), (1+CPI!$B$15)*$N529, "")</f>
        <v/>
      </c>
      <c r="AT529" s="1" t="str">
        <f>IF(AND(AR529&gt;0, _xlfn.XLOOKUP($AM529, Discretionaries!$A$2:'Discretionaries'!$A$150, Discretionaries!$B$2:'Discretionaries'!$B$150)),AS529-$Q529,"")</f>
        <v/>
      </c>
    </row>
    <row r="530" spans="1:46" x14ac:dyDescent="0.3">
      <c r="A530" t="s">
        <v>446</v>
      </c>
      <c r="B530" t="str">
        <f t="shared" si="200"/>
        <v>33</v>
      </c>
      <c r="C530" t="s">
        <v>408</v>
      </c>
      <c r="D530" t="str">
        <f t="shared" si="201"/>
        <v>00</v>
      </c>
      <c r="E530" t="s">
        <v>21</v>
      </c>
      <c r="F530" s="139" t="s">
        <v>399</v>
      </c>
      <c r="G530" t="s">
        <v>400</v>
      </c>
      <c r="H530" s="156">
        <v>10000</v>
      </c>
      <c r="I530" s="156">
        <v>4991.1899999999996</v>
      </c>
      <c r="J530" s="156">
        <v>10000</v>
      </c>
      <c r="K530" s="156">
        <v>8620</v>
      </c>
      <c r="L530" s="156">
        <v>10000</v>
      </c>
      <c r="M530" s="156">
        <v>11079.96</v>
      </c>
      <c r="N530" s="156">
        <v>10000</v>
      </c>
      <c r="O530" s="156">
        <v>12500</v>
      </c>
      <c r="P530" s="156">
        <v>12500</v>
      </c>
      <c r="Q530" s="156">
        <v>12500</v>
      </c>
      <c r="R530" s="156">
        <v>12500</v>
      </c>
      <c r="S530" s="156">
        <f t="shared" si="202"/>
        <v>2500</v>
      </c>
      <c r="T530" s="156">
        <f t="shared" si="203"/>
        <v>0</v>
      </c>
      <c r="U530" s="140">
        <f t="shared" si="204"/>
        <v>0.25</v>
      </c>
      <c r="V530" s="140">
        <f t="shared" si="205"/>
        <v>-0.50088100000000002</v>
      </c>
      <c r="W530" s="140">
        <f t="shared" si="206"/>
        <v>-0.13800000000000001</v>
      </c>
      <c r="X530" s="140">
        <f t="shared" si="207"/>
        <v>0.10799599999999991</v>
      </c>
      <c r="Y530" s="140">
        <f t="shared" si="208"/>
        <v>0</v>
      </c>
      <c r="Z530" s="140">
        <f t="shared" si="209"/>
        <v>0.7270430498538426</v>
      </c>
      <c r="AA530" s="140">
        <f t="shared" si="210"/>
        <v>0</v>
      </c>
      <c r="AB530" s="140">
        <f t="shared" si="211"/>
        <v>0.28537819025522032</v>
      </c>
      <c r="AC530" s="140">
        <f t="shared" si="212"/>
        <v>0</v>
      </c>
      <c r="AD530" s="140">
        <f t="shared" si="213"/>
        <v>0</v>
      </c>
      <c r="AE530" s="140">
        <f t="shared" si="214"/>
        <v>0.25</v>
      </c>
      <c r="AF530" s="140">
        <f t="shared" si="215"/>
        <v>0.25</v>
      </c>
      <c r="AG530" s="140">
        <f t="shared" si="216"/>
        <v>0.25</v>
      </c>
      <c r="AH530" s="140">
        <f t="shared" si="217"/>
        <v>0.25</v>
      </c>
      <c r="AI530" s="140">
        <f t="shared" si="218"/>
        <v>0.25</v>
      </c>
      <c r="AJ530" s="140">
        <f t="shared" si="219"/>
        <v>0.25</v>
      </c>
      <c r="AK530" s="140">
        <f t="shared" si="220"/>
        <v>0.25</v>
      </c>
      <c r="AL530" s="140">
        <f t="shared" si="221"/>
        <v>0.25</v>
      </c>
      <c r="AM530" t="str">
        <f t="shared" si="222"/>
        <v>4640-000: GIS Services &amp; Supplies</v>
      </c>
      <c r="AN530" s="140">
        <f t="shared" si="223"/>
        <v>0</v>
      </c>
      <c r="AO530" s="140">
        <f t="shared" si="224"/>
        <v>0.25</v>
      </c>
      <c r="AP530" s="1">
        <f>IF(AND(AO530&gt;0, _xlfn.XLOOKUP($AM530, Discretionaries!$A$2:'Discretionaries'!$A$150, Discretionaries!$B$2:'Discretionaries'!$B$150)), (1+AN530)*$N530, "")</f>
        <v>10000</v>
      </c>
      <c r="AQ530" s="1">
        <f>IF(AND(AO530&gt;0, _xlfn.XLOOKUP($AM530, Discretionaries!$A$2:'Discretionaries'!$A$150, Discretionaries!$B$2:'Discretionaries'!$B$150)),AP530-$Q530,"")</f>
        <v>-2500</v>
      </c>
      <c r="AR530" s="140">
        <f>IF(AG530="", 0-CPI!$B$15, AG530-CPI!$B$15)</f>
        <v>0.21100000000000002</v>
      </c>
      <c r="AS530" s="1">
        <f>IF(AND(AR530&gt;0, _xlfn.XLOOKUP($AM530, Discretionaries!$A$2:'Discretionaries'!$A$150, Discretionaries!$B$2:'Discretionaries'!$B$150)), (1+CPI!$B$15)*$N530, "")</f>
        <v>10390</v>
      </c>
      <c r="AT530" s="1">
        <f>IF(AND(AR530&gt;0, _xlfn.XLOOKUP($AM530, Discretionaries!$A$2:'Discretionaries'!$A$150, Discretionaries!$B$2:'Discretionaries'!$B$150)),AS530-$Q530,"")</f>
        <v>-2110</v>
      </c>
    </row>
    <row r="531" spans="1:46" x14ac:dyDescent="0.3">
      <c r="A531" t="s">
        <v>446</v>
      </c>
      <c r="B531" t="str">
        <f t="shared" si="200"/>
        <v>33</v>
      </c>
      <c r="C531" t="s">
        <v>408</v>
      </c>
      <c r="D531" t="str">
        <f t="shared" si="201"/>
        <v>00</v>
      </c>
      <c r="E531" t="s">
        <v>45</v>
      </c>
      <c r="F531" s="139" t="s">
        <v>22</v>
      </c>
      <c r="G531" t="s">
        <v>23</v>
      </c>
      <c r="H531" s="156">
        <v>4800</v>
      </c>
      <c r="I531" s="156">
        <v>3540.03</v>
      </c>
      <c r="J531" s="156">
        <v>4800</v>
      </c>
      <c r="K531" s="156">
        <v>1849.8</v>
      </c>
      <c r="L531" s="156">
        <v>4000</v>
      </c>
      <c r="M531" s="156">
        <v>4616.25</v>
      </c>
      <c r="N531" s="156">
        <v>4000</v>
      </c>
      <c r="O531" s="156">
        <v>4500</v>
      </c>
      <c r="P531" s="156">
        <v>4500</v>
      </c>
      <c r="Q531" s="156">
        <v>4500</v>
      </c>
      <c r="R531" s="156">
        <v>4000</v>
      </c>
      <c r="S531" s="156">
        <f t="shared" si="202"/>
        <v>500</v>
      </c>
      <c r="T531" s="156">
        <f t="shared" si="203"/>
        <v>500</v>
      </c>
      <c r="U531" s="140">
        <f t="shared" si="204"/>
        <v>0.125</v>
      </c>
      <c r="V531" s="140">
        <f t="shared" si="205"/>
        <v>-0.26249374999999997</v>
      </c>
      <c r="W531" s="140">
        <f t="shared" si="206"/>
        <v>-0.61462499999999998</v>
      </c>
      <c r="X531" s="140">
        <f t="shared" si="207"/>
        <v>0.15406249999999999</v>
      </c>
      <c r="Y531" s="140">
        <f t="shared" si="208"/>
        <v>0</v>
      </c>
      <c r="Z531" s="140">
        <f t="shared" si="209"/>
        <v>-0.47746205540631015</v>
      </c>
      <c r="AA531" s="140">
        <f t="shared" si="210"/>
        <v>-0.16666666666666666</v>
      </c>
      <c r="AB531" s="140">
        <f t="shared" si="211"/>
        <v>1.4955400583846903</v>
      </c>
      <c r="AC531" s="140">
        <f t="shared" si="212"/>
        <v>0</v>
      </c>
      <c r="AD531" s="140">
        <f t="shared" si="213"/>
        <v>-0.16666666666666666</v>
      </c>
      <c r="AE531" s="140">
        <f t="shared" si="214"/>
        <v>0.125</v>
      </c>
      <c r="AF531" s="140">
        <f t="shared" si="215"/>
        <v>0.125</v>
      </c>
      <c r="AG531" s="140">
        <f t="shared" si="216"/>
        <v>0.125</v>
      </c>
      <c r="AH531" s="140">
        <f t="shared" si="217"/>
        <v>0</v>
      </c>
      <c r="AI531" s="140">
        <f t="shared" si="218"/>
        <v>-6.25E-2</v>
      </c>
      <c r="AJ531" s="140">
        <f t="shared" si="219"/>
        <v>-6.25E-2</v>
      </c>
      <c r="AK531" s="140">
        <f t="shared" si="220"/>
        <v>-6.25E-2</v>
      </c>
      <c r="AL531" s="140">
        <f t="shared" si="221"/>
        <v>-0.16666666666666666</v>
      </c>
      <c r="AM531" t="str">
        <f t="shared" si="222"/>
        <v>4550-000: Printing Services</v>
      </c>
      <c r="AN531" s="140">
        <f t="shared" si="223"/>
        <v>-5.5555555555555552E-2</v>
      </c>
      <c r="AO531" s="140">
        <f t="shared" si="224"/>
        <v>0.18055555555555555</v>
      </c>
      <c r="AP531" s="1">
        <f>IF(AND(AO531&gt;0, _xlfn.XLOOKUP($AM531, Discretionaries!$A$2:'Discretionaries'!$A$150, Discretionaries!$B$2:'Discretionaries'!$B$150)), (1+AN531)*$N531, "")</f>
        <v>3777.7777777777778</v>
      </c>
      <c r="AQ531" s="1">
        <f>IF(AND(AO531&gt;0, _xlfn.XLOOKUP($AM531, Discretionaries!$A$2:'Discretionaries'!$A$150, Discretionaries!$B$2:'Discretionaries'!$B$150)),AP531-$Q531,"")</f>
        <v>-722.22222222222217</v>
      </c>
      <c r="AR531" s="140">
        <f>IF(AG531="", 0-CPI!$B$15, AG531-CPI!$B$15)</f>
        <v>8.6000000000000007E-2</v>
      </c>
      <c r="AS531" s="1">
        <f>IF(AND(AR531&gt;0, _xlfn.XLOOKUP($AM531, Discretionaries!$A$2:'Discretionaries'!$A$150, Discretionaries!$B$2:'Discretionaries'!$B$150)), (1+CPI!$B$15)*$N531, "")</f>
        <v>4156</v>
      </c>
      <c r="AT531" s="1">
        <f>IF(AND(AR531&gt;0, _xlfn.XLOOKUP($AM531, Discretionaries!$A$2:'Discretionaries'!$A$150, Discretionaries!$B$2:'Discretionaries'!$B$150)),AS531-$Q531,"")</f>
        <v>-344</v>
      </c>
    </row>
    <row r="532" spans="1:46" x14ac:dyDescent="0.3">
      <c r="A532" t="s">
        <v>446</v>
      </c>
      <c r="B532" t="str">
        <f t="shared" si="200"/>
        <v>33</v>
      </c>
      <c r="C532" t="s">
        <v>408</v>
      </c>
      <c r="D532" t="str">
        <f t="shared" si="201"/>
        <v>00</v>
      </c>
      <c r="E532" t="s">
        <v>45</v>
      </c>
      <c r="F532" s="139" t="s">
        <v>46</v>
      </c>
      <c r="G532" t="s">
        <v>47</v>
      </c>
      <c r="H532" s="156">
        <v>1645</v>
      </c>
      <c r="I532" s="156">
        <v>1767</v>
      </c>
      <c r="J532" s="156">
        <v>1645</v>
      </c>
      <c r="K532" s="156">
        <v>227.63</v>
      </c>
      <c r="L532" s="156">
        <v>1645</v>
      </c>
      <c r="M532" s="156">
        <v>2305</v>
      </c>
      <c r="N532" s="156">
        <v>1195</v>
      </c>
      <c r="O532" s="156">
        <v>20213</v>
      </c>
      <c r="P532" s="156">
        <v>20213</v>
      </c>
      <c r="Q532" s="156">
        <v>20213</v>
      </c>
      <c r="R532" s="156">
        <v>19808</v>
      </c>
      <c r="S532" s="156">
        <f t="shared" si="202"/>
        <v>19018</v>
      </c>
      <c r="T532" s="156">
        <f t="shared" si="203"/>
        <v>405</v>
      </c>
      <c r="U532" s="140">
        <f t="shared" si="204"/>
        <v>15.914644351464435</v>
      </c>
      <c r="V532" s="140">
        <f t="shared" si="205"/>
        <v>7.4164133738601826E-2</v>
      </c>
      <c r="W532" s="140">
        <f t="shared" si="206"/>
        <v>-0.86162310030395128</v>
      </c>
      <c r="X532" s="140">
        <f t="shared" si="207"/>
        <v>0.40121580547112462</v>
      </c>
      <c r="Y532" s="140">
        <f t="shared" si="208"/>
        <v>0</v>
      </c>
      <c r="Z532" s="140">
        <f t="shared" si="209"/>
        <v>-0.87117713638936045</v>
      </c>
      <c r="AA532" s="140">
        <f t="shared" si="210"/>
        <v>0</v>
      </c>
      <c r="AB532" s="140">
        <f t="shared" si="211"/>
        <v>9.1260817994113257</v>
      </c>
      <c r="AC532" s="140">
        <f t="shared" si="212"/>
        <v>-0.2735562310030395</v>
      </c>
      <c r="AD532" s="140">
        <f t="shared" si="213"/>
        <v>-0.2735562310030395</v>
      </c>
      <c r="AE532" s="140">
        <f t="shared" si="214"/>
        <v>15.914644351464435</v>
      </c>
      <c r="AF532" s="140">
        <f t="shared" si="215"/>
        <v>15.914644351464435</v>
      </c>
      <c r="AG532" s="140">
        <f t="shared" si="216"/>
        <v>15.914644351464435</v>
      </c>
      <c r="AH532" s="140">
        <f t="shared" si="217"/>
        <v>15.575732217573222</v>
      </c>
      <c r="AI532" s="140">
        <f t="shared" si="218"/>
        <v>11.287537993920973</v>
      </c>
      <c r="AJ532" s="140">
        <f t="shared" si="219"/>
        <v>11.287537993920973</v>
      </c>
      <c r="AK532" s="140">
        <f t="shared" si="220"/>
        <v>11.287537993920973</v>
      </c>
      <c r="AL532" s="140">
        <f t="shared" si="221"/>
        <v>11.041337386018236</v>
      </c>
      <c r="AM532" t="str">
        <f t="shared" si="222"/>
        <v>4560-000: Dues &amp; subs Services</v>
      </c>
      <c r="AN532" s="140">
        <f t="shared" si="223"/>
        <v>-9.1185410334346503E-2</v>
      </c>
      <c r="AO532" s="140">
        <f t="shared" si="224"/>
        <v>16.005829761798783</v>
      </c>
      <c r="AP532" s="1">
        <f>IF(AND(AO532&gt;0, _xlfn.XLOOKUP($AM532, Discretionaries!$A$2:'Discretionaries'!$A$150, Discretionaries!$B$2:'Discretionaries'!$B$150)), (1+AN532)*$N532, "")</f>
        <v>1086.033434650456</v>
      </c>
      <c r="AQ532" s="1">
        <f>IF(AND(AO532&gt;0, _xlfn.XLOOKUP($AM532, Discretionaries!$A$2:'Discretionaries'!$A$150, Discretionaries!$B$2:'Discretionaries'!$B$150)),AP532-$Q532,"")</f>
        <v>-19126.966565349543</v>
      </c>
      <c r="AR532" s="140">
        <f>IF(AG532="", 0-CPI!$B$15, AG532-CPI!$B$15)</f>
        <v>15.875644351464436</v>
      </c>
      <c r="AS532" s="1">
        <f>IF(AND(AR532&gt;0, _xlfn.XLOOKUP($AM532, Discretionaries!$A$2:'Discretionaries'!$A$150, Discretionaries!$B$2:'Discretionaries'!$B$150)), (1+CPI!$B$15)*$N532, "")</f>
        <v>1241.605</v>
      </c>
      <c r="AT532" s="1">
        <f>IF(AND(AR532&gt;0, _xlfn.XLOOKUP($AM532, Discretionaries!$A$2:'Discretionaries'!$A$150, Discretionaries!$B$2:'Discretionaries'!$B$150)),AS532-$Q532,"")</f>
        <v>-18971.395</v>
      </c>
    </row>
    <row r="533" spans="1:46" x14ac:dyDescent="0.3">
      <c r="A533" t="s">
        <v>446</v>
      </c>
      <c r="B533" t="str">
        <f t="shared" si="200"/>
        <v>33</v>
      </c>
      <c r="C533" t="s">
        <v>408</v>
      </c>
      <c r="D533" t="str">
        <f t="shared" si="201"/>
        <v>00</v>
      </c>
      <c r="E533" t="s">
        <v>45</v>
      </c>
      <c r="F533" s="139" t="s">
        <v>24</v>
      </c>
      <c r="G533" t="s">
        <v>25</v>
      </c>
      <c r="H533" s="156">
        <v>2215</v>
      </c>
      <c r="I533" s="156">
        <v>177.5</v>
      </c>
      <c r="J533" s="156">
        <v>2215</v>
      </c>
      <c r="K533" s="156">
        <v>462.7</v>
      </c>
      <c r="L533" s="156">
        <v>2215</v>
      </c>
      <c r="M533" s="156">
        <v>463.12</v>
      </c>
      <c r="N533" s="156">
        <v>2215</v>
      </c>
      <c r="O533" s="156">
        <v>2600</v>
      </c>
      <c r="P533" s="156">
        <v>2600</v>
      </c>
      <c r="Q533" s="156">
        <v>2600</v>
      </c>
      <c r="R533" s="156">
        <v>2215</v>
      </c>
      <c r="S533" s="156">
        <f t="shared" si="202"/>
        <v>385</v>
      </c>
      <c r="T533" s="156">
        <f t="shared" si="203"/>
        <v>385</v>
      </c>
      <c r="U533" s="140">
        <f t="shared" si="204"/>
        <v>0.17381489841986456</v>
      </c>
      <c r="V533" s="140">
        <f t="shared" si="205"/>
        <v>-0.91986455981941306</v>
      </c>
      <c r="W533" s="140">
        <f t="shared" si="206"/>
        <v>-0.79110609480812644</v>
      </c>
      <c r="X533" s="140">
        <f t="shared" si="207"/>
        <v>-0.79091647855530478</v>
      </c>
      <c r="Y533" s="140">
        <f t="shared" si="208"/>
        <v>0</v>
      </c>
      <c r="Z533" s="140">
        <f t="shared" si="209"/>
        <v>1.6067605633802817</v>
      </c>
      <c r="AA533" s="140">
        <f t="shared" si="210"/>
        <v>0</v>
      </c>
      <c r="AB533" s="140">
        <f t="shared" si="211"/>
        <v>9.0771558245086653E-4</v>
      </c>
      <c r="AC533" s="140">
        <f t="shared" si="212"/>
        <v>0</v>
      </c>
      <c r="AD533" s="140">
        <f t="shared" si="213"/>
        <v>0</v>
      </c>
      <c r="AE533" s="140">
        <f t="shared" si="214"/>
        <v>0.17381489841986456</v>
      </c>
      <c r="AF533" s="140">
        <f t="shared" si="215"/>
        <v>0.17381489841986456</v>
      </c>
      <c r="AG533" s="140">
        <f t="shared" si="216"/>
        <v>0.17381489841986456</v>
      </c>
      <c r="AH533" s="140">
        <f t="shared" si="217"/>
        <v>0</v>
      </c>
      <c r="AI533" s="140">
        <f t="shared" si="218"/>
        <v>0.17381489841986456</v>
      </c>
      <c r="AJ533" s="140">
        <f t="shared" si="219"/>
        <v>0.17381489841986456</v>
      </c>
      <c r="AK533" s="140">
        <f t="shared" si="220"/>
        <v>0.17381489841986456</v>
      </c>
      <c r="AL533" s="140">
        <f t="shared" si="221"/>
        <v>0</v>
      </c>
      <c r="AM533" t="str">
        <f t="shared" si="222"/>
        <v>4570-000: Sem &amp; workshops Services</v>
      </c>
      <c r="AN533" s="140">
        <f t="shared" si="223"/>
        <v>0</v>
      </c>
      <c r="AO533" s="140">
        <f t="shared" si="224"/>
        <v>0.17381489841986456</v>
      </c>
      <c r="AP533" s="1">
        <f>IF(AND(AO533&gt;0, _xlfn.XLOOKUP($AM533, Discretionaries!$A$2:'Discretionaries'!$A$150, Discretionaries!$B$2:'Discretionaries'!$B$150)), (1+AN533)*$N533, "")</f>
        <v>2215</v>
      </c>
      <c r="AQ533" s="1">
        <f>IF(AND(AO533&gt;0, _xlfn.XLOOKUP($AM533, Discretionaries!$A$2:'Discretionaries'!$A$150, Discretionaries!$B$2:'Discretionaries'!$B$150)),AP533-$Q533,"")</f>
        <v>-385</v>
      </c>
      <c r="AR533" s="140">
        <f>IF(AG533="", 0-CPI!$B$15, AG533-CPI!$B$15)</f>
        <v>0.13481489841986455</v>
      </c>
      <c r="AS533" s="1">
        <f>IF(AND(AR533&gt;0, _xlfn.XLOOKUP($AM533, Discretionaries!$A$2:'Discretionaries'!$A$150, Discretionaries!$B$2:'Discretionaries'!$B$150)), (1+CPI!$B$15)*$N533, "")</f>
        <v>2301.3849999999998</v>
      </c>
      <c r="AT533" s="1">
        <f>IF(AND(AR533&gt;0, _xlfn.XLOOKUP($AM533, Discretionaries!$A$2:'Discretionaries'!$A$150, Discretionaries!$B$2:'Discretionaries'!$B$150)),AS533-$Q533,"")</f>
        <v>-298.61500000000024</v>
      </c>
    </row>
    <row r="534" spans="1:46" x14ac:dyDescent="0.3">
      <c r="A534" t="s">
        <v>446</v>
      </c>
      <c r="B534" t="str">
        <f t="shared" si="200"/>
        <v>33</v>
      </c>
      <c r="C534" t="s">
        <v>408</v>
      </c>
      <c r="D534" t="str">
        <f t="shared" si="201"/>
        <v>00</v>
      </c>
      <c r="E534" t="s">
        <v>45</v>
      </c>
      <c r="F534" s="139" t="s">
        <v>26</v>
      </c>
      <c r="G534" t="s">
        <v>27</v>
      </c>
      <c r="H534" s="156">
        <v>2540</v>
      </c>
      <c r="I534" s="156">
        <v>0</v>
      </c>
      <c r="J534" s="156">
        <v>2540</v>
      </c>
      <c r="K534" s="156">
        <v>0</v>
      </c>
      <c r="L534" s="156">
        <v>2540</v>
      </c>
      <c r="M534" s="156">
        <v>85.12</v>
      </c>
      <c r="N534" s="156">
        <v>2540</v>
      </c>
      <c r="O534" s="156">
        <v>3250</v>
      </c>
      <c r="P534" s="156">
        <v>3250</v>
      </c>
      <c r="Q534" s="156">
        <v>3250</v>
      </c>
      <c r="R534" s="156">
        <v>2540</v>
      </c>
      <c r="S534" s="156">
        <f t="shared" si="202"/>
        <v>710</v>
      </c>
      <c r="T534" s="156">
        <f t="shared" si="203"/>
        <v>710</v>
      </c>
      <c r="U534" s="140">
        <f t="shared" si="204"/>
        <v>0.27952755905511811</v>
      </c>
      <c r="V534" s="140">
        <f t="shared" si="205"/>
        <v>-1</v>
      </c>
      <c r="W534" s="140">
        <f t="shared" si="206"/>
        <v>-1</v>
      </c>
      <c r="X534" s="140">
        <f t="shared" si="207"/>
        <v>-0.966488188976378</v>
      </c>
      <c r="Y534" s="140">
        <f t="shared" si="208"/>
        <v>0</v>
      </c>
      <c r="Z534" s="140" t="str">
        <f t="shared" si="209"/>
        <v/>
      </c>
      <c r="AA534" s="140">
        <f t="shared" si="210"/>
        <v>0</v>
      </c>
      <c r="AB534" s="140" t="str">
        <f t="shared" si="211"/>
        <v/>
      </c>
      <c r="AC534" s="140">
        <f t="shared" si="212"/>
        <v>0</v>
      </c>
      <c r="AD534" s="140">
        <f t="shared" si="213"/>
        <v>0</v>
      </c>
      <c r="AE534" s="140">
        <f t="shared" si="214"/>
        <v>0.27952755905511811</v>
      </c>
      <c r="AF534" s="140">
        <f t="shared" si="215"/>
        <v>0.27952755905511811</v>
      </c>
      <c r="AG534" s="140">
        <f t="shared" si="216"/>
        <v>0.27952755905511811</v>
      </c>
      <c r="AH534" s="140">
        <f t="shared" si="217"/>
        <v>0</v>
      </c>
      <c r="AI534" s="140">
        <f t="shared" si="218"/>
        <v>0.27952755905511811</v>
      </c>
      <c r="AJ534" s="140">
        <f t="shared" si="219"/>
        <v>0.27952755905511811</v>
      </c>
      <c r="AK534" s="140">
        <f t="shared" si="220"/>
        <v>0.27952755905511811</v>
      </c>
      <c r="AL534" s="140">
        <f t="shared" si="221"/>
        <v>0</v>
      </c>
      <c r="AM534" t="str">
        <f t="shared" si="222"/>
        <v>4575-000: Travel &amp; mileage Services</v>
      </c>
      <c r="AN534" s="140">
        <f t="shared" si="223"/>
        <v>0</v>
      </c>
      <c r="AO534" s="140">
        <f t="shared" si="224"/>
        <v>0.27952755905511811</v>
      </c>
      <c r="AP534" s="1">
        <f>IF(AND(AO534&gt;0, _xlfn.XLOOKUP($AM534, Discretionaries!$A$2:'Discretionaries'!$A$150, Discretionaries!$B$2:'Discretionaries'!$B$150)), (1+AN534)*$N534, "")</f>
        <v>2540</v>
      </c>
      <c r="AQ534" s="1">
        <f>IF(AND(AO534&gt;0, _xlfn.XLOOKUP($AM534, Discretionaries!$A$2:'Discretionaries'!$A$150, Discretionaries!$B$2:'Discretionaries'!$B$150)),AP534-$Q534,"")</f>
        <v>-710</v>
      </c>
      <c r="AR534" s="140">
        <f>IF(AG534="", 0-CPI!$B$15, AG534-CPI!$B$15)</f>
        <v>0.24052755905511813</v>
      </c>
      <c r="AS534" s="1">
        <f>IF(AND(AR534&gt;0, _xlfn.XLOOKUP($AM534, Discretionaries!$A$2:'Discretionaries'!$A$150, Discretionaries!$B$2:'Discretionaries'!$B$150)), (1+CPI!$B$15)*$N534, "")</f>
        <v>2639.06</v>
      </c>
      <c r="AT534" s="1">
        <f>IF(AND(AR534&gt;0, _xlfn.XLOOKUP($AM534, Discretionaries!$A$2:'Discretionaries'!$A$150, Discretionaries!$B$2:'Discretionaries'!$B$150)),AS534-$Q534,"")</f>
        <v>-610.94000000000005</v>
      </c>
    </row>
    <row r="535" spans="1:46" x14ac:dyDescent="0.3">
      <c r="A535" t="s">
        <v>446</v>
      </c>
      <c r="B535" t="str">
        <f t="shared" si="200"/>
        <v>33</v>
      </c>
      <c r="C535" t="s">
        <v>408</v>
      </c>
      <c r="D535" t="str">
        <f t="shared" si="201"/>
        <v>00</v>
      </c>
      <c r="E535" t="s">
        <v>30</v>
      </c>
      <c r="F535" s="139" t="s">
        <v>51</v>
      </c>
      <c r="G535" t="s">
        <v>48</v>
      </c>
      <c r="H535" s="156">
        <v>750</v>
      </c>
      <c r="I535" s="156">
        <v>1029.3900000000001</v>
      </c>
      <c r="J535" s="156">
        <v>750</v>
      </c>
      <c r="K535" s="156">
        <v>1574.99</v>
      </c>
      <c r="L535" s="156">
        <v>750</v>
      </c>
      <c r="M535" s="156">
        <v>2811.61</v>
      </c>
      <c r="N535" s="156">
        <v>750</v>
      </c>
      <c r="O535" s="156">
        <v>2500</v>
      </c>
      <c r="P535" s="156">
        <v>2500</v>
      </c>
      <c r="Q535" s="156">
        <v>2500</v>
      </c>
      <c r="R535" s="156">
        <v>750</v>
      </c>
      <c r="S535" s="156">
        <f t="shared" si="202"/>
        <v>1750</v>
      </c>
      <c r="T535" s="156">
        <f t="shared" si="203"/>
        <v>1750</v>
      </c>
      <c r="U535" s="140">
        <f t="shared" si="204"/>
        <v>2.3333333333333335</v>
      </c>
      <c r="V535" s="140">
        <f t="shared" si="205"/>
        <v>0.37252000000000013</v>
      </c>
      <c r="W535" s="140">
        <f t="shared" si="206"/>
        <v>1.0999866666666667</v>
      </c>
      <c r="X535" s="140">
        <f t="shared" si="207"/>
        <v>2.7488133333333336</v>
      </c>
      <c r="Y535" s="140">
        <f t="shared" si="208"/>
        <v>0</v>
      </c>
      <c r="Z535" s="140">
        <f t="shared" si="209"/>
        <v>0.53002263476427769</v>
      </c>
      <c r="AA535" s="140">
        <f t="shared" si="210"/>
        <v>0</v>
      </c>
      <c r="AB535" s="140">
        <f t="shared" si="211"/>
        <v>0.78516054070184582</v>
      </c>
      <c r="AC535" s="140">
        <f t="shared" si="212"/>
        <v>0</v>
      </c>
      <c r="AD535" s="140">
        <f t="shared" si="213"/>
        <v>0</v>
      </c>
      <c r="AE535" s="140">
        <f t="shared" si="214"/>
        <v>2.3333333333333335</v>
      </c>
      <c r="AF535" s="140">
        <f t="shared" si="215"/>
        <v>2.3333333333333335</v>
      </c>
      <c r="AG535" s="140">
        <f t="shared" si="216"/>
        <v>2.3333333333333335</v>
      </c>
      <c r="AH535" s="140">
        <f t="shared" si="217"/>
        <v>0</v>
      </c>
      <c r="AI535" s="140">
        <f t="shared" si="218"/>
        <v>2.3333333333333335</v>
      </c>
      <c r="AJ535" s="140">
        <f t="shared" si="219"/>
        <v>2.3333333333333335</v>
      </c>
      <c r="AK535" s="140">
        <f t="shared" si="220"/>
        <v>2.3333333333333335</v>
      </c>
      <c r="AL535" s="140">
        <f t="shared" si="221"/>
        <v>0</v>
      </c>
      <c r="AM535" t="str">
        <f t="shared" si="222"/>
        <v>4620-000: Office supplies Supplies</v>
      </c>
      <c r="AN535" s="140">
        <f t="shared" si="223"/>
        <v>0</v>
      </c>
      <c r="AO535" s="140">
        <f t="shared" si="224"/>
        <v>2.3333333333333335</v>
      </c>
      <c r="AP535" s="1">
        <f>IF(AND(AO535&gt;0, _xlfn.XLOOKUP($AM535, Discretionaries!$A$2:'Discretionaries'!$A$150, Discretionaries!$B$2:'Discretionaries'!$B$150)), (1+AN535)*$N535, "")</f>
        <v>750</v>
      </c>
      <c r="AQ535" s="1">
        <f>IF(AND(AO535&gt;0, _xlfn.XLOOKUP($AM535, Discretionaries!$A$2:'Discretionaries'!$A$150, Discretionaries!$B$2:'Discretionaries'!$B$150)),AP535-$Q535,"")</f>
        <v>-1750</v>
      </c>
      <c r="AR535" s="140">
        <f>IF(AG535="", 0-CPI!$B$15, AG535-CPI!$B$15)</f>
        <v>2.2943333333333333</v>
      </c>
      <c r="AS535" s="1">
        <f>IF(AND(AR535&gt;0, _xlfn.XLOOKUP($AM535, Discretionaries!$A$2:'Discretionaries'!$A$150, Discretionaries!$B$2:'Discretionaries'!$B$150)), (1+CPI!$B$15)*$N535, "")</f>
        <v>779.24999999999989</v>
      </c>
      <c r="AT535" s="1">
        <f>IF(AND(AR535&gt;0, _xlfn.XLOOKUP($AM535, Discretionaries!$A$2:'Discretionaries'!$A$150, Discretionaries!$B$2:'Discretionaries'!$B$150)),AS535-$Q535,"")</f>
        <v>-1720.75</v>
      </c>
    </row>
    <row r="536" spans="1:46" x14ac:dyDescent="0.3">
      <c r="A536" t="s">
        <v>446</v>
      </c>
      <c r="B536" t="str">
        <f t="shared" si="200"/>
        <v>33</v>
      </c>
      <c r="C536" t="s">
        <v>408</v>
      </c>
      <c r="D536" t="str">
        <f t="shared" si="201"/>
        <v>00</v>
      </c>
      <c r="E536" t="s">
        <v>30</v>
      </c>
      <c r="F536" s="139" t="s">
        <v>52</v>
      </c>
      <c r="G536" t="s">
        <v>49</v>
      </c>
      <c r="H536" s="156">
        <v>5700</v>
      </c>
      <c r="I536" s="156">
        <v>6786.47</v>
      </c>
      <c r="J536" s="156">
        <v>5700</v>
      </c>
      <c r="K536" s="156">
        <v>7151.9</v>
      </c>
      <c r="L536" s="156">
        <v>5700</v>
      </c>
      <c r="M536" s="156">
        <v>9419.6</v>
      </c>
      <c r="N536" s="156">
        <v>5700</v>
      </c>
      <c r="O536" s="156">
        <v>10500</v>
      </c>
      <c r="P536" s="156">
        <v>10500</v>
      </c>
      <c r="Q536" s="156">
        <v>10500</v>
      </c>
      <c r="R536" s="156">
        <v>5700</v>
      </c>
      <c r="S536" s="156">
        <f t="shared" si="202"/>
        <v>4800</v>
      </c>
      <c r="T536" s="156">
        <f t="shared" si="203"/>
        <v>4800</v>
      </c>
      <c r="U536" s="140">
        <f t="shared" si="204"/>
        <v>0.84210526315789469</v>
      </c>
      <c r="V536" s="140">
        <f t="shared" si="205"/>
        <v>0.19060877192982462</v>
      </c>
      <c r="W536" s="140">
        <f t="shared" si="206"/>
        <v>0.25471929824561396</v>
      </c>
      <c r="X536" s="140">
        <f t="shared" si="207"/>
        <v>0.65256140350877201</v>
      </c>
      <c r="Y536" s="140">
        <f t="shared" si="208"/>
        <v>0</v>
      </c>
      <c r="Z536" s="140">
        <f t="shared" si="209"/>
        <v>5.3846845267126998E-2</v>
      </c>
      <c r="AA536" s="140">
        <f t="shared" si="210"/>
        <v>0</v>
      </c>
      <c r="AB536" s="140">
        <f t="shared" si="211"/>
        <v>0.31707658104839287</v>
      </c>
      <c r="AC536" s="140">
        <f t="shared" si="212"/>
        <v>0</v>
      </c>
      <c r="AD536" s="140">
        <f t="shared" si="213"/>
        <v>0</v>
      </c>
      <c r="AE536" s="140">
        <f t="shared" si="214"/>
        <v>0.84210526315789469</v>
      </c>
      <c r="AF536" s="140">
        <f t="shared" si="215"/>
        <v>0.84210526315789469</v>
      </c>
      <c r="AG536" s="140">
        <f t="shared" si="216"/>
        <v>0.84210526315789469</v>
      </c>
      <c r="AH536" s="140">
        <f t="shared" si="217"/>
        <v>0</v>
      </c>
      <c r="AI536" s="140">
        <f t="shared" si="218"/>
        <v>0.84210526315789469</v>
      </c>
      <c r="AJ536" s="140">
        <f t="shared" si="219"/>
        <v>0.84210526315789469</v>
      </c>
      <c r="AK536" s="140">
        <f t="shared" si="220"/>
        <v>0.84210526315789469</v>
      </c>
      <c r="AL536" s="140">
        <f t="shared" si="221"/>
        <v>0</v>
      </c>
      <c r="AM536" t="str">
        <f t="shared" si="222"/>
        <v>4625-000: Postage Supplies</v>
      </c>
      <c r="AN536" s="140">
        <f t="shared" si="223"/>
        <v>0</v>
      </c>
      <c r="AO536" s="140">
        <f t="shared" si="224"/>
        <v>0.84210526315789469</v>
      </c>
      <c r="AP536" s="1">
        <f>IF(AND(AO536&gt;0, _xlfn.XLOOKUP($AM536, Discretionaries!$A$2:'Discretionaries'!$A$150, Discretionaries!$B$2:'Discretionaries'!$B$150)), (1+AN536)*$N536, "")</f>
        <v>5700</v>
      </c>
      <c r="AQ536" s="1">
        <f>IF(AND(AO536&gt;0, _xlfn.XLOOKUP($AM536, Discretionaries!$A$2:'Discretionaries'!$A$150, Discretionaries!$B$2:'Discretionaries'!$B$150)),AP536-$Q536,"")</f>
        <v>-4800</v>
      </c>
      <c r="AR536" s="140">
        <f>IF(AG536="", 0-CPI!$B$15, AG536-CPI!$B$15)</f>
        <v>0.80310526315789466</v>
      </c>
      <c r="AS536" s="1">
        <f>IF(AND(AR536&gt;0, _xlfn.XLOOKUP($AM536, Discretionaries!$A$2:'Discretionaries'!$A$150, Discretionaries!$B$2:'Discretionaries'!$B$150)), (1+CPI!$B$15)*$N536, "")</f>
        <v>5922.2999999999993</v>
      </c>
      <c r="AT536" s="1">
        <f>IF(AND(AR536&gt;0, _xlfn.XLOOKUP($AM536, Discretionaries!$A$2:'Discretionaries'!$A$150, Discretionaries!$B$2:'Discretionaries'!$B$150)),AS536-$Q536,"")</f>
        <v>-4577.7000000000007</v>
      </c>
    </row>
    <row r="537" spans="1:46" x14ac:dyDescent="0.3">
      <c r="A537" t="s">
        <v>446</v>
      </c>
      <c r="B537" t="str">
        <f t="shared" si="200"/>
        <v>33</v>
      </c>
      <c r="C537" t="s">
        <v>408</v>
      </c>
      <c r="D537" t="str">
        <f t="shared" si="201"/>
        <v>00</v>
      </c>
      <c r="E537" t="s">
        <v>30</v>
      </c>
      <c r="F537" s="139" t="s">
        <v>210</v>
      </c>
      <c r="G537" t="s">
        <v>211</v>
      </c>
      <c r="H537" s="156">
        <v>750</v>
      </c>
      <c r="I537" s="156">
        <v>470.5</v>
      </c>
      <c r="J537" s="156">
        <v>750</v>
      </c>
      <c r="K537" s="156">
        <v>16.920000000000002</v>
      </c>
      <c r="L537" s="156">
        <v>750</v>
      </c>
      <c r="M537" s="156">
        <v>0</v>
      </c>
      <c r="N537" s="156">
        <v>750</v>
      </c>
      <c r="O537" s="156">
        <v>0</v>
      </c>
      <c r="P537" s="156">
        <v>0</v>
      </c>
      <c r="Q537" s="156">
        <v>0</v>
      </c>
      <c r="R537" s="156">
        <v>750</v>
      </c>
      <c r="S537" s="156">
        <f t="shared" si="202"/>
        <v>-750</v>
      </c>
      <c r="T537" s="156">
        <f t="shared" si="203"/>
        <v>-750</v>
      </c>
      <c r="U537" s="140">
        <f t="shared" si="204"/>
        <v>-1</v>
      </c>
      <c r="V537" s="140">
        <f t="shared" si="205"/>
        <v>-0.37266666666666665</v>
      </c>
      <c r="W537" s="140">
        <f t="shared" si="206"/>
        <v>-0.97744000000000009</v>
      </c>
      <c r="X537" s="140">
        <f t="shared" si="207"/>
        <v>-1</v>
      </c>
      <c r="Y537" s="140">
        <f t="shared" si="208"/>
        <v>0</v>
      </c>
      <c r="Z537" s="140">
        <f t="shared" si="209"/>
        <v>-0.96403825717321989</v>
      </c>
      <c r="AA537" s="140">
        <f t="shared" si="210"/>
        <v>0</v>
      </c>
      <c r="AB537" s="140">
        <f t="shared" si="211"/>
        <v>-1</v>
      </c>
      <c r="AC537" s="140">
        <f t="shared" si="212"/>
        <v>0</v>
      </c>
      <c r="AD537" s="140">
        <f t="shared" si="213"/>
        <v>0</v>
      </c>
      <c r="AE537" s="140">
        <f t="shared" si="214"/>
        <v>-1</v>
      </c>
      <c r="AF537" s="140">
        <f t="shared" si="215"/>
        <v>-1</v>
      </c>
      <c r="AG537" s="140">
        <f t="shared" si="216"/>
        <v>-1</v>
      </c>
      <c r="AH537" s="140">
        <f t="shared" si="217"/>
        <v>0</v>
      </c>
      <c r="AI537" s="140">
        <f t="shared" si="218"/>
        <v>-1</v>
      </c>
      <c r="AJ537" s="140">
        <f t="shared" si="219"/>
        <v>-1</v>
      </c>
      <c r="AK537" s="140">
        <f t="shared" si="220"/>
        <v>-1</v>
      </c>
      <c r="AL537" s="140">
        <f t="shared" si="221"/>
        <v>0</v>
      </c>
      <c r="AM537" t="str">
        <f t="shared" si="222"/>
        <v>4690-000: Other misc Supplies</v>
      </c>
      <c r="AN537" s="140">
        <f t="shared" si="223"/>
        <v>0</v>
      </c>
      <c r="AO537" s="140">
        <f t="shared" si="224"/>
        <v>-1</v>
      </c>
      <c r="AP537" s="1" t="str">
        <f>IF(AND(AO537&gt;0, _xlfn.XLOOKUP($AM537, Discretionaries!$A$2:'Discretionaries'!$A$150, Discretionaries!$B$2:'Discretionaries'!$B$150)), (1+AN537)*$N537, "")</f>
        <v/>
      </c>
      <c r="AQ537" s="1" t="str">
        <f>IF(AND(AO537&gt;0, _xlfn.XLOOKUP($AM537, Discretionaries!$A$2:'Discretionaries'!$A$150, Discretionaries!$B$2:'Discretionaries'!$B$150)),AP537-$Q537,"")</f>
        <v/>
      </c>
      <c r="AR537" s="140">
        <f>IF(AG537="", 0-CPI!$B$15, AG537-CPI!$B$15)</f>
        <v>-1.0389999999999999</v>
      </c>
      <c r="AS537" s="1" t="str">
        <f>IF(AND(AR537&gt;0, _xlfn.XLOOKUP($AM537, Discretionaries!$A$2:'Discretionaries'!$A$150, Discretionaries!$B$2:'Discretionaries'!$B$150)), (1+CPI!$B$15)*$N537, "")</f>
        <v/>
      </c>
      <c r="AT537" s="1" t="str">
        <f>IF(AND(AR537&gt;0, _xlfn.XLOOKUP($AM537, Discretionaries!$A$2:'Discretionaries'!$A$150, Discretionaries!$B$2:'Discretionaries'!$B$150)),AS537-$Q537,"")</f>
        <v/>
      </c>
    </row>
    <row r="538" spans="1:46" s="141" customFormat="1" x14ac:dyDescent="0.3">
      <c r="A538" s="141" t="s">
        <v>447</v>
      </c>
      <c r="F538" s="142"/>
      <c r="H538" s="157">
        <f t="shared" ref="H538:T538" si="225">SUM(H2:H537)</f>
        <v>35201315.520000003</v>
      </c>
      <c r="I538" s="157">
        <f t="shared" si="225"/>
        <v>34943976.930000022</v>
      </c>
      <c r="J538" s="157">
        <f t="shared" si="225"/>
        <v>36208331.75</v>
      </c>
      <c r="K538" s="157">
        <f t="shared" si="225"/>
        <v>35581525.949999996</v>
      </c>
      <c r="L538" s="157">
        <f t="shared" si="225"/>
        <v>39643477</v>
      </c>
      <c r="M538" s="157">
        <f t="shared" si="225"/>
        <v>39027406.700000033</v>
      </c>
      <c r="N538" s="157">
        <f t="shared" si="225"/>
        <v>43881839</v>
      </c>
      <c r="O538" s="157">
        <f t="shared" si="225"/>
        <v>47375888</v>
      </c>
      <c r="P538" s="157">
        <f t="shared" si="225"/>
        <v>47295186</v>
      </c>
      <c r="Q538" s="157">
        <f t="shared" si="225"/>
        <v>47263289</v>
      </c>
      <c r="R538" s="157">
        <f t="shared" si="225"/>
        <v>46391766</v>
      </c>
      <c r="S538" s="157">
        <f t="shared" si="225"/>
        <v>3381450</v>
      </c>
      <c r="T538" s="157">
        <f t="shared" si="225"/>
        <v>871523</v>
      </c>
      <c r="U538" s="143">
        <f t="shared" si="204"/>
        <v>7.7058074070232102E-2</v>
      </c>
      <c r="V538" s="143">
        <f t="shared" si="205"/>
        <v>-7.3104821850698042E-3</v>
      </c>
      <c r="W538" s="143">
        <f t="shared" si="206"/>
        <v>-1.7311093046975423E-2</v>
      </c>
      <c r="X538" s="143">
        <f t="shared" si="207"/>
        <v>-1.554026908386384E-2</v>
      </c>
      <c r="Y538" s="143">
        <f t="shared" si="208"/>
        <v>2.860734649044152E-2</v>
      </c>
      <c r="Z538" s="143">
        <f t="shared" si="209"/>
        <v>1.8244890135920001E-2</v>
      </c>
      <c r="AA538" s="143">
        <f t="shared" si="210"/>
        <v>9.4871679637656872E-2</v>
      </c>
      <c r="AB538" s="143">
        <f t="shared" si="211"/>
        <v>9.684465907511304E-2</v>
      </c>
      <c r="AC538" s="143">
        <f t="shared" si="212"/>
        <v>0.10691196435670867</v>
      </c>
      <c r="AD538" s="143">
        <f t="shared" si="213"/>
        <v>0.2465965646956593</v>
      </c>
      <c r="AE538" s="143">
        <f t="shared" si="214"/>
        <v>7.9624033076644757E-2</v>
      </c>
      <c r="AF538" s="143">
        <f t="shared" si="215"/>
        <v>7.7784957918468275E-2</v>
      </c>
      <c r="AG538" s="143">
        <f t="shared" si="216"/>
        <v>7.7058074070232102E-2</v>
      </c>
      <c r="AH538" s="143">
        <f t="shared" si="217"/>
        <v>5.7197397766306009E-2</v>
      </c>
      <c r="AI538" s="143">
        <f t="shared" si="218"/>
        <v>0.34585561079621818</v>
      </c>
      <c r="AJ538" s="143">
        <f t="shared" si="219"/>
        <v>0.34356302602181826</v>
      </c>
      <c r="AK538" s="143">
        <f t="shared" si="220"/>
        <v>0.34265689511367431</v>
      </c>
      <c r="AL538" s="143">
        <f t="shared" si="221"/>
        <v>0.31789864426066755</v>
      </c>
      <c r="AN538" s="143">
        <f t="shared" si="223"/>
        <v>7.6796996828269015E-2</v>
      </c>
      <c r="AO538" s="143">
        <f t="shared" ref="AO538" si="226">IF(AG538="", 0-AN538, AG538-AN538)</f>
        <v>2.610772419630869E-4</v>
      </c>
      <c r="AP538" s="166">
        <f t="shared" ref="AP538:AS538" si="227">SUM(AP2:AP537)</f>
        <v>5844674.4091220228</v>
      </c>
      <c r="AQ538" s="166">
        <f t="shared" si="227"/>
        <v>-1001739.590877978</v>
      </c>
      <c r="AR538" s="143">
        <f>IF(AG538="", 0-CPI!$B$15, AG538-CPI!$B$15)</f>
        <v>3.8058074070232109E-2</v>
      </c>
      <c r="AS538" s="166">
        <f t="shared" si="227"/>
        <v>5677247.6940000011</v>
      </c>
      <c r="AT538" s="166">
        <f t="shared" ref="AT538" si="228">SUM(AT2:AT537)</f>
        <v>-1088613.3060000006</v>
      </c>
    </row>
  </sheetData>
  <conditionalFormatting sqref="H2:H537">
    <cfRule type="dataBar" priority="4">
      <dataBar>
        <cfvo type="min"/>
        <cfvo type="max"/>
        <color rgb="FF63C3FF"/>
      </dataBar>
      <extLst>
        <ext xmlns:x14="http://schemas.microsoft.com/office/spreadsheetml/2009/9/main" uri="{B025F937-C7B1-47D3-B67F-A62EFF666E3E}">
          <x14:id>{C78B7BE6-E0BD-4913-B08C-D8057D233A90}</x14:id>
        </ext>
      </extLst>
    </cfRule>
  </conditionalFormatting>
  <conditionalFormatting sqref="I2:I537">
    <cfRule type="dataBar" priority="5">
      <dataBar>
        <cfvo type="min"/>
        <cfvo type="max"/>
        <color rgb="FF63C3FF"/>
      </dataBar>
      <extLst>
        <ext xmlns:x14="http://schemas.microsoft.com/office/spreadsheetml/2009/9/main" uri="{B025F937-C7B1-47D3-B67F-A62EFF666E3E}">
          <x14:id>{698F5E85-AE8A-4862-B865-BA27133473DD}</x14:id>
        </ext>
      </extLst>
    </cfRule>
  </conditionalFormatting>
  <conditionalFormatting sqref="J2:J537">
    <cfRule type="dataBar" priority="6">
      <dataBar>
        <cfvo type="min"/>
        <cfvo type="max"/>
        <color rgb="FF63C3FF"/>
      </dataBar>
      <extLst>
        <ext xmlns:x14="http://schemas.microsoft.com/office/spreadsheetml/2009/9/main" uri="{B025F937-C7B1-47D3-B67F-A62EFF666E3E}">
          <x14:id>{217E0FC5-B0C3-4E7B-BCA2-16A01F394459}</x14:id>
        </ext>
      </extLst>
    </cfRule>
  </conditionalFormatting>
  <conditionalFormatting sqref="K2:K537">
    <cfRule type="dataBar" priority="7">
      <dataBar>
        <cfvo type="min"/>
        <cfvo type="max"/>
        <color rgb="FF63C3FF"/>
      </dataBar>
      <extLst>
        <ext xmlns:x14="http://schemas.microsoft.com/office/spreadsheetml/2009/9/main" uri="{B025F937-C7B1-47D3-B67F-A62EFF666E3E}">
          <x14:id>{7882E243-0F3A-49A1-9F73-AE2266263046}</x14:id>
        </ext>
      </extLst>
    </cfRule>
  </conditionalFormatting>
  <conditionalFormatting sqref="L2:L537">
    <cfRule type="dataBar" priority="8">
      <dataBar>
        <cfvo type="min"/>
        <cfvo type="max"/>
        <color rgb="FF63C3FF"/>
      </dataBar>
      <extLst>
        <ext xmlns:x14="http://schemas.microsoft.com/office/spreadsheetml/2009/9/main" uri="{B025F937-C7B1-47D3-B67F-A62EFF666E3E}">
          <x14:id>{4C82EF25-3D6C-4AF1-A187-3D4F7748B850}</x14:id>
        </ext>
      </extLst>
    </cfRule>
  </conditionalFormatting>
  <conditionalFormatting sqref="M2:M537">
    <cfRule type="dataBar" priority="9">
      <dataBar>
        <cfvo type="min"/>
        <cfvo type="max"/>
        <color rgb="FF63C3FF"/>
      </dataBar>
      <extLst>
        <ext xmlns:x14="http://schemas.microsoft.com/office/spreadsheetml/2009/9/main" uri="{B025F937-C7B1-47D3-B67F-A62EFF666E3E}">
          <x14:id>{679D6E81-4823-4ED7-9680-7989363BA858}</x14:id>
        </ext>
      </extLst>
    </cfRule>
  </conditionalFormatting>
  <conditionalFormatting sqref="N2:N537">
    <cfRule type="dataBar" priority="10">
      <dataBar>
        <cfvo type="min"/>
        <cfvo type="max"/>
        <color rgb="FF63C3FF"/>
      </dataBar>
      <extLst>
        <ext xmlns:x14="http://schemas.microsoft.com/office/spreadsheetml/2009/9/main" uri="{B025F937-C7B1-47D3-B67F-A62EFF666E3E}">
          <x14:id>{AB853EFF-09A3-474A-AD55-4D7FE578B7FA}</x14:id>
        </ext>
      </extLst>
    </cfRule>
  </conditionalFormatting>
  <conditionalFormatting sqref="O2:O537">
    <cfRule type="dataBar" priority="11">
      <dataBar>
        <cfvo type="min"/>
        <cfvo type="max"/>
        <color rgb="FF63C3FF"/>
      </dataBar>
      <extLst>
        <ext xmlns:x14="http://schemas.microsoft.com/office/spreadsheetml/2009/9/main" uri="{B025F937-C7B1-47D3-B67F-A62EFF666E3E}">
          <x14:id>{82665E05-AACC-43F2-85A9-15FA91BF5DAE}</x14:id>
        </ext>
      </extLst>
    </cfRule>
  </conditionalFormatting>
  <conditionalFormatting sqref="P2:P537">
    <cfRule type="dataBar" priority="12">
      <dataBar>
        <cfvo type="min"/>
        <cfvo type="max"/>
        <color rgb="FF63C3FF"/>
      </dataBar>
      <extLst>
        <ext xmlns:x14="http://schemas.microsoft.com/office/spreadsheetml/2009/9/main" uri="{B025F937-C7B1-47D3-B67F-A62EFF666E3E}">
          <x14:id>{18B791BB-A96D-42B5-854A-D86979363A0D}</x14:id>
        </ext>
      </extLst>
    </cfRule>
  </conditionalFormatting>
  <conditionalFormatting sqref="Q2:Q537">
    <cfRule type="dataBar" priority="13">
      <dataBar>
        <cfvo type="min"/>
        <cfvo type="max"/>
        <color rgb="FF63C3FF"/>
      </dataBar>
      <extLst>
        <ext xmlns:x14="http://schemas.microsoft.com/office/spreadsheetml/2009/9/main" uri="{B025F937-C7B1-47D3-B67F-A62EFF666E3E}">
          <x14:id>{FADF70D5-7655-417C-B91B-80F83A9C4CD6}</x14:id>
        </ext>
      </extLst>
    </cfRule>
  </conditionalFormatting>
  <conditionalFormatting sqref="R2:R537">
    <cfRule type="dataBar" priority="14">
      <dataBar>
        <cfvo type="min"/>
        <cfvo type="max"/>
        <color rgb="FF63C3FF"/>
      </dataBar>
      <extLst>
        <ext xmlns:x14="http://schemas.microsoft.com/office/spreadsheetml/2009/9/main" uri="{B025F937-C7B1-47D3-B67F-A62EFF666E3E}">
          <x14:id>{FB400C30-0DAB-42E5-ACD1-7049F84A09C6}</x14:id>
        </ext>
      </extLst>
    </cfRule>
  </conditionalFormatting>
  <conditionalFormatting sqref="S2:S537">
    <cfRule type="dataBar" priority="15">
      <dataBar>
        <cfvo type="min"/>
        <cfvo type="max"/>
        <color rgb="FFFF6464"/>
      </dataBar>
      <extLst>
        <ext xmlns:x14="http://schemas.microsoft.com/office/spreadsheetml/2009/9/main" uri="{B025F937-C7B1-47D3-B67F-A62EFF666E3E}">
          <x14:id>{F1BFFA34-EBCA-480E-8EB8-A4F4431A68AA}</x14:id>
        </ext>
      </extLst>
    </cfRule>
  </conditionalFormatting>
  <conditionalFormatting sqref="T2:T537">
    <cfRule type="dataBar" priority="16">
      <dataBar>
        <cfvo type="min"/>
        <cfvo type="max"/>
        <color rgb="FFFF6464"/>
      </dataBar>
      <extLst>
        <ext xmlns:x14="http://schemas.microsoft.com/office/spreadsheetml/2009/9/main" uri="{B025F937-C7B1-47D3-B67F-A62EFF666E3E}">
          <x14:id>{80CC770C-A9CF-4C16-9C06-42A8F6284A0C}</x14:id>
        </ext>
      </extLst>
    </cfRule>
  </conditionalFormatting>
  <conditionalFormatting sqref="U2:U537">
    <cfRule type="dataBar" priority="17">
      <dataBar>
        <cfvo type="min"/>
        <cfvo type="max"/>
        <color rgb="FFFF6464"/>
      </dataBar>
      <extLst>
        <ext xmlns:x14="http://schemas.microsoft.com/office/spreadsheetml/2009/9/main" uri="{B025F937-C7B1-47D3-B67F-A62EFF666E3E}">
          <x14:id>{C69249AE-4671-423C-B729-3E6239A00539}</x14:id>
        </ext>
      </extLst>
    </cfRule>
  </conditionalFormatting>
  <conditionalFormatting sqref="V2:V537">
    <cfRule type="dataBar" priority="18">
      <dataBar>
        <cfvo type="min"/>
        <cfvo type="max"/>
        <color rgb="FFFF6464"/>
      </dataBar>
      <extLst>
        <ext xmlns:x14="http://schemas.microsoft.com/office/spreadsheetml/2009/9/main" uri="{B025F937-C7B1-47D3-B67F-A62EFF666E3E}">
          <x14:id>{E4B1F15C-B0EF-4E1A-BAA2-DDFE9A244EA9}</x14:id>
        </ext>
      </extLst>
    </cfRule>
  </conditionalFormatting>
  <conditionalFormatting sqref="W2:W537">
    <cfRule type="dataBar" priority="19">
      <dataBar>
        <cfvo type="min"/>
        <cfvo type="max"/>
        <color rgb="FFFF6464"/>
      </dataBar>
      <extLst>
        <ext xmlns:x14="http://schemas.microsoft.com/office/spreadsheetml/2009/9/main" uri="{B025F937-C7B1-47D3-B67F-A62EFF666E3E}">
          <x14:id>{80BA4BF7-1EDE-4EFB-A98D-A02E18B2D525}</x14:id>
        </ext>
      </extLst>
    </cfRule>
  </conditionalFormatting>
  <conditionalFormatting sqref="X2:X537">
    <cfRule type="dataBar" priority="20">
      <dataBar>
        <cfvo type="min"/>
        <cfvo type="max"/>
        <color rgb="FFFF6464"/>
      </dataBar>
      <extLst>
        <ext xmlns:x14="http://schemas.microsoft.com/office/spreadsheetml/2009/9/main" uri="{B025F937-C7B1-47D3-B67F-A62EFF666E3E}">
          <x14:id>{36B38E12-D555-4B31-A17B-E7C4BD8DCBC3}</x14:id>
        </ext>
      </extLst>
    </cfRule>
  </conditionalFormatting>
  <conditionalFormatting sqref="Y2:Y537">
    <cfRule type="dataBar" priority="21">
      <dataBar>
        <cfvo type="min"/>
        <cfvo type="max"/>
        <color rgb="FFFF6464"/>
      </dataBar>
      <extLst>
        <ext xmlns:x14="http://schemas.microsoft.com/office/spreadsheetml/2009/9/main" uri="{B025F937-C7B1-47D3-B67F-A62EFF666E3E}">
          <x14:id>{31D944BB-87B8-429F-B60D-8566002CA361}</x14:id>
        </ext>
      </extLst>
    </cfRule>
  </conditionalFormatting>
  <conditionalFormatting sqref="Z2:Z537">
    <cfRule type="dataBar" priority="22">
      <dataBar>
        <cfvo type="min"/>
        <cfvo type="max"/>
        <color rgb="FFFF6464"/>
      </dataBar>
      <extLst>
        <ext xmlns:x14="http://schemas.microsoft.com/office/spreadsheetml/2009/9/main" uri="{B025F937-C7B1-47D3-B67F-A62EFF666E3E}">
          <x14:id>{65FB1020-2AFA-4F1D-AB04-3C9AD64C619F}</x14:id>
        </ext>
      </extLst>
    </cfRule>
  </conditionalFormatting>
  <conditionalFormatting sqref="AA2:AA537">
    <cfRule type="dataBar" priority="23">
      <dataBar>
        <cfvo type="min"/>
        <cfvo type="max"/>
        <color rgb="FFFF6464"/>
      </dataBar>
      <extLst>
        <ext xmlns:x14="http://schemas.microsoft.com/office/spreadsheetml/2009/9/main" uri="{B025F937-C7B1-47D3-B67F-A62EFF666E3E}">
          <x14:id>{75EE4370-783D-4E01-8600-77E3210CA87A}</x14:id>
        </ext>
      </extLst>
    </cfRule>
  </conditionalFormatting>
  <conditionalFormatting sqref="AB2:AB537">
    <cfRule type="dataBar" priority="24">
      <dataBar>
        <cfvo type="min"/>
        <cfvo type="max"/>
        <color rgb="FFFF6464"/>
      </dataBar>
      <extLst>
        <ext xmlns:x14="http://schemas.microsoft.com/office/spreadsheetml/2009/9/main" uri="{B025F937-C7B1-47D3-B67F-A62EFF666E3E}">
          <x14:id>{F2E7F3CD-3C29-4396-93EF-D9203F608F34}</x14:id>
        </ext>
      </extLst>
    </cfRule>
  </conditionalFormatting>
  <conditionalFormatting sqref="AC2:AC537">
    <cfRule type="dataBar" priority="25">
      <dataBar>
        <cfvo type="min"/>
        <cfvo type="max"/>
        <color rgb="FFFF6464"/>
      </dataBar>
      <extLst>
        <ext xmlns:x14="http://schemas.microsoft.com/office/spreadsheetml/2009/9/main" uri="{B025F937-C7B1-47D3-B67F-A62EFF666E3E}">
          <x14:id>{8222677B-3DE0-440F-8540-1C60FE408EAB}</x14:id>
        </ext>
      </extLst>
    </cfRule>
  </conditionalFormatting>
  <conditionalFormatting sqref="AD2:AD537">
    <cfRule type="dataBar" priority="26">
      <dataBar>
        <cfvo type="min"/>
        <cfvo type="max"/>
        <color rgb="FFFF6464"/>
      </dataBar>
      <extLst>
        <ext xmlns:x14="http://schemas.microsoft.com/office/spreadsheetml/2009/9/main" uri="{B025F937-C7B1-47D3-B67F-A62EFF666E3E}">
          <x14:id>{8C201DB0-C966-40F7-944E-F55B85460599}</x14:id>
        </ext>
      </extLst>
    </cfRule>
  </conditionalFormatting>
  <conditionalFormatting sqref="AE2:AE537">
    <cfRule type="dataBar" priority="27">
      <dataBar>
        <cfvo type="min"/>
        <cfvo type="max"/>
        <color rgb="FFFF6464"/>
      </dataBar>
      <extLst>
        <ext xmlns:x14="http://schemas.microsoft.com/office/spreadsheetml/2009/9/main" uri="{B025F937-C7B1-47D3-B67F-A62EFF666E3E}">
          <x14:id>{7A510ADC-7E88-4CEA-B8F0-CEBDE0931DC8}</x14:id>
        </ext>
      </extLst>
    </cfRule>
  </conditionalFormatting>
  <conditionalFormatting sqref="AF2:AF537">
    <cfRule type="dataBar" priority="28">
      <dataBar>
        <cfvo type="min"/>
        <cfvo type="max"/>
        <color rgb="FFFF6464"/>
      </dataBar>
      <extLst>
        <ext xmlns:x14="http://schemas.microsoft.com/office/spreadsheetml/2009/9/main" uri="{B025F937-C7B1-47D3-B67F-A62EFF666E3E}">
          <x14:id>{1D88859C-9AD1-4212-8EBC-52019D971F7E}</x14:id>
        </ext>
      </extLst>
    </cfRule>
  </conditionalFormatting>
  <conditionalFormatting sqref="AG2:AG537">
    <cfRule type="dataBar" priority="29">
      <dataBar>
        <cfvo type="min"/>
        <cfvo type="max"/>
        <color rgb="FFFF6464"/>
      </dataBar>
      <extLst>
        <ext xmlns:x14="http://schemas.microsoft.com/office/spreadsheetml/2009/9/main" uri="{B025F937-C7B1-47D3-B67F-A62EFF666E3E}">
          <x14:id>{A6E2F0C6-5085-4C7A-9E8E-D7F721A98E0D}</x14:id>
        </ext>
      </extLst>
    </cfRule>
  </conditionalFormatting>
  <conditionalFormatting sqref="AH2:AH537">
    <cfRule type="dataBar" priority="30">
      <dataBar>
        <cfvo type="min"/>
        <cfvo type="max"/>
        <color rgb="FFFF6464"/>
      </dataBar>
      <extLst>
        <ext xmlns:x14="http://schemas.microsoft.com/office/spreadsheetml/2009/9/main" uri="{B025F937-C7B1-47D3-B67F-A62EFF666E3E}">
          <x14:id>{1FC5BA38-8C2C-4DF1-A13F-D9416C904122}</x14:id>
        </ext>
      </extLst>
    </cfRule>
  </conditionalFormatting>
  <conditionalFormatting sqref="AI2:AI537">
    <cfRule type="dataBar" priority="31">
      <dataBar>
        <cfvo type="min"/>
        <cfvo type="max"/>
        <color rgb="FFFF6464"/>
      </dataBar>
      <extLst>
        <ext xmlns:x14="http://schemas.microsoft.com/office/spreadsheetml/2009/9/main" uri="{B025F937-C7B1-47D3-B67F-A62EFF666E3E}">
          <x14:id>{A3EDBF7E-ADD5-4291-A654-D2EF7CBB698F}</x14:id>
        </ext>
      </extLst>
    </cfRule>
  </conditionalFormatting>
  <conditionalFormatting sqref="AJ2:AJ537">
    <cfRule type="dataBar" priority="32">
      <dataBar>
        <cfvo type="min"/>
        <cfvo type="max"/>
        <color rgb="FFFF6464"/>
      </dataBar>
      <extLst>
        <ext xmlns:x14="http://schemas.microsoft.com/office/spreadsheetml/2009/9/main" uri="{B025F937-C7B1-47D3-B67F-A62EFF666E3E}">
          <x14:id>{9B2CCE0F-58FC-424E-8807-1D9BEDF30C4D}</x14:id>
        </ext>
      </extLst>
    </cfRule>
  </conditionalFormatting>
  <conditionalFormatting sqref="AK2:AK537">
    <cfRule type="dataBar" priority="33">
      <dataBar>
        <cfvo type="min"/>
        <cfvo type="max"/>
        <color rgb="FFFF6464"/>
      </dataBar>
      <extLst>
        <ext xmlns:x14="http://schemas.microsoft.com/office/spreadsheetml/2009/9/main" uri="{B025F937-C7B1-47D3-B67F-A62EFF666E3E}">
          <x14:id>{B1D745BA-8EF1-4341-825A-016D8D552179}</x14:id>
        </ext>
      </extLst>
    </cfRule>
  </conditionalFormatting>
  <conditionalFormatting sqref="AL2:AL537">
    <cfRule type="dataBar" priority="34">
      <dataBar>
        <cfvo type="min"/>
        <cfvo type="max"/>
        <color rgb="FFFF6464"/>
      </dataBar>
      <extLst>
        <ext xmlns:x14="http://schemas.microsoft.com/office/spreadsheetml/2009/9/main" uri="{B025F937-C7B1-47D3-B67F-A62EFF666E3E}">
          <x14:id>{EF619072-84D7-415A-BC81-DBDC035E226A}</x14:id>
        </ext>
      </extLst>
    </cfRule>
  </conditionalFormatting>
  <conditionalFormatting sqref="AN2:AN538">
    <cfRule type="dataBar" priority="35">
      <dataBar>
        <cfvo type="min"/>
        <cfvo type="max"/>
        <color rgb="FFFF6464"/>
      </dataBar>
      <extLst>
        <ext xmlns:x14="http://schemas.microsoft.com/office/spreadsheetml/2009/9/main" uri="{B025F937-C7B1-47D3-B67F-A62EFF666E3E}">
          <x14:id>{62A49AD5-E942-4D5A-A067-ACE6C9307DC7}</x14:id>
        </ext>
      </extLst>
    </cfRule>
  </conditionalFormatting>
  <conditionalFormatting sqref="AO3:AO538 AO2:AQ537">
    <cfRule type="dataBar" priority="36">
      <dataBar>
        <cfvo type="min"/>
        <cfvo type="max"/>
        <color rgb="FFFF6464"/>
      </dataBar>
      <extLst>
        <ext xmlns:x14="http://schemas.microsoft.com/office/spreadsheetml/2009/9/main" uri="{B025F937-C7B1-47D3-B67F-A62EFF666E3E}">
          <x14:id>{345DD9BD-E084-4F75-93FE-818E43B9E1E5}</x14:id>
        </ext>
      </extLst>
    </cfRule>
  </conditionalFormatting>
  <conditionalFormatting sqref="AR2:AR538">
    <cfRule type="dataBar" priority="37">
      <dataBar>
        <cfvo type="min"/>
        <cfvo type="max"/>
        <color rgb="FFFF6464"/>
      </dataBar>
      <extLst>
        <ext xmlns:x14="http://schemas.microsoft.com/office/spreadsheetml/2009/9/main" uri="{B025F937-C7B1-47D3-B67F-A62EFF666E3E}">
          <x14:id>{3F7B4A89-F53D-48CE-A8A6-3BD4480F25B1}</x14:id>
        </ext>
      </extLst>
    </cfRule>
  </conditionalFormatting>
  <conditionalFormatting sqref="AS2:AS537">
    <cfRule type="dataBar" priority="3">
      <dataBar>
        <cfvo type="min"/>
        <cfvo type="max"/>
        <color rgb="FFFF6464"/>
      </dataBar>
      <extLst>
        <ext xmlns:x14="http://schemas.microsoft.com/office/spreadsheetml/2009/9/main" uri="{B025F937-C7B1-47D3-B67F-A62EFF666E3E}">
          <x14:id>{AED5805A-B041-4BF1-9A22-A78148E93156}</x14:id>
        </ext>
      </extLst>
    </cfRule>
  </conditionalFormatting>
  <conditionalFormatting sqref="AT2:AT537">
    <cfRule type="dataBar" priority="1">
      <dataBar>
        <cfvo type="min"/>
        <cfvo type="max"/>
        <color rgb="FFFF6464"/>
      </dataBar>
      <extLst>
        <ext xmlns:x14="http://schemas.microsoft.com/office/spreadsheetml/2009/9/main" uri="{B025F937-C7B1-47D3-B67F-A62EFF666E3E}">
          <x14:id>{908DBB99-2705-4B63-99E8-7BB8F8BDC898}</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78B7BE6-E0BD-4913-B08C-D8057D233A90}">
            <x14:dataBar minLength="0" maxLength="100">
              <x14:cfvo type="autoMin"/>
              <x14:cfvo type="autoMax"/>
              <x14:negativeFillColor rgb="FF63C3FF"/>
              <x14:axisColor rgb="FF000000"/>
            </x14:dataBar>
          </x14:cfRule>
          <xm:sqref>H2:H537</xm:sqref>
        </x14:conditionalFormatting>
        <x14:conditionalFormatting xmlns:xm="http://schemas.microsoft.com/office/excel/2006/main">
          <x14:cfRule type="dataBar" id="{698F5E85-AE8A-4862-B865-BA27133473DD}">
            <x14:dataBar minLength="0" maxLength="100">
              <x14:cfvo type="autoMin"/>
              <x14:cfvo type="autoMax"/>
              <x14:negativeFillColor rgb="FF63C3FF"/>
              <x14:axisColor rgb="FF000000"/>
            </x14:dataBar>
          </x14:cfRule>
          <xm:sqref>I2:I537</xm:sqref>
        </x14:conditionalFormatting>
        <x14:conditionalFormatting xmlns:xm="http://schemas.microsoft.com/office/excel/2006/main">
          <x14:cfRule type="dataBar" id="{217E0FC5-B0C3-4E7B-BCA2-16A01F394459}">
            <x14:dataBar minLength="0" maxLength="100">
              <x14:cfvo type="autoMin"/>
              <x14:cfvo type="autoMax"/>
              <x14:negativeFillColor rgb="FF63C3FF"/>
              <x14:axisColor rgb="FF000000"/>
            </x14:dataBar>
          </x14:cfRule>
          <xm:sqref>J2:J537</xm:sqref>
        </x14:conditionalFormatting>
        <x14:conditionalFormatting xmlns:xm="http://schemas.microsoft.com/office/excel/2006/main">
          <x14:cfRule type="dataBar" id="{7882E243-0F3A-49A1-9F73-AE2266263046}">
            <x14:dataBar minLength="0" maxLength="100">
              <x14:cfvo type="autoMin"/>
              <x14:cfvo type="autoMax"/>
              <x14:negativeFillColor rgb="FF63C3FF"/>
              <x14:axisColor rgb="FF000000"/>
            </x14:dataBar>
          </x14:cfRule>
          <xm:sqref>K2:K537</xm:sqref>
        </x14:conditionalFormatting>
        <x14:conditionalFormatting xmlns:xm="http://schemas.microsoft.com/office/excel/2006/main">
          <x14:cfRule type="dataBar" id="{4C82EF25-3D6C-4AF1-A187-3D4F7748B850}">
            <x14:dataBar minLength="0" maxLength="100">
              <x14:cfvo type="autoMin"/>
              <x14:cfvo type="autoMax"/>
              <x14:negativeFillColor rgb="FF63C3FF"/>
              <x14:axisColor rgb="FF000000"/>
            </x14:dataBar>
          </x14:cfRule>
          <xm:sqref>L2:L537</xm:sqref>
        </x14:conditionalFormatting>
        <x14:conditionalFormatting xmlns:xm="http://schemas.microsoft.com/office/excel/2006/main">
          <x14:cfRule type="dataBar" id="{679D6E81-4823-4ED7-9680-7989363BA858}">
            <x14:dataBar minLength="0" maxLength="100">
              <x14:cfvo type="autoMin"/>
              <x14:cfvo type="autoMax"/>
              <x14:negativeFillColor rgb="FF63C3FF"/>
              <x14:axisColor rgb="FF000000"/>
            </x14:dataBar>
          </x14:cfRule>
          <xm:sqref>M2:M537</xm:sqref>
        </x14:conditionalFormatting>
        <x14:conditionalFormatting xmlns:xm="http://schemas.microsoft.com/office/excel/2006/main">
          <x14:cfRule type="dataBar" id="{AB853EFF-09A3-474A-AD55-4D7FE578B7FA}">
            <x14:dataBar minLength="0" maxLength="100">
              <x14:cfvo type="autoMin"/>
              <x14:cfvo type="autoMax"/>
              <x14:negativeFillColor rgb="FF63C3FF"/>
              <x14:axisColor rgb="FF000000"/>
            </x14:dataBar>
          </x14:cfRule>
          <xm:sqref>N2:N537</xm:sqref>
        </x14:conditionalFormatting>
        <x14:conditionalFormatting xmlns:xm="http://schemas.microsoft.com/office/excel/2006/main">
          <x14:cfRule type="dataBar" id="{82665E05-AACC-43F2-85A9-15FA91BF5DAE}">
            <x14:dataBar minLength="0" maxLength="100">
              <x14:cfvo type="autoMin"/>
              <x14:cfvo type="autoMax"/>
              <x14:negativeFillColor rgb="FF63C3FF"/>
              <x14:axisColor rgb="FF000000"/>
            </x14:dataBar>
          </x14:cfRule>
          <xm:sqref>O2:O537</xm:sqref>
        </x14:conditionalFormatting>
        <x14:conditionalFormatting xmlns:xm="http://schemas.microsoft.com/office/excel/2006/main">
          <x14:cfRule type="dataBar" id="{18B791BB-A96D-42B5-854A-D86979363A0D}">
            <x14:dataBar minLength="0" maxLength="100">
              <x14:cfvo type="autoMin"/>
              <x14:cfvo type="autoMax"/>
              <x14:negativeFillColor rgb="FF63C3FF"/>
              <x14:axisColor rgb="FF000000"/>
            </x14:dataBar>
          </x14:cfRule>
          <xm:sqref>P2:P537</xm:sqref>
        </x14:conditionalFormatting>
        <x14:conditionalFormatting xmlns:xm="http://schemas.microsoft.com/office/excel/2006/main">
          <x14:cfRule type="dataBar" id="{FADF70D5-7655-417C-B91B-80F83A9C4CD6}">
            <x14:dataBar minLength="0" maxLength="100">
              <x14:cfvo type="autoMin"/>
              <x14:cfvo type="autoMax"/>
              <x14:negativeFillColor rgb="FF63C3FF"/>
              <x14:axisColor rgb="FF000000"/>
            </x14:dataBar>
          </x14:cfRule>
          <xm:sqref>Q2:Q537</xm:sqref>
        </x14:conditionalFormatting>
        <x14:conditionalFormatting xmlns:xm="http://schemas.microsoft.com/office/excel/2006/main">
          <x14:cfRule type="dataBar" id="{FB400C30-0DAB-42E5-ACD1-7049F84A09C6}">
            <x14:dataBar minLength="0" maxLength="100">
              <x14:cfvo type="autoMin"/>
              <x14:cfvo type="autoMax"/>
              <x14:negativeFillColor rgb="FF63C3FF"/>
              <x14:axisColor rgb="FF000000"/>
            </x14:dataBar>
          </x14:cfRule>
          <xm:sqref>R2:R537</xm:sqref>
        </x14:conditionalFormatting>
        <x14:conditionalFormatting xmlns:xm="http://schemas.microsoft.com/office/excel/2006/main">
          <x14:cfRule type="dataBar" id="{F1BFFA34-EBCA-480E-8EB8-A4F4431A68AA}">
            <x14:dataBar minLength="0" maxLength="100">
              <x14:cfvo type="autoMin"/>
              <x14:cfvo type="autoMax"/>
              <x14:negativeFillColor rgb="FF63C384"/>
              <x14:axisColor rgb="FF000000"/>
            </x14:dataBar>
          </x14:cfRule>
          <xm:sqref>S2:S537</xm:sqref>
        </x14:conditionalFormatting>
        <x14:conditionalFormatting xmlns:xm="http://schemas.microsoft.com/office/excel/2006/main">
          <x14:cfRule type="dataBar" id="{80CC770C-A9CF-4C16-9C06-42A8F6284A0C}">
            <x14:dataBar minLength="0" maxLength="100">
              <x14:cfvo type="autoMin"/>
              <x14:cfvo type="autoMax"/>
              <x14:negativeFillColor rgb="FF63C384"/>
              <x14:axisColor rgb="FF000000"/>
            </x14:dataBar>
          </x14:cfRule>
          <xm:sqref>T2:T537</xm:sqref>
        </x14:conditionalFormatting>
        <x14:conditionalFormatting xmlns:xm="http://schemas.microsoft.com/office/excel/2006/main">
          <x14:cfRule type="dataBar" id="{C69249AE-4671-423C-B729-3E6239A00539}">
            <x14:dataBar minLength="0" maxLength="100">
              <x14:cfvo type="autoMin"/>
              <x14:cfvo type="autoMax"/>
              <x14:negativeFillColor rgb="FF63C384"/>
              <x14:axisColor rgb="FF000000"/>
            </x14:dataBar>
          </x14:cfRule>
          <xm:sqref>U2:U537</xm:sqref>
        </x14:conditionalFormatting>
        <x14:conditionalFormatting xmlns:xm="http://schemas.microsoft.com/office/excel/2006/main">
          <x14:cfRule type="dataBar" id="{E4B1F15C-B0EF-4E1A-BAA2-DDFE9A244EA9}">
            <x14:dataBar minLength="0" maxLength="100">
              <x14:cfvo type="autoMin"/>
              <x14:cfvo type="autoMax"/>
              <x14:negativeFillColor rgb="FF63C384"/>
              <x14:axisColor rgb="FF000000"/>
            </x14:dataBar>
          </x14:cfRule>
          <xm:sqref>V2:V537</xm:sqref>
        </x14:conditionalFormatting>
        <x14:conditionalFormatting xmlns:xm="http://schemas.microsoft.com/office/excel/2006/main">
          <x14:cfRule type="dataBar" id="{80BA4BF7-1EDE-4EFB-A98D-A02E18B2D525}">
            <x14:dataBar minLength="0" maxLength="100">
              <x14:cfvo type="autoMin"/>
              <x14:cfvo type="autoMax"/>
              <x14:negativeFillColor rgb="FF63C384"/>
              <x14:axisColor rgb="FF000000"/>
            </x14:dataBar>
          </x14:cfRule>
          <xm:sqref>W2:W537</xm:sqref>
        </x14:conditionalFormatting>
        <x14:conditionalFormatting xmlns:xm="http://schemas.microsoft.com/office/excel/2006/main">
          <x14:cfRule type="dataBar" id="{36B38E12-D555-4B31-A17B-E7C4BD8DCBC3}">
            <x14:dataBar minLength="0" maxLength="100">
              <x14:cfvo type="autoMin"/>
              <x14:cfvo type="autoMax"/>
              <x14:negativeFillColor rgb="FF63C384"/>
              <x14:axisColor rgb="FF000000"/>
            </x14:dataBar>
          </x14:cfRule>
          <xm:sqref>X2:X537</xm:sqref>
        </x14:conditionalFormatting>
        <x14:conditionalFormatting xmlns:xm="http://schemas.microsoft.com/office/excel/2006/main">
          <x14:cfRule type="dataBar" id="{31D944BB-87B8-429F-B60D-8566002CA361}">
            <x14:dataBar minLength="0" maxLength="100">
              <x14:cfvo type="autoMin"/>
              <x14:cfvo type="autoMax"/>
              <x14:negativeFillColor rgb="FF63C384"/>
              <x14:axisColor rgb="FF000000"/>
            </x14:dataBar>
          </x14:cfRule>
          <xm:sqref>Y2:Y537</xm:sqref>
        </x14:conditionalFormatting>
        <x14:conditionalFormatting xmlns:xm="http://schemas.microsoft.com/office/excel/2006/main">
          <x14:cfRule type="dataBar" id="{65FB1020-2AFA-4F1D-AB04-3C9AD64C619F}">
            <x14:dataBar minLength="0" maxLength="100">
              <x14:cfvo type="autoMin"/>
              <x14:cfvo type="autoMax"/>
              <x14:negativeFillColor rgb="FF63C384"/>
              <x14:axisColor rgb="FF000000"/>
            </x14:dataBar>
          </x14:cfRule>
          <xm:sqref>Z2:Z537</xm:sqref>
        </x14:conditionalFormatting>
        <x14:conditionalFormatting xmlns:xm="http://schemas.microsoft.com/office/excel/2006/main">
          <x14:cfRule type="dataBar" id="{75EE4370-783D-4E01-8600-77E3210CA87A}">
            <x14:dataBar minLength="0" maxLength="100">
              <x14:cfvo type="autoMin"/>
              <x14:cfvo type="autoMax"/>
              <x14:negativeFillColor rgb="FF63C384"/>
              <x14:axisColor rgb="FF000000"/>
            </x14:dataBar>
          </x14:cfRule>
          <xm:sqref>AA2:AA537</xm:sqref>
        </x14:conditionalFormatting>
        <x14:conditionalFormatting xmlns:xm="http://schemas.microsoft.com/office/excel/2006/main">
          <x14:cfRule type="dataBar" id="{F2E7F3CD-3C29-4396-93EF-D9203F608F34}">
            <x14:dataBar minLength="0" maxLength="100">
              <x14:cfvo type="autoMin"/>
              <x14:cfvo type="autoMax"/>
              <x14:negativeFillColor rgb="FF63C384"/>
              <x14:axisColor rgb="FF000000"/>
            </x14:dataBar>
          </x14:cfRule>
          <xm:sqref>AB2:AB537</xm:sqref>
        </x14:conditionalFormatting>
        <x14:conditionalFormatting xmlns:xm="http://schemas.microsoft.com/office/excel/2006/main">
          <x14:cfRule type="dataBar" id="{8222677B-3DE0-440F-8540-1C60FE408EAB}">
            <x14:dataBar minLength="0" maxLength="100">
              <x14:cfvo type="autoMin"/>
              <x14:cfvo type="autoMax"/>
              <x14:negativeFillColor rgb="FF63C384"/>
              <x14:axisColor rgb="FF000000"/>
            </x14:dataBar>
          </x14:cfRule>
          <xm:sqref>AC2:AC537</xm:sqref>
        </x14:conditionalFormatting>
        <x14:conditionalFormatting xmlns:xm="http://schemas.microsoft.com/office/excel/2006/main">
          <x14:cfRule type="dataBar" id="{8C201DB0-C966-40F7-944E-F55B85460599}">
            <x14:dataBar minLength="0" maxLength="100">
              <x14:cfvo type="autoMin"/>
              <x14:cfvo type="autoMax"/>
              <x14:negativeFillColor rgb="FF63C384"/>
              <x14:axisColor rgb="FF000000"/>
            </x14:dataBar>
          </x14:cfRule>
          <xm:sqref>AD2:AD537</xm:sqref>
        </x14:conditionalFormatting>
        <x14:conditionalFormatting xmlns:xm="http://schemas.microsoft.com/office/excel/2006/main">
          <x14:cfRule type="dataBar" id="{7A510ADC-7E88-4CEA-B8F0-CEBDE0931DC8}">
            <x14:dataBar minLength="0" maxLength="100">
              <x14:cfvo type="autoMin"/>
              <x14:cfvo type="autoMax"/>
              <x14:negativeFillColor rgb="FF63C384"/>
              <x14:axisColor rgb="FF000000"/>
            </x14:dataBar>
          </x14:cfRule>
          <xm:sqref>AE2:AE537</xm:sqref>
        </x14:conditionalFormatting>
        <x14:conditionalFormatting xmlns:xm="http://schemas.microsoft.com/office/excel/2006/main">
          <x14:cfRule type="dataBar" id="{1D88859C-9AD1-4212-8EBC-52019D971F7E}">
            <x14:dataBar minLength="0" maxLength="100">
              <x14:cfvo type="autoMin"/>
              <x14:cfvo type="autoMax"/>
              <x14:negativeFillColor rgb="FF63C384"/>
              <x14:axisColor rgb="FF000000"/>
            </x14:dataBar>
          </x14:cfRule>
          <xm:sqref>AF2:AF537</xm:sqref>
        </x14:conditionalFormatting>
        <x14:conditionalFormatting xmlns:xm="http://schemas.microsoft.com/office/excel/2006/main">
          <x14:cfRule type="dataBar" id="{A6E2F0C6-5085-4C7A-9E8E-D7F721A98E0D}">
            <x14:dataBar minLength="0" maxLength="100">
              <x14:cfvo type="autoMin"/>
              <x14:cfvo type="autoMax"/>
              <x14:negativeFillColor rgb="FF63C384"/>
              <x14:axisColor rgb="FF000000"/>
            </x14:dataBar>
          </x14:cfRule>
          <xm:sqref>AG2:AG537</xm:sqref>
        </x14:conditionalFormatting>
        <x14:conditionalFormatting xmlns:xm="http://schemas.microsoft.com/office/excel/2006/main">
          <x14:cfRule type="dataBar" id="{1FC5BA38-8C2C-4DF1-A13F-D9416C904122}">
            <x14:dataBar minLength="0" maxLength="100">
              <x14:cfvo type="autoMin"/>
              <x14:cfvo type="autoMax"/>
              <x14:negativeFillColor rgb="FF63C384"/>
              <x14:axisColor rgb="FF000000"/>
            </x14:dataBar>
          </x14:cfRule>
          <xm:sqref>AH2:AH537</xm:sqref>
        </x14:conditionalFormatting>
        <x14:conditionalFormatting xmlns:xm="http://schemas.microsoft.com/office/excel/2006/main">
          <x14:cfRule type="dataBar" id="{A3EDBF7E-ADD5-4291-A654-D2EF7CBB698F}">
            <x14:dataBar minLength="0" maxLength="100">
              <x14:cfvo type="autoMin"/>
              <x14:cfvo type="autoMax"/>
              <x14:negativeFillColor rgb="FF63C384"/>
              <x14:axisColor rgb="FF000000"/>
            </x14:dataBar>
          </x14:cfRule>
          <xm:sqref>AI2:AI537</xm:sqref>
        </x14:conditionalFormatting>
        <x14:conditionalFormatting xmlns:xm="http://schemas.microsoft.com/office/excel/2006/main">
          <x14:cfRule type="dataBar" id="{9B2CCE0F-58FC-424E-8807-1D9BEDF30C4D}">
            <x14:dataBar minLength="0" maxLength="100">
              <x14:cfvo type="autoMin"/>
              <x14:cfvo type="autoMax"/>
              <x14:negativeFillColor rgb="FF63C384"/>
              <x14:axisColor rgb="FF000000"/>
            </x14:dataBar>
          </x14:cfRule>
          <xm:sqref>AJ2:AJ537</xm:sqref>
        </x14:conditionalFormatting>
        <x14:conditionalFormatting xmlns:xm="http://schemas.microsoft.com/office/excel/2006/main">
          <x14:cfRule type="dataBar" id="{B1D745BA-8EF1-4341-825A-016D8D552179}">
            <x14:dataBar minLength="0" maxLength="100">
              <x14:cfvo type="autoMin"/>
              <x14:cfvo type="autoMax"/>
              <x14:negativeFillColor rgb="FF63C384"/>
              <x14:axisColor rgb="FF000000"/>
            </x14:dataBar>
          </x14:cfRule>
          <xm:sqref>AK2:AK537</xm:sqref>
        </x14:conditionalFormatting>
        <x14:conditionalFormatting xmlns:xm="http://schemas.microsoft.com/office/excel/2006/main">
          <x14:cfRule type="dataBar" id="{EF619072-84D7-415A-BC81-DBDC035E226A}">
            <x14:dataBar minLength="0" maxLength="100">
              <x14:cfvo type="autoMin"/>
              <x14:cfvo type="autoMax"/>
              <x14:negativeFillColor rgb="FF63C384"/>
              <x14:axisColor rgb="FF000000"/>
            </x14:dataBar>
          </x14:cfRule>
          <xm:sqref>AL2:AL537</xm:sqref>
        </x14:conditionalFormatting>
        <x14:conditionalFormatting xmlns:xm="http://schemas.microsoft.com/office/excel/2006/main">
          <x14:cfRule type="dataBar" id="{62A49AD5-E942-4D5A-A067-ACE6C9307DC7}">
            <x14:dataBar minLength="0" maxLength="100">
              <x14:cfvo type="autoMin"/>
              <x14:cfvo type="autoMax"/>
              <x14:negativeFillColor rgb="FF63C384"/>
              <x14:axisColor rgb="FF000000"/>
            </x14:dataBar>
          </x14:cfRule>
          <xm:sqref>AN2:AN538</xm:sqref>
        </x14:conditionalFormatting>
        <x14:conditionalFormatting xmlns:xm="http://schemas.microsoft.com/office/excel/2006/main">
          <x14:cfRule type="dataBar" id="{345DD9BD-E084-4F75-93FE-818E43B9E1E5}">
            <x14:dataBar minLength="0" maxLength="100">
              <x14:cfvo type="autoMin"/>
              <x14:cfvo type="autoMax"/>
              <x14:negativeFillColor rgb="FF63C384"/>
              <x14:axisColor rgb="FF000000"/>
            </x14:dataBar>
          </x14:cfRule>
          <xm:sqref>AO3:AO538 AO2:AQ537</xm:sqref>
        </x14:conditionalFormatting>
        <x14:conditionalFormatting xmlns:xm="http://schemas.microsoft.com/office/excel/2006/main">
          <x14:cfRule type="dataBar" id="{3F7B4A89-F53D-48CE-A8A6-3BD4480F25B1}">
            <x14:dataBar minLength="0" maxLength="100">
              <x14:cfvo type="autoMin"/>
              <x14:cfvo type="autoMax"/>
              <x14:negativeFillColor rgb="FF63C384"/>
              <x14:axisColor rgb="FF000000"/>
            </x14:dataBar>
          </x14:cfRule>
          <xm:sqref>AR2:AR538</xm:sqref>
        </x14:conditionalFormatting>
        <x14:conditionalFormatting xmlns:xm="http://schemas.microsoft.com/office/excel/2006/main">
          <x14:cfRule type="dataBar" id="{AED5805A-B041-4BF1-9A22-A78148E93156}">
            <x14:dataBar minLength="0" maxLength="100">
              <x14:cfvo type="autoMin"/>
              <x14:cfvo type="autoMax"/>
              <x14:negativeFillColor rgb="FF63C384"/>
              <x14:axisColor rgb="FF000000"/>
            </x14:dataBar>
          </x14:cfRule>
          <xm:sqref>AS2:AS537</xm:sqref>
        </x14:conditionalFormatting>
        <x14:conditionalFormatting xmlns:xm="http://schemas.microsoft.com/office/excel/2006/main">
          <x14:cfRule type="dataBar" id="{908DBB99-2705-4B63-99E8-7BB8F8BDC898}">
            <x14:dataBar minLength="0" maxLength="100">
              <x14:cfvo type="autoMin"/>
              <x14:cfvo type="autoMax"/>
              <x14:negativeFillColor rgb="FF63C384"/>
              <x14:axisColor rgb="FF000000"/>
            </x14:dataBar>
          </x14:cfRule>
          <xm:sqref>AT2:AT537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D90BB-D5B1-4142-955A-588DF5B44D54}">
  <sheetPr codeName="Sheet1"/>
  <dimension ref="A1:N461"/>
  <sheetViews>
    <sheetView zoomScale="130" workbookViewId="0">
      <pane ySplit="1" topLeftCell="A2" activePane="bottomLeft" state="frozen"/>
      <selection pane="bottomLeft" activeCell="A2" sqref="A2"/>
    </sheetView>
  </sheetViews>
  <sheetFormatPr defaultRowHeight="14.4" x14ac:dyDescent="0.3"/>
  <cols>
    <col min="1" max="1" width="36" bestFit="1" customWidth="1"/>
    <col min="2" max="5" width="12.44140625" style="150" bestFit="1" customWidth="1"/>
    <col min="6" max="6" width="12.44140625" bestFit="1" customWidth="1"/>
    <col min="7" max="7" width="12.44140625" style="148" bestFit="1" customWidth="1"/>
    <col min="8" max="8" width="11.44140625" style="148" bestFit="1" customWidth="1"/>
    <col min="9" max="9" width="10.6640625" style="148" bestFit="1" customWidth="1"/>
    <col min="10" max="10" width="11.44140625" bestFit="1" customWidth="1"/>
    <col min="11" max="11" width="15.44140625" bestFit="1" customWidth="1"/>
    <col min="12" max="12" width="20.109375" bestFit="1" customWidth="1"/>
    <col min="13" max="14" width="19.21875" bestFit="1" customWidth="1"/>
  </cols>
  <sheetData>
    <row r="1" spans="1:14" s="147" customFormat="1" ht="43.2" x14ac:dyDescent="0.3">
      <c r="A1" s="146" t="s">
        <v>478</v>
      </c>
      <c r="B1" t="s">
        <v>600</v>
      </c>
      <c r="C1" t="s">
        <v>640</v>
      </c>
      <c r="D1" t="s">
        <v>641</v>
      </c>
      <c r="E1" s="147" t="s">
        <v>479</v>
      </c>
      <c r="F1" s="151" t="s">
        <v>482</v>
      </c>
      <c r="G1" s="151" t="s">
        <v>480</v>
      </c>
      <c r="H1" s="151" t="s">
        <v>481</v>
      </c>
      <c r="I1" s="149" t="s">
        <v>484</v>
      </c>
      <c r="J1" s="151" t="s">
        <v>483</v>
      </c>
      <c r="K1" s="149" t="s">
        <v>485</v>
      </c>
      <c r="L1" s="149" t="s">
        <v>593</v>
      </c>
      <c r="M1" s="147" t="s">
        <v>647</v>
      </c>
      <c r="N1" s="147" t="s">
        <v>648</v>
      </c>
    </row>
    <row r="2" spans="1:14" x14ac:dyDescent="0.3">
      <c r="A2" s="145" t="s">
        <v>423</v>
      </c>
      <c r="B2" s="150">
        <v>4075177</v>
      </c>
      <c r="C2" s="150">
        <v>4360186</v>
      </c>
      <c r="D2" s="150">
        <v>5515312</v>
      </c>
      <c r="E2" s="150">
        <v>6012054</v>
      </c>
      <c r="F2" s="150">
        <v>6546909</v>
      </c>
      <c r="G2" s="150">
        <v>6528283</v>
      </c>
      <c r="H2" s="150">
        <v>516229</v>
      </c>
      <c r="I2" s="148">
        <v>8.5865662550602503E-2</v>
      </c>
      <c r="J2" s="150">
        <v>-18626</v>
      </c>
      <c r="K2" s="148">
        <v>-2.8450067046907174E-3</v>
      </c>
      <c r="L2" s="148">
        <v>0.60196305583782006</v>
      </c>
      <c r="M2" s="150">
        <v>-66457.23851396775</v>
      </c>
      <c r="N2" s="150">
        <v>-69310.738000000012</v>
      </c>
    </row>
    <row r="3" spans="1:14" x14ac:dyDescent="0.3">
      <c r="A3" s="163" t="s">
        <v>490</v>
      </c>
      <c r="B3" s="150">
        <v>3630865</v>
      </c>
      <c r="C3" s="150">
        <v>3913132</v>
      </c>
      <c r="D3" s="150">
        <v>5030005</v>
      </c>
      <c r="E3" s="150">
        <v>5488229</v>
      </c>
      <c r="F3" s="150">
        <v>5919179</v>
      </c>
      <c r="G3" s="150">
        <v>5904683</v>
      </c>
      <c r="H3" s="150">
        <v>416454</v>
      </c>
      <c r="I3" s="148">
        <v>7.5881308888532159E-2</v>
      </c>
      <c r="J3" s="150">
        <v>-14496</v>
      </c>
      <c r="K3" s="148">
        <v>-2.4489882803003593E-3</v>
      </c>
      <c r="L3" s="148">
        <v>0.626246913614249</v>
      </c>
      <c r="M3" s="150">
        <v>0</v>
      </c>
      <c r="N3" s="150">
        <v>0</v>
      </c>
    </row>
    <row r="4" spans="1:14" x14ac:dyDescent="0.3">
      <c r="A4" s="163" t="s">
        <v>505</v>
      </c>
      <c r="B4" s="150">
        <v>213975</v>
      </c>
      <c r="C4" s="150">
        <v>224496</v>
      </c>
      <c r="D4" s="150">
        <v>235530</v>
      </c>
      <c r="E4" s="150">
        <v>248058</v>
      </c>
      <c r="F4" s="150">
        <v>327043</v>
      </c>
      <c r="G4" s="150">
        <v>327043</v>
      </c>
      <c r="H4" s="150">
        <v>78985</v>
      </c>
      <c r="I4" s="148">
        <v>0.31841343556748825</v>
      </c>
      <c r="J4" s="150">
        <v>0</v>
      </c>
      <c r="K4" s="148">
        <v>0</v>
      </c>
      <c r="L4" s="148">
        <v>0.52841687112980484</v>
      </c>
      <c r="M4" s="150">
        <v>-66457.23851396775</v>
      </c>
      <c r="N4" s="150">
        <v>-69310.738000000012</v>
      </c>
    </row>
    <row r="5" spans="1:14" x14ac:dyDescent="0.3">
      <c r="A5" s="163" t="s">
        <v>598</v>
      </c>
      <c r="B5" s="150">
        <v>220356</v>
      </c>
      <c r="C5" s="150">
        <v>212990</v>
      </c>
      <c r="D5" s="150">
        <v>239460</v>
      </c>
      <c r="E5" s="150">
        <v>264745</v>
      </c>
      <c r="F5" s="150">
        <v>289070</v>
      </c>
      <c r="G5" s="150">
        <v>284940</v>
      </c>
      <c r="H5" s="150">
        <v>20195</v>
      </c>
      <c r="I5" s="148">
        <v>7.6280949593004591E-2</v>
      </c>
      <c r="J5" s="150">
        <v>-4130</v>
      </c>
      <c r="K5" s="148">
        <v>-1.4287196872729788E-2</v>
      </c>
      <c r="L5" s="148">
        <v>0.29308936448292761</v>
      </c>
      <c r="M5" s="150">
        <v>0</v>
      </c>
      <c r="N5" s="150">
        <v>0</v>
      </c>
    </row>
    <row r="6" spans="1:14" x14ac:dyDescent="0.3">
      <c r="A6" s="163" t="s">
        <v>568</v>
      </c>
      <c r="B6" s="150">
        <v>4981</v>
      </c>
      <c r="C6" s="150">
        <v>4568</v>
      </c>
      <c r="D6" s="150">
        <v>5317</v>
      </c>
      <c r="E6" s="150">
        <v>6022</v>
      </c>
      <c r="F6" s="150">
        <v>6617</v>
      </c>
      <c r="G6" s="150">
        <v>6617</v>
      </c>
      <c r="H6" s="150">
        <v>595</v>
      </c>
      <c r="I6" s="148">
        <v>9.8804383925606115E-2</v>
      </c>
      <c r="J6" s="150">
        <v>0</v>
      </c>
      <c r="K6" s="148">
        <v>0</v>
      </c>
      <c r="L6" s="148">
        <v>0.32844810279060432</v>
      </c>
      <c r="M6" s="150">
        <v>0</v>
      </c>
      <c r="N6" s="150">
        <v>0</v>
      </c>
    </row>
    <row r="7" spans="1:14" x14ac:dyDescent="0.3">
      <c r="A7" s="163" t="s">
        <v>571</v>
      </c>
      <c r="B7" s="150">
        <v>5000</v>
      </c>
      <c r="C7" s="150">
        <v>5000</v>
      </c>
      <c r="D7" s="150">
        <v>5000</v>
      </c>
      <c r="E7" s="150">
        <v>5000</v>
      </c>
      <c r="F7" s="150">
        <v>5000</v>
      </c>
      <c r="G7" s="150">
        <v>5000</v>
      </c>
      <c r="H7" s="150">
        <v>0</v>
      </c>
      <c r="I7" s="148">
        <v>0</v>
      </c>
      <c r="J7" s="150">
        <v>0</v>
      </c>
      <c r="K7" s="148">
        <v>0</v>
      </c>
      <c r="L7" s="148">
        <v>0</v>
      </c>
      <c r="M7" s="150">
        <v>0</v>
      </c>
      <c r="N7" s="150">
        <v>0</v>
      </c>
    </row>
    <row r="8" spans="1:14" x14ac:dyDescent="0.3">
      <c r="A8" s="145" t="s">
        <v>431</v>
      </c>
      <c r="B8" s="150">
        <v>8056069</v>
      </c>
      <c r="C8" s="150">
        <v>8148579</v>
      </c>
      <c r="D8" s="150">
        <v>8893852</v>
      </c>
      <c r="E8" s="150">
        <v>10227598</v>
      </c>
      <c r="F8" s="150">
        <v>10474222</v>
      </c>
      <c r="G8" s="150">
        <v>10693078</v>
      </c>
      <c r="H8" s="150">
        <v>465480</v>
      </c>
      <c r="I8" s="148">
        <v>4.5512152511273905E-2</v>
      </c>
      <c r="J8" s="150">
        <v>218856</v>
      </c>
      <c r="K8" s="148">
        <v>2.0894726119037768E-2</v>
      </c>
      <c r="L8" s="148">
        <v>0.32733197791627655</v>
      </c>
      <c r="M8" s="150">
        <v>-71539.7052082679</v>
      </c>
      <c r="N8" s="150">
        <v>-96882.40800000001</v>
      </c>
    </row>
    <row r="9" spans="1:14" x14ac:dyDescent="0.3">
      <c r="A9" s="145" t="s">
        <v>437</v>
      </c>
      <c r="B9" s="150">
        <v>5193669</v>
      </c>
      <c r="C9" s="150">
        <v>4963541</v>
      </c>
      <c r="D9" s="150">
        <v>4928522</v>
      </c>
      <c r="E9" s="150">
        <v>5253813</v>
      </c>
      <c r="F9" s="150">
        <v>5614838</v>
      </c>
      <c r="G9" s="150">
        <v>5711666</v>
      </c>
      <c r="H9" s="150">
        <v>457853</v>
      </c>
      <c r="I9" s="148">
        <v>8.7146801760930578E-2</v>
      </c>
      <c r="J9" s="150">
        <v>96828</v>
      </c>
      <c r="K9" s="148">
        <v>1.7245021138633028E-2</v>
      </c>
      <c r="L9" s="148">
        <v>9.973623656031988E-2</v>
      </c>
      <c r="M9" s="150">
        <v>-204455.429964543</v>
      </c>
      <c r="N9" s="150">
        <v>-44823.026000000013</v>
      </c>
    </row>
    <row r="10" spans="1:14" x14ac:dyDescent="0.3">
      <c r="A10" s="145" t="s">
        <v>439</v>
      </c>
      <c r="B10" s="150">
        <v>2306312</v>
      </c>
      <c r="C10" s="150">
        <v>2605089</v>
      </c>
      <c r="D10" s="150">
        <v>2768641</v>
      </c>
      <c r="E10" s="150">
        <v>2954529</v>
      </c>
      <c r="F10" s="150">
        <v>3401296</v>
      </c>
      <c r="G10" s="150">
        <v>3401379</v>
      </c>
      <c r="H10" s="150">
        <v>446850</v>
      </c>
      <c r="I10" s="148">
        <v>0.15124238076525903</v>
      </c>
      <c r="J10" s="150">
        <v>83</v>
      </c>
      <c r="K10" s="148">
        <v>2.4402463061139049E-5</v>
      </c>
      <c r="L10" s="148">
        <v>0.47481303483657022</v>
      </c>
      <c r="M10" s="150">
        <v>-185339.41355501104</v>
      </c>
      <c r="N10" s="150">
        <v>-319934.66500000027</v>
      </c>
    </row>
    <row r="11" spans="1:14" x14ac:dyDescent="0.3">
      <c r="A11" s="145" t="s">
        <v>410</v>
      </c>
      <c r="B11" s="150">
        <v>0</v>
      </c>
      <c r="C11" s="150">
        <v>0</v>
      </c>
      <c r="D11" s="150">
        <v>0</v>
      </c>
      <c r="E11" s="150">
        <v>0</v>
      </c>
      <c r="F11" s="150">
        <v>317124</v>
      </c>
      <c r="G11" s="150">
        <v>430440</v>
      </c>
      <c r="H11" s="150">
        <v>430440</v>
      </c>
      <c r="I11" s="148">
        <v>1</v>
      </c>
      <c r="J11" s="150">
        <v>113316</v>
      </c>
      <c r="K11" s="148">
        <v>0.35732394899156167</v>
      </c>
      <c r="L11" s="148">
        <v>1</v>
      </c>
      <c r="M11" s="150">
        <v>0</v>
      </c>
      <c r="N11" s="150">
        <v>0</v>
      </c>
    </row>
    <row r="12" spans="1:14" x14ac:dyDescent="0.3">
      <c r="A12" s="145" t="s">
        <v>418</v>
      </c>
      <c r="B12" s="150">
        <v>544559</v>
      </c>
      <c r="C12" s="150">
        <v>597421</v>
      </c>
      <c r="D12" s="150">
        <v>647366</v>
      </c>
      <c r="E12" s="150">
        <v>705498</v>
      </c>
      <c r="F12" s="150">
        <v>959519</v>
      </c>
      <c r="G12" s="150">
        <v>1049332</v>
      </c>
      <c r="H12" s="150">
        <v>343834</v>
      </c>
      <c r="I12" s="148">
        <v>0.48736353611207972</v>
      </c>
      <c r="J12" s="150">
        <v>89813</v>
      </c>
      <c r="K12" s="148">
        <v>9.3602106888972497E-2</v>
      </c>
      <c r="L12" s="148">
        <v>0.92693904609050626</v>
      </c>
      <c r="M12" s="150">
        <v>-281819.83853328985</v>
      </c>
      <c r="N12" s="150">
        <v>-290141.27</v>
      </c>
    </row>
    <row r="13" spans="1:14" x14ac:dyDescent="0.3">
      <c r="A13" s="145" t="s">
        <v>425</v>
      </c>
      <c r="B13" s="150">
        <v>9301623.6500000004</v>
      </c>
      <c r="C13" s="150">
        <v>9642006.7100000009</v>
      </c>
      <c r="D13" s="150">
        <v>10555083</v>
      </c>
      <c r="E13" s="150">
        <v>12056310</v>
      </c>
      <c r="F13" s="150">
        <v>12367456</v>
      </c>
      <c r="G13" s="150">
        <v>12367456</v>
      </c>
      <c r="H13" s="150">
        <v>311146</v>
      </c>
      <c r="I13" s="148">
        <v>2.5807730557691366E-2</v>
      </c>
      <c r="J13" s="150">
        <v>0</v>
      </c>
      <c r="K13" s="148">
        <v>0</v>
      </c>
      <c r="L13" s="148">
        <v>0.32960184859769076</v>
      </c>
      <c r="M13" s="150">
        <v>-5491.6496173702617</v>
      </c>
      <c r="N13" s="150">
        <v>-1339.0000000000005</v>
      </c>
    </row>
    <row r="14" spans="1:14" x14ac:dyDescent="0.3">
      <c r="A14" s="145" t="s">
        <v>413</v>
      </c>
      <c r="B14" s="150">
        <v>517112</v>
      </c>
      <c r="C14" s="150">
        <v>555480</v>
      </c>
      <c r="D14" s="150">
        <v>606894</v>
      </c>
      <c r="E14" s="150">
        <v>610459</v>
      </c>
      <c r="F14" s="150">
        <v>654886</v>
      </c>
      <c r="G14" s="150">
        <v>771654</v>
      </c>
      <c r="H14" s="150">
        <v>161195</v>
      </c>
      <c r="I14" s="148">
        <v>0.26405540748846362</v>
      </c>
      <c r="J14" s="150">
        <v>116768</v>
      </c>
      <c r="K14" s="148">
        <v>0.17830278857694315</v>
      </c>
      <c r="L14" s="148">
        <v>0.49223765837961603</v>
      </c>
      <c r="M14" s="150">
        <v>-19341.193173785257</v>
      </c>
      <c r="N14" s="150">
        <v>-49501.588000000003</v>
      </c>
    </row>
    <row r="15" spans="1:14" x14ac:dyDescent="0.3">
      <c r="A15" s="145" t="s">
        <v>444</v>
      </c>
      <c r="B15" s="150">
        <v>1316808</v>
      </c>
      <c r="C15" s="150">
        <v>1413895</v>
      </c>
      <c r="D15" s="150">
        <v>1497130</v>
      </c>
      <c r="E15" s="150">
        <v>1589967</v>
      </c>
      <c r="F15" s="150">
        <v>1628027</v>
      </c>
      <c r="G15" s="150">
        <v>1679230</v>
      </c>
      <c r="H15" s="150">
        <v>89263</v>
      </c>
      <c r="I15" s="148">
        <v>5.6141416771543058E-2</v>
      </c>
      <c r="J15" s="150">
        <v>51203</v>
      </c>
      <c r="K15" s="148">
        <v>3.1450952594766546E-2</v>
      </c>
      <c r="L15" s="148">
        <v>0.27522767176384105</v>
      </c>
      <c r="M15" s="150">
        <v>-51328.748546386698</v>
      </c>
      <c r="N15" s="150">
        <v>-48347.883000000023</v>
      </c>
    </row>
    <row r="16" spans="1:14" x14ac:dyDescent="0.3">
      <c r="A16" s="145" t="s">
        <v>443</v>
      </c>
      <c r="B16" s="150">
        <v>177864</v>
      </c>
      <c r="C16" s="150">
        <v>179578</v>
      </c>
      <c r="D16" s="150">
        <v>239653</v>
      </c>
      <c r="E16" s="150">
        <v>276119</v>
      </c>
      <c r="F16" s="150">
        <v>250070</v>
      </c>
      <c r="G16" s="150">
        <v>351663</v>
      </c>
      <c r="H16" s="150">
        <v>75544</v>
      </c>
      <c r="I16" s="148">
        <v>0.27359218308048344</v>
      </c>
      <c r="J16" s="150">
        <v>101593</v>
      </c>
      <c r="K16" s="148">
        <v>0.40625824769064661</v>
      </c>
      <c r="L16" s="148">
        <v>0.97714545945216569</v>
      </c>
      <c r="M16" s="150">
        <v>-17235.591852208836</v>
      </c>
      <c r="N16" s="150">
        <v>-17594.674000000003</v>
      </c>
    </row>
    <row r="17" spans="1:14" x14ac:dyDescent="0.3">
      <c r="A17" s="145" t="s">
        <v>419</v>
      </c>
      <c r="B17" s="150">
        <v>192062</v>
      </c>
      <c r="C17" s="150">
        <v>198825</v>
      </c>
      <c r="D17" s="150">
        <v>200000</v>
      </c>
      <c r="E17" s="150">
        <v>200000</v>
      </c>
      <c r="F17" s="150">
        <v>200000</v>
      </c>
      <c r="G17" s="150">
        <v>275000</v>
      </c>
      <c r="H17" s="150">
        <v>75000</v>
      </c>
      <c r="I17" s="148">
        <v>0.375</v>
      </c>
      <c r="J17" s="150">
        <v>75000</v>
      </c>
      <c r="K17" s="148">
        <v>0.375</v>
      </c>
      <c r="L17" s="148">
        <v>0.43182930512022161</v>
      </c>
      <c r="M17" s="150">
        <v>0</v>
      </c>
      <c r="N17" s="150">
        <v>-67200.000000000029</v>
      </c>
    </row>
    <row r="18" spans="1:14" x14ac:dyDescent="0.3">
      <c r="A18" s="145" t="s">
        <v>446</v>
      </c>
      <c r="B18" s="150">
        <v>460049</v>
      </c>
      <c r="C18" s="150">
        <v>375780</v>
      </c>
      <c r="D18" s="150">
        <v>358176</v>
      </c>
      <c r="E18" s="150">
        <v>391428</v>
      </c>
      <c r="F18" s="150">
        <v>445879</v>
      </c>
      <c r="G18" s="150">
        <v>454890</v>
      </c>
      <c r="H18" s="150">
        <v>63462</v>
      </c>
      <c r="I18" s="148">
        <v>0.16212943376559674</v>
      </c>
      <c r="J18" s="150">
        <v>9011</v>
      </c>
      <c r="K18" s="148">
        <v>2.0209518725932372E-2</v>
      </c>
      <c r="L18" s="148">
        <v>-1.1214022854087282E-2</v>
      </c>
      <c r="M18" s="150">
        <v>-29994.188787571766</v>
      </c>
      <c r="N18" s="150">
        <v>-28633.4</v>
      </c>
    </row>
    <row r="19" spans="1:14" x14ac:dyDescent="0.3">
      <c r="A19" s="145" t="s">
        <v>436</v>
      </c>
      <c r="B19" s="150">
        <v>423544</v>
      </c>
      <c r="C19" s="150">
        <v>427986</v>
      </c>
      <c r="D19" s="150">
        <v>442146</v>
      </c>
      <c r="E19" s="150">
        <v>469238</v>
      </c>
      <c r="F19" s="150">
        <v>506716</v>
      </c>
      <c r="G19" s="150">
        <v>506486</v>
      </c>
      <c r="H19" s="150">
        <v>37248</v>
      </c>
      <c r="I19" s="148">
        <v>7.9379760377463041E-2</v>
      </c>
      <c r="J19" s="150">
        <v>-230</v>
      </c>
      <c r="K19" s="148">
        <v>-4.5390317258582716E-4</v>
      </c>
      <c r="L19" s="148">
        <v>0.19582853257276694</v>
      </c>
      <c r="M19" s="150">
        <v>-7732.8794269058963</v>
      </c>
      <c r="N19" s="150">
        <v>-6226.6850000000004</v>
      </c>
    </row>
    <row r="20" spans="1:14" x14ac:dyDescent="0.3">
      <c r="A20" s="145" t="s">
        <v>420</v>
      </c>
      <c r="B20" s="150">
        <v>594024</v>
      </c>
      <c r="C20" s="150">
        <v>537554</v>
      </c>
      <c r="D20" s="150">
        <v>538654</v>
      </c>
      <c r="E20" s="150">
        <v>555491</v>
      </c>
      <c r="F20" s="150">
        <v>558530</v>
      </c>
      <c r="G20" s="150">
        <v>578921</v>
      </c>
      <c r="H20" s="150">
        <v>23430</v>
      </c>
      <c r="I20" s="148">
        <v>4.2178901188318081E-2</v>
      </c>
      <c r="J20" s="150">
        <v>20391</v>
      </c>
      <c r="K20" s="148">
        <v>3.6508334377741571E-2</v>
      </c>
      <c r="L20" s="148">
        <v>-2.5424898657293308E-2</v>
      </c>
      <c r="M20" s="150">
        <v>-22085.074835526313</v>
      </c>
      <c r="N20" s="150">
        <v>-17725.975000000006</v>
      </c>
    </row>
    <row r="21" spans="1:14" x14ac:dyDescent="0.3">
      <c r="A21" s="145" t="s">
        <v>442</v>
      </c>
      <c r="B21" s="150">
        <v>298551</v>
      </c>
      <c r="C21" s="150">
        <v>262447</v>
      </c>
      <c r="D21" s="150">
        <v>266270</v>
      </c>
      <c r="E21" s="150">
        <v>280598</v>
      </c>
      <c r="F21" s="150">
        <v>298518</v>
      </c>
      <c r="G21" s="150">
        <v>298312</v>
      </c>
      <c r="H21" s="150">
        <v>17714</v>
      </c>
      <c r="I21" s="148">
        <v>6.3129459226366549E-2</v>
      </c>
      <c r="J21" s="150">
        <v>-206</v>
      </c>
      <c r="K21" s="148">
        <v>-6.9007564032989637E-4</v>
      </c>
      <c r="L21" s="148">
        <v>-8.0053324222662122E-4</v>
      </c>
      <c r="M21" s="150">
        <v>-14556.943198521845</v>
      </c>
      <c r="N21" s="150">
        <v>-11555.7</v>
      </c>
    </row>
    <row r="22" spans="1:14" x14ac:dyDescent="0.3">
      <c r="A22" s="145" t="s">
        <v>417</v>
      </c>
      <c r="B22" s="150">
        <v>408635</v>
      </c>
      <c r="C22" s="150">
        <v>436434</v>
      </c>
      <c r="D22" s="150">
        <v>440852</v>
      </c>
      <c r="E22" s="150">
        <v>448270</v>
      </c>
      <c r="F22" s="150">
        <v>464008</v>
      </c>
      <c r="G22" s="150">
        <v>464835</v>
      </c>
      <c r="H22" s="150">
        <v>16565</v>
      </c>
      <c r="I22" s="148">
        <v>3.6953175541526315E-2</v>
      </c>
      <c r="J22" s="150">
        <v>827</v>
      </c>
      <c r="K22" s="148">
        <v>1.7822968569507422E-3</v>
      </c>
      <c r="L22" s="148">
        <v>0.13753104849070685</v>
      </c>
      <c r="M22" s="150">
        <v>-4590.6347465886956</v>
      </c>
      <c r="N22" s="150">
        <v>-951.89000000000021</v>
      </c>
    </row>
    <row r="23" spans="1:14" x14ac:dyDescent="0.3">
      <c r="A23" s="145" t="s">
        <v>407</v>
      </c>
      <c r="B23" s="150">
        <v>13102</v>
      </c>
      <c r="C23" s="150">
        <v>13103</v>
      </c>
      <c r="D23" s="150">
        <v>13106</v>
      </c>
      <c r="E23" s="150">
        <v>13070</v>
      </c>
      <c r="F23" s="150">
        <v>13070</v>
      </c>
      <c r="G23" s="150">
        <v>19373</v>
      </c>
      <c r="H23" s="150">
        <v>6303</v>
      </c>
      <c r="I23" s="148">
        <v>0.48224942616679417</v>
      </c>
      <c r="J23" s="150">
        <v>6303</v>
      </c>
      <c r="K23" s="148">
        <v>0.48224942616679417</v>
      </c>
      <c r="L23" s="148">
        <v>0.47862921691344834</v>
      </c>
      <c r="M23" s="150">
        <v>-275.64693264693267</v>
      </c>
      <c r="N23" s="150">
        <v>-234.25700000000006</v>
      </c>
    </row>
    <row r="24" spans="1:14" x14ac:dyDescent="0.3">
      <c r="A24" s="145" t="s">
        <v>445</v>
      </c>
      <c r="B24" s="150">
        <v>87852</v>
      </c>
      <c r="C24" s="150">
        <v>112499</v>
      </c>
      <c r="D24" s="150">
        <v>116312</v>
      </c>
      <c r="E24" s="150">
        <v>119958</v>
      </c>
      <c r="F24" s="150">
        <v>123949</v>
      </c>
      <c r="G24" s="150">
        <v>124747</v>
      </c>
      <c r="H24" s="150">
        <v>4789</v>
      </c>
      <c r="I24" s="148">
        <v>3.9922306140482505E-2</v>
      </c>
      <c r="J24" s="150">
        <v>798</v>
      </c>
      <c r="K24" s="148">
        <v>6.4381318122776303E-3</v>
      </c>
      <c r="L24" s="148">
        <v>0.41996767290443016</v>
      </c>
      <c r="M24" s="150">
        <v>-10498</v>
      </c>
      <c r="N24" s="150">
        <v>-8947.6720000000023</v>
      </c>
    </row>
    <row r="25" spans="1:14" x14ac:dyDescent="0.3">
      <c r="A25" s="145" t="s">
        <v>440</v>
      </c>
      <c r="B25" s="150">
        <v>136250</v>
      </c>
      <c r="C25" s="150">
        <v>136250</v>
      </c>
      <c r="D25" s="150">
        <v>136250</v>
      </c>
      <c r="E25" s="150">
        <v>148000</v>
      </c>
      <c r="F25" s="150">
        <v>150625</v>
      </c>
      <c r="G25" s="150">
        <v>150625</v>
      </c>
      <c r="H25" s="150">
        <v>2625</v>
      </c>
      <c r="I25" s="148">
        <v>1.7736486486486486E-2</v>
      </c>
      <c r="J25" s="150">
        <v>0</v>
      </c>
      <c r="K25" s="148">
        <v>0</v>
      </c>
      <c r="L25" s="148">
        <v>0.10550458715596331</v>
      </c>
      <c r="M25" s="150">
        <v>0</v>
      </c>
      <c r="N25" s="150">
        <v>0</v>
      </c>
    </row>
    <row r="26" spans="1:14" x14ac:dyDescent="0.3">
      <c r="A26" s="145" t="s">
        <v>412</v>
      </c>
      <c r="B26" s="150">
        <v>1</v>
      </c>
      <c r="C26" s="150">
        <v>1</v>
      </c>
      <c r="D26" s="150">
        <v>100</v>
      </c>
      <c r="E26" s="150">
        <v>1</v>
      </c>
      <c r="F26" s="150">
        <v>1</v>
      </c>
      <c r="G26" s="150">
        <v>1</v>
      </c>
      <c r="H26" s="150">
        <v>0</v>
      </c>
      <c r="I26" s="148">
        <v>0</v>
      </c>
      <c r="J26" s="150">
        <v>0</v>
      </c>
      <c r="K26" s="148">
        <v>0</v>
      </c>
      <c r="L26" s="148">
        <v>0</v>
      </c>
      <c r="M26" s="150">
        <v>0</v>
      </c>
      <c r="N26" s="150">
        <v>0</v>
      </c>
    </row>
    <row r="27" spans="1:14" x14ac:dyDescent="0.3">
      <c r="A27" s="145" t="s">
        <v>422</v>
      </c>
      <c r="B27" s="150">
        <v>38000</v>
      </c>
      <c r="C27" s="150">
        <v>42540</v>
      </c>
      <c r="D27" s="150">
        <v>42540</v>
      </c>
      <c r="E27" s="150">
        <v>42540</v>
      </c>
      <c r="F27" s="150">
        <v>42540</v>
      </c>
      <c r="G27" s="150">
        <v>42540</v>
      </c>
      <c r="H27" s="150">
        <v>0</v>
      </c>
      <c r="I27" s="148">
        <v>0</v>
      </c>
      <c r="J27" s="150">
        <v>0</v>
      </c>
      <c r="K27" s="148">
        <v>0</v>
      </c>
      <c r="L27" s="148">
        <v>0.11947368421052632</v>
      </c>
      <c r="M27" s="150">
        <v>0</v>
      </c>
      <c r="N27" s="150">
        <v>0</v>
      </c>
    </row>
    <row r="28" spans="1:14" x14ac:dyDescent="0.3">
      <c r="A28" s="145" t="s">
        <v>424</v>
      </c>
      <c r="B28" s="150">
        <v>3350</v>
      </c>
      <c r="C28" s="150">
        <v>3500</v>
      </c>
      <c r="D28" s="150">
        <v>3500</v>
      </c>
      <c r="E28" s="150">
        <v>3500</v>
      </c>
      <c r="F28" s="150">
        <v>3500</v>
      </c>
      <c r="G28" s="150">
        <v>3500</v>
      </c>
      <c r="H28" s="150">
        <v>0</v>
      </c>
      <c r="I28" s="148">
        <v>0</v>
      </c>
      <c r="J28" s="150">
        <v>0</v>
      </c>
      <c r="K28" s="148">
        <v>0</v>
      </c>
      <c r="L28" s="148">
        <v>4.4776119402985072E-2</v>
      </c>
      <c r="M28" s="150">
        <v>0</v>
      </c>
      <c r="N28" s="150">
        <v>0</v>
      </c>
    </row>
    <row r="29" spans="1:14" x14ac:dyDescent="0.3">
      <c r="A29" s="145" t="s">
        <v>416</v>
      </c>
      <c r="B29" s="150">
        <v>594065.87</v>
      </c>
      <c r="C29" s="150">
        <v>587460.04</v>
      </c>
      <c r="D29" s="150">
        <v>677082</v>
      </c>
      <c r="E29" s="150">
        <v>712114</v>
      </c>
      <c r="F29" s="150">
        <v>651367</v>
      </c>
      <c r="G29" s="150">
        <v>647647</v>
      </c>
      <c r="H29" s="150">
        <v>-64467</v>
      </c>
      <c r="I29" s="148">
        <v>-9.0529044506918829E-2</v>
      </c>
      <c r="J29" s="150">
        <v>-3720</v>
      </c>
      <c r="K29" s="148">
        <v>-5.7110661117311745E-3</v>
      </c>
      <c r="L29" s="148">
        <v>9.0193920751582654E-2</v>
      </c>
      <c r="M29" s="150">
        <v>-1663.9312267657992</v>
      </c>
      <c r="N29" s="150">
        <v>-2177.7000000000007</v>
      </c>
    </row>
    <row r="30" spans="1:14" x14ac:dyDescent="0.3">
      <c r="A30" s="145" t="s">
        <v>409</v>
      </c>
      <c r="B30" s="150">
        <v>462636</v>
      </c>
      <c r="C30" s="150">
        <v>608177</v>
      </c>
      <c r="D30" s="150">
        <v>756036</v>
      </c>
      <c r="E30" s="150">
        <v>811284</v>
      </c>
      <c r="F30" s="150">
        <v>718716</v>
      </c>
      <c r="G30" s="150">
        <v>712231</v>
      </c>
      <c r="H30" s="150">
        <v>-99053</v>
      </c>
      <c r="I30" s="148">
        <v>-0.12209411254258681</v>
      </c>
      <c r="J30" s="150">
        <v>-6485</v>
      </c>
      <c r="K30" s="148">
        <v>-9.0230355244630706E-3</v>
      </c>
      <c r="L30" s="148">
        <v>0.5395062208734297</v>
      </c>
      <c r="M30" s="150">
        <v>-7333.4827586206902</v>
      </c>
      <c r="N30" s="150">
        <v>-7084.7749999999996</v>
      </c>
    </row>
    <row r="31" spans="1:14" x14ac:dyDescent="0.3">
      <c r="A31" s="145" t="s">
        <v>486</v>
      </c>
      <c r="B31" s="150">
        <v>35201315.519999996</v>
      </c>
      <c r="C31" s="150">
        <v>36208331.75</v>
      </c>
      <c r="D31" s="150">
        <v>39643477</v>
      </c>
      <c r="E31" s="150">
        <v>43881839</v>
      </c>
      <c r="F31" s="150">
        <v>46391766</v>
      </c>
      <c r="G31" s="150">
        <v>47263289</v>
      </c>
      <c r="H31" s="150">
        <v>3381450</v>
      </c>
      <c r="I31" s="148">
        <v>7.7058074070232102E-2</v>
      </c>
      <c r="J31" s="150">
        <v>871523</v>
      </c>
      <c r="K31" s="148">
        <v>1.8786157008983017E-2</v>
      </c>
      <c r="L31" s="148">
        <v>0.34265689511367431</v>
      </c>
      <c r="M31" s="150">
        <v>-1001739.5908779785</v>
      </c>
      <c r="N31" s="150">
        <v>-1088613.3060000003</v>
      </c>
    </row>
    <row r="32" spans="1:14" x14ac:dyDescent="0.3">
      <c r="B32"/>
      <c r="C32"/>
      <c r="D32"/>
      <c r="E32"/>
      <c r="G32"/>
      <c r="H32"/>
      <c r="I32"/>
    </row>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row r="289" customFormat="1" x14ac:dyDescent="0.3"/>
    <row r="290" customFormat="1" x14ac:dyDescent="0.3"/>
    <row r="291" customFormat="1" x14ac:dyDescent="0.3"/>
    <row r="292" customFormat="1" x14ac:dyDescent="0.3"/>
    <row r="293" customFormat="1" x14ac:dyDescent="0.3"/>
    <row r="294" customFormat="1" x14ac:dyDescent="0.3"/>
    <row r="295" customFormat="1" x14ac:dyDescent="0.3"/>
    <row r="296" customFormat="1" x14ac:dyDescent="0.3"/>
    <row r="297" customFormat="1" x14ac:dyDescent="0.3"/>
    <row r="298" customFormat="1" x14ac:dyDescent="0.3"/>
    <row r="299" customFormat="1" x14ac:dyDescent="0.3"/>
    <row r="300" customFormat="1" x14ac:dyDescent="0.3"/>
    <row r="301" customFormat="1" x14ac:dyDescent="0.3"/>
    <row r="302" customFormat="1" x14ac:dyDescent="0.3"/>
    <row r="303" customFormat="1" x14ac:dyDescent="0.3"/>
    <row r="304" customFormat="1" x14ac:dyDescent="0.3"/>
    <row r="305" customFormat="1" x14ac:dyDescent="0.3"/>
    <row r="306" customFormat="1" x14ac:dyDescent="0.3"/>
    <row r="307" customFormat="1" x14ac:dyDescent="0.3"/>
    <row r="308" customFormat="1" x14ac:dyDescent="0.3"/>
    <row r="309" customFormat="1" x14ac:dyDescent="0.3"/>
    <row r="310" customFormat="1" x14ac:dyDescent="0.3"/>
    <row r="311" customFormat="1" x14ac:dyDescent="0.3"/>
    <row r="312" customFormat="1" x14ac:dyDescent="0.3"/>
    <row r="313" customFormat="1" x14ac:dyDescent="0.3"/>
    <row r="314" customFormat="1" x14ac:dyDescent="0.3"/>
    <row r="315" customFormat="1" x14ac:dyDescent="0.3"/>
    <row r="316" customFormat="1" x14ac:dyDescent="0.3"/>
    <row r="317" customFormat="1" x14ac:dyDescent="0.3"/>
    <row r="318" customFormat="1" x14ac:dyDescent="0.3"/>
    <row r="319" customFormat="1" x14ac:dyDescent="0.3"/>
    <row r="320" customFormat="1" x14ac:dyDescent="0.3"/>
    <row r="321" customFormat="1" x14ac:dyDescent="0.3"/>
    <row r="322" customFormat="1" x14ac:dyDescent="0.3"/>
    <row r="323" customFormat="1" x14ac:dyDescent="0.3"/>
    <row r="324" customFormat="1" x14ac:dyDescent="0.3"/>
    <row r="325" customFormat="1" x14ac:dyDescent="0.3"/>
    <row r="326" customFormat="1" x14ac:dyDescent="0.3"/>
    <row r="327" customFormat="1" x14ac:dyDescent="0.3"/>
    <row r="328" customFormat="1" x14ac:dyDescent="0.3"/>
    <row r="329" customFormat="1" x14ac:dyDescent="0.3"/>
    <row r="330" customFormat="1" x14ac:dyDescent="0.3"/>
    <row r="331" customFormat="1" x14ac:dyDescent="0.3"/>
    <row r="332" customFormat="1" x14ac:dyDescent="0.3"/>
    <row r="333" customFormat="1" x14ac:dyDescent="0.3"/>
    <row r="334" customFormat="1" x14ac:dyDescent="0.3"/>
    <row r="335" customFormat="1" x14ac:dyDescent="0.3"/>
    <row r="336" customFormat="1" x14ac:dyDescent="0.3"/>
    <row r="337" customFormat="1" x14ac:dyDescent="0.3"/>
    <row r="338" customFormat="1" x14ac:dyDescent="0.3"/>
    <row r="339" customFormat="1" x14ac:dyDescent="0.3"/>
    <row r="340" customFormat="1" x14ac:dyDescent="0.3"/>
    <row r="341" customFormat="1" x14ac:dyDescent="0.3"/>
    <row r="342" customFormat="1" x14ac:dyDescent="0.3"/>
    <row r="343" customFormat="1" x14ac:dyDescent="0.3"/>
    <row r="344" customFormat="1" x14ac:dyDescent="0.3"/>
    <row r="345" customFormat="1" x14ac:dyDescent="0.3"/>
    <row r="346" customFormat="1" x14ac:dyDescent="0.3"/>
    <row r="347" customFormat="1" x14ac:dyDescent="0.3"/>
    <row r="348" customFormat="1" x14ac:dyDescent="0.3"/>
    <row r="349" customFormat="1" x14ac:dyDescent="0.3"/>
    <row r="350" customFormat="1" x14ac:dyDescent="0.3"/>
    <row r="351" customFormat="1" x14ac:dyDescent="0.3"/>
    <row r="352" customFormat="1" x14ac:dyDescent="0.3"/>
    <row r="353" customFormat="1" x14ac:dyDescent="0.3"/>
    <row r="354" customFormat="1" x14ac:dyDescent="0.3"/>
    <row r="355" customFormat="1" x14ac:dyDescent="0.3"/>
    <row r="356" customFormat="1" x14ac:dyDescent="0.3"/>
    <row r="357" customFormat="1" x14ac:dyDescent="0.3"/>
    <row r="358" customFormat="1" x14ac:dyDescent="0.3"/>
    <row r="359" customFormat="1" x14ac:dyDescent="0.3"/>
    <row r="360" customFormat="1" x14ac:dyDescent="0.3"/>
    <row r="361" customFormat="1" x14ac:dyDescent="0.3"/>
    <row r="362" customFormat="1" x14ac:dyDescent="0.3"/>
    <row r="363" customFormat="1" x14ac:dyDescent="0.3"/>
    <row r="364" customFormat="1" x14ac:dyDescent="0.3"/>
    <row r="365" customFormat="1" x14ac:dyDescent="0.3"/>
    <row r="366" customFormat="1" x14ac:dyDescent="0.3"/>
    <row r="367" customFormat="1" x14ac:dyDescent="0.3"/>
    <row r="368" customFormat="1" x14ac:dyDescent="0.3"/>
    <row r="369" customFormat="1" x14ac:dyDescent="0.3"/>
    <row r="370" customFormat="1" x14ac:dyDescent="0.3"/>
    <row r="371" customFormat="1" x14ac:dyDescent="0.3"/>
    <row r="372" customFormat="1" x14ac:dyDescent="0.3"/>
    <row r="373" customFormat="1" x14ac:dyDescent="0.3"/>
    <row r="374" customFormat="1" x14ac:dyDescent="0.3"/>
    <row r="375" customFormat="1" x14ac:dyDescent="0.3"/>
    <row r="376" customFormat="1" x14ac:dyDescent="0.3"/>
    <row r="377" customFormat="1" x14ac:dyDescent="0.3"/>
    <row r="378" customFormat="1" x14ac:dyDescent="0.3"/>
    <row r="379" customFormat="1" x14ac:dyDescent="0.3"/>
    <row r="380" customFormat="1" x14ac:dyDescent="0.3"/>
    <row r="381" customFormat="1" x14ac:dyDescent="0.3"/>
    <row r="382" customFormat="1" x14ac:dyDescent="0.3"/>
    <row r="383" customFormat="1" x14ac:dyDescent="0.3"/>
    <row r="384" customFormat="1" x14ac:dyDescent="0.3"/>
    <row r="385" customFormat="1" x14ac:dyDescent="0.3"/>
    <row r="386" customFormat="1" x14ac:dyDescent="0.3"/>
    <row r="387" customFormat="1" x14ac:dyDescent="0.3"/>
    <row r="388" customFormat="1" x14ac:dyDescent="0.3"/>
    <row r="389" customFormat="1" x14ac:dyDescent="0.3"/>
    <row r="390" customFormat="1" x14ac:dyDescent="0.3"/>
    <row r="391" customFormat="1" x14ac:dyDescent="0.3"/>
    <row r="392" customFormat="1" x14ac:dyDescent="0.3"/>
    <row r="393" customFormat="1" x14ac:dyDescent="0.3"/>
    <row r="394" customFormat="1" x14ac:dyDescent="0.3"/>
    <row r="395" customFormat="1" x14ac:dyDescent="0.3"/>
    <row r="396" customFormat="1" x14ac:dyDescent="0.3"/>
    <row r="397" customFormat="1" x14ac:dyDescent="0.3"/>
    <row r="398" customFormat="1" x14ac:dyDescent="0.3"/>
    <row r="399" customFormat="1" x14ac:dyDescent="0.3"/>
    <row r="400" customFormat="1" x14ac:dyDescent="0.3"/>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sheetData>
  <conditionalFormatting pivot="1" sqref="K8:K30 K2">
    <cfRule type="dataBar" priority="10">
      <dataBar>
        <cfvo type="min"/>
        <cfvo type="max"/>
        <color rgb="FFFF7C80"/>
      </dataBar>
      <extLst>
        <ext xmlns:x14="http://schemas.microsoft.com/office/spreadsheetml/2009/9/main" uri="{B025F937-C7B1-47D3-B67F-A62EFF666E3E}">
          <x14:id>{C60257BF-E775-4185-A6CD-A3E22B381D2B}</x14:id>
        </ext>
      </extLst>
    </cfRule>
  </conditionalFormatting>
  <conditionalFormatting pivot="1" sqref="J8:J30 J2">
    <cfRule type="dataBar" priority="7">
      <dataBar>
        <cfvo type="min"/>
        <cfvo type="max"/>
        <color rgb="FFFF7C80"/>
      </dataBar>
      <extLst>
        <ext xmlns:x14="http://schemas.microsoft.com/office/spreadsheetml/2009/9/main" uri="{B025F937-C7B1-47D3-B67F-A62EFF666E3E}">
          <x14:id>{99B3B1B8-90E6-40A0-9D3E-C4C4D53D585E}</x14:id>
        </ext>
      </extLst>
    </cfRule>
  </conditionalFormatting>
  <conditionalFormatting pivot="1" sqref="F8:F30 F2">
    <cfRule type="dataBar" priority="3">
      <dataBar>
        <cfvo type="min"/>
        <cfvo type="max"/>
        <color rgb="FFFFB628"/>
      </dataBar>
      <extLst>
        <ext xmlns:x14="http://schemas.microsoft.com/office/spreadsheetml/2009/9/main" uri="{B025F937-C7B1-47D3-B67F-A62EFF666E3E}">
          <x14:id>{9F7C4B9C-7073-467D-A0F0-AD7C64604D2E}</x14:id>
        </ext>
      </extLst>
    </cfRule>
  </conditionalFormatting>
  <conditionalFormatting pivot="1" sqref="I8:I30 I2">
    <cfRule type="dataBar" priority="6">
      <dataBar>
        <cfvo type="min"/>
        <cfvo type="max"/>
        <color rgb="FFFF7C80"/>
      </dataBar>
      <extLst>
        <ext xmlns:x14="http://schemas.microsoft.com/office/spreadsheetml/2009/9/main" uri="{B025F937-C7B1-47D3-B67F-A62EFF666E3E}">
          <x14:id>{6DA2C493-D5F9-4C1A-B3AB-5A954D410EB7}</x14:id>
        </ext>
      </extLst>
    </cfRule>
  </conditionalFormatting>
  <conditionalFormatting pivot="1" sqref="H8:H30 H2">
    <cfRule type="dataBar" priority="5">
      <dataBar>
        <cfvo type="min"/>
        <cfvo type="max"/>
        <color rgb="FFFF7C80"/>
      </dataBar>
      <extLst>
        <ext xmlns:x14="http://schemas.microsoft.com/office/spreadsheetml/2009/9/main" uri="{B025F937-C7B1-47D3-B67F-A62EFF666E3E}">
          <x14:id>{3E557C27-42A3-4948-B562-EE17E05AFE47}</x14:id>
        </ext>
      </extLst>
    </cfRule>
  </conditionalFormatting>
  <conditionalFormatting pivot="1" sqref="G8:G30 G2">
    <cfRule type="dataBar" priority="4">
      <dataBar>
        <cfvo type="min"/>
        <cfvo type="max"/>
        <color rgb="FFFFB628"/>
      </dataBar>
      <extLst>
        <ext xmlns:x14="http://schemas.microsoft.com/office/spreadsheetml/2009/9/main" uri="{B025F937-C7B1-47D3-B67F-A62EFF666E3E}">
          <x14:id>{67C9E03D-80F7-4BE9-9926-8CC2C17A7424}</x14:id>
        </ext>
      </extLst>
    </cfRule>
  </conditionalFormatting>
  <conditionalFormatting pivot="1" sqref="E8:E30 E2">
    <cfRule type="dataBar" priority="2">
      <dataBar>
        <cfvo type="min"/>
        <cfvo type="max"/>
        <color rgb="FFFFB628"/>
      </dataBar>
      <extLst>
        <ext xmlns:x14="http://schemas.microsoft.com/office/spreadsheetml/2009/9/main" uri="{B025F937-C7B1-47D3-B67F-A62EFF666E3E}">
          <x14:id>{73FB2F4F-4799-49E8-8FFA-2EAEC512664D}</x14:id>
        </ext>
      </extLst>
    </cfRule>
  </conditionalFormatting>
  <conditionalFormatting pivot="1" sqref="L8:L30 L2">
    <cfRule type="dataBar" priority="11">
      <dataBar>
        <cfvo type="min"/>
        <cfvo type="max"/>
        <color rgb="FFFF7C80"/>
      </dataBar>
      <extLst>
        <ext xmlns:x14="http://schemas.microsoft.com/office/spreadsheetml/2009/9/main" uri="{B025F937-C7B1-47D3-B67F-A62EFF666E3E}">
          <x14:id>{7EED4D74-C705-4B92-B2E2-9C37FE0C79F0}</x14:id>
        </ext>
      </extLst>
    </cfRule>
  </conditionalFormatting>
  <conditionalFormatting pivot="1" sqref="B8:B30 B2">
    <cfRule type="dataBar" priority="1">
      <dataBar>
        <cfvo type="min"/>
        <cfvo type="max"/>
        <color rgb="FFFFB628"/>
      </dataBar>
      <extLst>
        <ext xmlns:x14="http://schemas.microsoft.com/office/spreadsheetml/2009/9/main" uri="{B025F937-C7B1-47D3-B67F-A62EFF666E3E}">
          <x14:id>{C03F3959-5133-4C8C-8CF9-E7350F2B38E9}</x14:id>
        </ext>
      </extLst>
    </cfRule>
  </conditionalFormatting>
  <conditionalFormatting pivot="1" sqref="M12 M11 M23 M17 M16 M14 M18 M10 M9 M2 M19 M21 M15 M8 M20 M24 M22 M13 M25 M28 M27 M26 M29 M30">
    <cfRule type="dataBar" priority="13">
      <dataBar>
        <cfvo type="min"/>
        <cfvo type="max"/>
        <color rgb="FFFF7C80"/>
      </dataBar>
      <extLst>
        <ext xmlns:x14="http://schemas.microsoft.com/office/spreadsheetml/2009/9/main" uri="{B025F937-C7B1-47D3-B67F-A62EFF666E3E}">
          <x14:id>{099A51AE-387D-4225-95CA-65ACB6E540F5}</x14:id>
        </ext>
      </extLst>
    </cfRule>
  </conditionalFormatting>
  <conditionalFormatting pivot="1" sqref="N12 N11 N23 N17 N16 N14 N18 N10 N9 N2 N19 N21 N15 N8 N20 N24 N22 N13 N25 N28 N27 N26 N29 N30">
    <cfRule type="dataBar" priority="14">
      <dataBar>
        <cfvo type="min"/>
        <cfvo type="max"/>
        <color rgb="FFFF7C80"/>
      </dataBar>
      <extLst>
        <ext xmlns:x14="http://schemas.microsoft.com/office/spreadsheetml/2009/9/main" uri="{B025F937-C7B1-47D3-B67F-A62EFF666E3E}">
          <x14:id>{28CAE530-289B-4B81-9A99-B8D8E84B2DB5}</x14:id>
        </ext>
      </extLst>
    </cfRule>
  </conditionalFormatting>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pivot="1">
          <x14:cfRule type="dataBar" id="{C60257BF-E775-4185-A6CD-A3E22B381D2B}">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K8:K30 K2</xm:sqref>
        </x14:conditionalFormatting>
        <x14:conditionalFormatting xmlns:xm="http://schemas.microsoft.com/office/excel/2006/main" pivot="1">
          <x14:cfRule type="dataBar" id="{99B3B1B8-90E6-40A0-9D3E-C4C4D53D585E}">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J8:J30 J2</xm:sqref>
        </x14:conditionalFormatting>
        <x14:conditionalFormatting xmlns:xm="http://schemas.microsoft.com/office/excel/2006/main" pivot="1">
          <x14:cfRule type="dataBar" id="{9F7C4B9C-7073-467D-A0F0-AD7C64604D2E}">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F8:F30 F2</xm:sqref>
        </x14:conditionalFormatting>
        <x14:conditionalFormatting xmlns:xm="http://schemas.microsoft.com/office/excel/2006/main" pivot="1">
          <x14:cfRule type="dataBar" id="{6DA2C493-D5F9-4C1A-B3AB-5A954D410EB7}">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I8:I30 I2</xm:sqref>
        </x14:conditionalFormatting>
        <x14:conditionalFormatting xmlns:xm="http://schemas.microsoft.com/office/excel/2006/main" pivot="1">
          <x14:cfRule type="dataBar" id="{3E557C27-42A3-4948-B562-EE17E05AFE47}">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H8:H30 H2</xm:sqref>
        </x14:conditionalFormatting>
        <x14:conditionalFormatting xmlns:xm="http://schemas.microsoft.com/office/excel/2006/main" pivot="1">
          <x14:cfRule type="dataBar" id="{67C9E03D-80F7-4BE9-9926-8CC2C17A7424}">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G8:G30 G2</xm:sqref>
        </x14:conditionalFormatting>
        <x14:conditionalFormatting xmlns:xm="http://schemas.microsoft.com/office/excel/2006/main" pivot="1">
          <x14:cfRule type="dataBar" id="{73FB2F4F-4799-49E8-8FFA-2EAEC512664D}">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E8:E30 E2</xm:sqref>
        </x14:conditionalFormatting>
        <x14:conditionalFormatting xmlns:xm="http://schemas.microsoft.com/office/excel/2006/main" pivot="1">
          <x14:cfRule type="dataBar" id="{7EED4D74-C705-4B92-B2E2-9C37FE0C79F0}">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L8:L30 L2</xm:sqref>
        </x14:conditionalFormatting>
        <x14:conditionalFormatting xmlns:xm="http://schemas.microsoft.com/office/excel/2006/main" pivot="1">
          <x14:cfRule type="dataBar" id="{C03F3959-5133-4C8C-8CF9-E7350F2B38E9}">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B8:B30 B2</xm:sqref>
        </x14:conditionalFormatting>
        <x14:conditionalFormatting xmlns:xm="http://schemas.microsoft.com/office/excel/2006/main" pivot="1">
          <x14:cfRule type="dataBar" id="{099A51AE-387D-4225-95CA-65ACB6E540F5}">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M12 M11 M23 M17 M16 M14 M18 M10 M9 M2 M19 M21 M15 M8 M20 M24 M22 M13 M25 M28 M27 M26 M29 M30</xm:sqref>
        </x14:conditionalFormatting>
        <x14:conditionalFormatting xmlns:xm="http://schemas.microsoft.com/office/excel/2006/main" pivot="1">
          <x14:cfRule type="dataBar" id="{28CAE530-289B-4B81-9A99-B8D8E84B2DB5}">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N12 N11 N23 N17 N16 N14 N18 N10 N9 N2 N19 N21 N15 N8 N20 N24 N22 N13 N25 N28 N27 N26 N29 N30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3163D-678B-405D-B78E-8DFF22ACA8BB}">
  <sheetPr codeName="Sheet2"/>
  <dimension ref="A1:K1089"/>
  <sheetViews>
    <sheetView zoomScale="127" workbookViewId="0">
      <pane ySplit="1" topLeftCell="A2" activePane="bottomLeft" state="frozen"/>
      <selection pane="bottomLeft" activeCell="A17" sqref="A17"/>
    </sheetView>
  </sheetViews>
  <sheetFormatPr defaultRowHeight="14.4" x14ac:dyDescent="0.3"/>
  <cols>
    <col min="1" max="1" width="47.109375" bestFit="1" customWidth="1"/>
    <col min="2" max="4" width="12.5546875" style="150" bestFit="1" customWidth="1"/>
    <col min="5" max="5" width="16" style="150" bestFit="1" customWidth="1"/>
    <col min="6" max="6" width="15.44140625" bestFit="1" customWidth="1"/>
    <col min="7" max="7" width="11.44140625" style="148" bestFit="1" customWidth="1"/>
    <col min="8" max="9" width="14.33203125" style="148" bestFit="1" customWidth="1"/>
    <col min="10" max="10" width="23.77734375" bestFit="1" customWidth="1"/>
    <col min="11" max="11" width="23.77734375" customWidth="1"/>
  </cols>
  <sheetData>
    <row r="1" spans="1:11" s="147" customFormat="1" ht="28.8" x14ac:dyDescent="0.3">
      <c r="A1" s="146" t="s">
        <v>487</v>
      </c>
      <c r="B1" s="147" t="s">
        <v>479</v>
      </c>
      <c r="C1" s="151" t="s">
        <v>482</v>
      </c>
      <c r="D1" s="151" t="s">
        <v>480</v>
      </c>
      <c r="E1" s="151" t="s">
        <v>481</v>
      </c>
      <c r="F1" s="149" t="s">
        <v>484</v>
      </c>
      <c r="G1" s="151" t="s">
        <v>483</v>
      </c>
      <c r="H1" s="149" t="s">
        <v>485</v>
      </c>
      <c r="I1" s="149" t="s">
        <v>593</v>
      </c>
      <c r="J1" s="147" t="s">
        <v>647</v>
      </c>
      <c r="K1" s="147" t="s">
        <v>648</v>
      </c>
    </row>
    <row r="2" spans="1:11" x14ac:dyDescent="0.3">
      <c r="A2" s="145" t="s">
        <v>539</v>
      </c>
      <c r="B2" s="150">
        <v>22800</v>
      </c>
      <c r="C2" s="150">
        <v>22800</v>
      </c>
      <c r="D2" s="150">
        <v>49236</v>
      </c>
      <c r="E2" s="150">
        <v>26436</v>
      </c>
      <c r="F2" s="148">
        <v>1.1594736842105262</v>
      </c>
      <c r="G2" s="150">
        <v>26436</v>
      </c>
      <c r="H2" s="148">
        <v>1.1594736842105262</v>
      </c>
      <c r="I2" s="148">
        <v>0.76273089390319082</v>
      </c>
      <c r="J2" s="150">
        <v>-5753.6507936507933</v>
      </c>
      <c r="K2" s="150">
        <v>-5552.45</v>
      </c>
    </row>
    <row r="3" spans="1:11" x14ac:dyDescent="0.3">
      <c r="A3" s="145" t="s">
        <v>546</v>
      </c>
      <c r="B3" s="150">
        <v>14631</v>
      </c>
      <c r="C3" s="150">
        <v>14631</v>
      </c>
      <c r="D3" s="150">
        <v>29450</v>
      </c>
      <c r="E3" s="150">
        <v>14819</v>
      </c>
      <c r="F3" s="148">
        <v>1.0128494292939649</v>
      </c>
      <c r="G3" s="150">
        <v>14819</v>
      </c>
      <c r="H3" s="148">
        <v>1.0128494292939649</v>
      </c>
      <c r="I3" s="148">
        <v>1.4029046997389034</v>
      </c>
      <c r="J3" s="150">
        <v>-12543.413985386489</v>
      </c>
      <c r="K3" s="150">
        <v>-14315.789999999999</v>
      </c>
    </row>
    <row r="4" spans="1:11" x14ac:dyDescent="0.3">
      <c r="A4" s="145" t="s">
        <v>577</v>
      </c>
      <c r="B4" s="150">
        <v>748</v>
      </c>
      <c r="C4" s="150">
        <v>748</v>
      </c>
      <c r="D4" s="150">
        <v>1500</v>
      </c>
      <c r="E4" s="150">
        <v>752</v>
      </c>
      <c r="F4" s="148">
        <v>1.0053475935828877</v>
      </c>
      <c r="G4" s="150">
        <v>752</v>
      </c>
      <c r="H4" s="148">
        <v>1.0053475935828877</v>
      </c>
      <c r="I4" s="148">
        <v>1.0053475935828877</v>
      </c>
      <c r="J4" s="150">
        <v>-752</v>
      </c>
      <c r="K4" s="150">
        <v>-722.82800000000009</v>
      </c>
    </row>
    <row r="5" spans="1:11" x14ac:dyDescent="0.3">
      <c r="A5" s="145" t="s">
        <v>563</v>
      </c>
      <c r="B5" s="150">
        <v>0</v>
      </c>
      <c r="C5" s="150">
        <v>0</v>
      </c>
      <c r="D5" s="150">
        <v>7500</v>
      </c>
      <c r="E5" s="150">
        <v>7500</v>
      </c>
      <c r="F5" s="148">
        <v>1</v>
      </c>
      <c r="G5" s="150">
        <v>7500</v>
      </c>
      <c r="H5" s="148">
        <v>1</v>
      </c>
      <c r="I5" s="148">
        <v>1</v>
      </c>
      <c r="J5" s="150">
        <v>0</v>
      </c>
      <c r="K5" s="150">
        <v>0</v>
      </c>
    </row>
    <row r="6" spans="1:11" x14ac:dyDescent="0.3">
      <c r="A6" s="145" t="s">
        <v>512</v>
      </c>
      <c r="B6" s="150">
        <v>116718</v>
      </c>
      <c r="C6" s="150">
        <v>116718</v>
      </c>
      <c r="D6" s="150">
        <v>227665</v>
      </c>
      <c r="E6" s="150">
        <v>110947</v>
      </c>
      <c r="F6" s="148">
        <v>0.95055604105622094</v>
      </c>
      <c r="G6" s="150">
        <v>110947</v>
      </c>
      <c r="H6" s="148">
        <v>0.95055604105622094</v>
      </c>
      <c r="I6" s="148">
        <v>0.53594198009782423</v>
      </c>
      <c r="J6" s="150">
        <v>-32850.077308404521</v>
      </c>
      <c r="K6" s="150">
        <v>-59447.097999999998</v>
      </c>
    </row>
    <row r="7" spans="1:11" x14ac:dyDescent="0.3">
      <c r="A7" s="145" t="s">
        <v>551</v>
      </c>
      <c r="B7" s="150">
        <v>10000</v>
      </c>
      <c r="C7" s="150">
        <v>10000</v>
      </c>
      <c r="D7" s="150">
        <v>17000</v>
      </c>
      <c r="E7" s="150">
        <v>7000</v>
      </c>
      <c r="F7" s="148">
        <v>0.7</v>
      </c>
      <c r="G7" s="150">
        <v>7000</v>
      </c>
      <c r="H7" s="148">
        <v>0.7</v>
      </c>
      <c r="I7" s="148">
        <v>0.7</v>
      </c>
      <c r="J7" s="150">
        <v>-7000</v>
      </c>
      <c r="K7" s="150">
        <v>-6610</v>
      </c>
    </row>
    <row r="8" spans="1:11" x14ac:dyDescent="0.3">
      <c r="A8" s="145" t="s">
        <v>523</v>
      </c>
      <c r="B8" s="150">
        <v>50000</v>
      </c>
      <c r="C8" s="150">
        <v>50000</v>
      </c>
      <c r="D8" s="150">
        <v>83925</v>
      </c>
      <c r="E8" s="150">
        <v>33925</v>
      </c>
      <c r="F8" s="148">
        <v>0.67849999999999999</v>
      </c>
      <c r="G8" s="150">
        <v>33925</v>
      </c>
      <c r="H8" s="148">
        <v>0.67849999999999999</v>
      </c>
      <c r="I8" s="148">
        <v>1.3978571428571429</v>
      </c>
      <c r="J8" s="150">
        <v>-26782.142857142862</v>
      </c>
      <c r="K8" s="150">
        <v>-31975.000000000007</v>
      </c>
    </row>
    <row r="9" spans="1:11" x14ac:dyDescent="0.3">
      <c r="A9" s="145" t="s">
        <v>553</v>
      </c>
      <c r="B9" s="150">
        <v>10500</v>
      </c>
      <c r="C9" s="150">
        <v>10500</v>
      </c>
      <c r="D9" s="150">
        <v>15000</v>
      </c>
      <c r="E9" s="150">
        <v>4500</v>
      </c>
      <c r="F9" s="148">
        <v>0.42857142857142855</v>
      </c>
      <c r="G9" s="150">
        <v>4500</v>
      </c>
      <c r="H9" s="148">
        <v>0.42857142857142855</v>
      </c>
      <c r="I9" s="148">
        <v>1.1428571428571428</v>
      </c>
      <c r="J9" s="150">
        <v>-2750</v>
      </c>
      <c r="K9" s="150">
        <v>-4090.5</v>
      </c>
    </row>
    <row r="10" spans="1:11" x14ac:dyDescent="0.3">
      <c r="A10" s="145" t="s">
        <v>517</v>
      </c>
      <c r="B10" s="150">
        <v>100475</v>
      </c>
      <c r="C10" s="150">
        <v>100475</v>
      </c>
      <c r="D10" s="150">
        <v>141175</v>
      </c>
      <c r="E10" s="150">
        <v>40700</v>
      </c>
      <c r="F10" s="148">
        <v>0.40507588952475743</v>
      </c>
      <c r="G10" s="150">
        <v>40700</v>
      </c>
      <c r="H10" s="148">
        <v>0.40507588952475743</v>
      </c>
      <c r="I10" s="148">
        <v>0.47595399895452167</v>
      </c>
      <c r="J10" s="150">
        <v>-38883.576998050696</v>
      </c>
      <c r="K10" s="150">
        <v>-37100.000000000015</v>
      </c>
    </row>
    <row r="11" spans="1:11" x14ac:dyDescent="0.3">
      <c r="A11" s="145" t="s">
        <v>572</v>
      </c>
      <c r="B11" s="150">
        <v>2500</v>
      </c>
      <c r="C11" s="150">
        <v>2500</v>
      </c>
      <c r="D11" s="150">
        <v>3440</v>
      </c>
      <c r="E11" s="150">
        <v>940</v>
      </c>
      <c r="F11" s="148">
        <v>0.376</v>
      </c>
      <c r="G11" s="150">
        <v>940</v>
      </c>
      <c r="H11" s="148">
        <v>0.376</v>
      </c>
      <c r="I11" s="148">
        <v>0.376</v>
      </c>
      <c r="J11" s="150">
        <v>-940</v>
      </c>
      <c r="K11" s="150">
        <v>-842.5</v>
      </c>
    </row>
    <row r="12" spans="1:11" x14ac:dyDescent="0.3">
      <c r="A12" s="145" t="s">
        <v>510</v>
      </c>
      <c r="B12" s="150">
        <v>200000</v>
      </c>
      <c r="C12" s="150">
        <v>200000</v>
      </c>
      <c r="D12" s="150">
        <v>275000</v>
      </c>
      <c r="E12" s="150">
        <v>75000</v>
      </c>
      <c r="F12" s="148">
        <v>0.375</v>
      </c>
      <c r="G12" s="150">
        <v>75000</v>
      </c>
      <c r="H12" s="148">
        <v>0.375</v>
      </c>
      <c r="I12" s="148">
        <v>4.5</v>
      </c>
      <c r="J12" s="150">
        <v>0</v>
      </c>
      <c r="K12" s="150">
        <v>-67200.000000000029</v>
      </c>
    </row>
    <row r="13" spans="1:11" x14ac:dyDescent="0.3">
      <c r="A13" s="145" t="s">
        <v>524</v>
      </c>
      <c r="B13" s="150">
        <v>60000</v>
      </c>
      <c r="C13" s="150">
        <v>60000</v>
      </c>
      <c r="D13" s="150">
        <v>81950</v>
      </c>
      <c r="E13" s="150">
        <v>21950</v>
      </c>
      <c r="F13" s="148">
        <v>0.36583333333333334</v>
      </c>
      <c r="G13" s="150">
        <v>21950</v>
      </c>
      <c r="H13" s="148">
        <v>0.36583333333333334</v>
      </c>
      <c r="I13" s="148">
        <v>0.13819444444444445</v>
      </c>
      <c r="J13" s="150">
        <v>-4962.3931623931658</v>
      </c>
      <c r="K13" s="150">
        <v>-7142</v>
      </c>
    </row>
    <row r="14" spans="1:11" x14ac:dyDescent="0.3">
      <c r="A14" s="145" t="s">
        <v>542</v>
      </c>
      <c r="B14" s="150">
        <v>27188</v>
      </c>
      <c r="C14" s="150">
        <v>27188</v>
      </c>
      <c r="D14" s="150">
        <v>37000</v>
      </c>
      <c r="E14" s="150">
        <v>9812</v>
      </c>
      <c r="F14" s="148">
        <v>0.36089451228483155</v>
      </c>
      <c r="G14" s="150">
        <v>9812</v>
      </c>
      <c r="H14" s="148">
        <v>0.36089451228483155</v>
      </c>
      <c r="I14" s="148">
        <v>0.36089451228483155</v>
      </c>
      <c r="J14" s="150">
        <v>-9812</v>
      </c>
      <c r="K14" s="150">
        <v>-8751.6680000000015</v>
      </c>
    </row>
    <row r="15" spans="1:11" x14ac:dyDescent="0.3">
      <c r="A15" s="145" t="s">
        <v>505</v>
      </c>
      <c r="B15" s="150">
        <v>248058</v>
      </c>
      <c r="C15" s="150">
        <v>327043</v>
      </c>
      <c r="D15" s="150">
        <v>327043</v>
      </c>
      <c r="E15" s="150">
        <v>78985</v>
      </c>
      <c r="F15" s="148">
        <v>0.31841343556748825</v>
      </c>
      <c r="G15" s="150">
        <v>0</v>
      </c>
      <c r="H15" s="148">
        <v>0</v>
      </c>
      <c r="I15" s="148">
        <v>0.52841687112980484</v>
      </c>
      <c r="J15" s="150">
        <v>-66457.23851396775</v>
      </c>
      <c r="K15" s="150">
        <v>-69310.738000000012</v>
      </c>
    </row>
    <row r="16" spans="1:11" x14ac:dyDescent="0.3">
      <c r="A16" s="145" t="s">
        <v>497</v>
      </c>
      <c r="B16" s="150">
        <v>855945</v>
      </c>
      <c r="C16" s="150">
        <v>1098108</v>
      </c>
      <c r="D16" s="150">
        <v>1098108</v>
      </c>
      <c r="E16" s="150">
        <v>242163</v>
      </c>
      <c r="F16" s="148">
        <v>0.28291887913358921</v>
      </c>
      <c r="G16" s="150">
        <v>0</v>
      </c>
      <c r="H16" s="148">
        <v>0</v>
      </c>
      <c r="I16" s="148">
        <v>0.64374383469575014</v>
      </c>
      <c r="J16" s="150">
        <v>-167990.13324259489</v>
      </c>
      <c r="K16" s="150">
        <v>-208781.14500000002</v>
      </c>
    </row>
    <row r="17" spans="1:11" x14ac:dyDescent="0.3">
      <c r="A17" s="145" t="s">
        <v>495</v>
      </c>
      <c r="B17" s="150">
        <v>992211</v>
      </c>
      <c r="C17" s="150">
        <v>1238591</v>
      </c>
      <c r="D17" s="150">
        <v>1272795</v>
      </c>
      <c r="E17" s="150">
        <v>280584</v>
      </c>
      <c r="F17" s="148">
        <v>0.28278662502229868</v>
      </c>
      <c r="G17" s="150">
        <v>34204</v>
      </c>
      <c r="H17" s="148">
        <v>2.7615249908969144E-2</v>
      </c>
      <c r="I17" s="148">
        <v>0.82445042658593648</v>
      </c>
      <c r="J17" s="150">
        <v>-280118.74587447842</v>
      </c>
      <c r="K17" s="150">
        <v>-285475.136</v>
      </c>
    </row>
    <row r="18" spans="1:11" x14ac:dyDescent="0.3">
      <c r="A18" s="145" t="s">
        <v>549</v>
      </c>
      <c r="B18" s="150">
        <v>18550</v>
      </c>
      <c r="C18" s="150">
        <v>18550</v>
      </c>
      <c r="D18" s="150">
        <v>23355</v>
      </c>
      <c r="E18" s="150">
        <v>4805</v>
      </c>
      <c r="F18" s="148">
        <v>0.25902964959568731</v>
      </c>
      <c r="G18" s="150">
        <v>4805</v>
      </c>
      <c r="H18" s="148">
        <v>0.25902964959568731</v>
      </c>
      <c r="I18" s="148">
        <v>4.7691378067430013E-2</v>
      </c>
      <c r="J18" s="150">
        <v>-4980.8687610907909</v>
      </c>
      <c r="K18" s="150">
        <v>-4485.4500000000007</v>
      </c>
    </row>
    <row r="19" spans="1:11" x14ac:dyDescent="0.3">
      <c r="A19" s="145" t="s">
        <v>597</v>
      </c>
      <c r="B19" s="150">
        <v>106426</v>
      </c>
      <c r="C19" s="150">
        <v>129342</v>
      </c>
      <c r="D19" s="150">
        <v>133869</v>
      </c>
      <c r="E19" s="150">
        <v>27443</v>
      </c>
      <c r="F19" s="148">
        <v>0.25785992144776654</v>
      </c>
      <c r="G19" s="150">
        <v>4527</v>
      </c>
      <c r="H19" s="148">
        <v>3.50002319432203E-2</v>
      </c>
      <c r="I19" s="148">
        <v>-0.23143300034447123</v>
      </c>
      <c r="J19" s="150">
        <v>0</v>
      </c>
      <c r="K19" s="150">
        <v>0</v>
      </c>
    </row>
    <row r="20" spans="1:11" x14ac:dyDescent="0.3">
      <c r="A20" s="145" t="s">
        <v>555</v>
      </c>
      <c r="B20" s="150">
        <v>10000</v>
      </c>
      <c r="C20" s="150">
        <v>12500</v>
      </c>
      <c r="D20" s="150">
        <v>12500</v>
      </c>
      <c r="E20" s="150">
        <v>2500</v>
      </c>
      <c r="F20" s="148">
        <v>0.25</v>
      </c>
      <c r="G20" s="150">
        <v>0</v>
      </c>
      <c r="H20" s="148">
        <v>0</v>
      </c>
      <c r="I20" s="148">
        <v>0.25</v>
      </c>
      <c r="J20" s="150">
        <v>-2500</v>
      </c>
      <c r="K20" s="150">
        <v>-2110</v>
      </c>
    </row>
    <row r="21" spans="1:11" x14ac:dyDescent="0.3">
      <c r="A21" s="145" t="s">
        <v>509</v>
      </c>
      <c r="B21" s="150">
        <v>231000</v>
      </c>
      <c r="C21" s="150">
        <v>231000</v>
      </c>
      <c r="D21" s="150">
        <v>286000</v>
      </c>
      <c r="E21" s="150">
        <v>55000</v>
      </c>
      <c r="F21" s="148">
        <v>0.23809523809523808</v>
      </c>
      <c r="G21" s="150">
        <v>55000</v>
      </c>
      <c r="H21" s="148">
        <v>0.23809523809523808</v>
      </c>
      <c r="I21" s="148">
        <v>1.6879699248120301</v>
      </c>
      <c r="J21" s="150">
        <v>-22171.451914098972</v>
      </c>
      <c r="K21" s="150">
        <v>-48565</v>
      </c>
    </row>
    <row r="22" spans="1:11" x14ac:dyDescent="0.3">
      <c r="A22" s="145" t="s">
        <v>528</v>
      </c>
      <c r="B22" s="150">
        <v>76549</v>
      </c>
      <c r="C22" s="150">
        <v>94187</v>
      </c>
      <c r="D22" s="150">
        <v>94187</v>
      </c>
      <c r="E22" s="150">
        <v>17638</v>
      </c>
      <c r="F22" s="148">
        <v>0.23041450574142053</v>
      </c>
      <c r="G22" s="150">
        <v>0</v>
      </c>
      <c r="H22" s="148">
        <v>0</v>
      </c>
      <c r="I22" s="148">
        <v>1</v>
      </c>
      <c r="J22" s="150">
        <v>0</v>
      </c>
      <c r="K22" s="150">
        <v>0</v>
      </c>
    </row>
    <row r="23" spans="1:11" x14ac:dyDescent="0.3">
      <c r="A23" s="145" t="s">
        <v>540</v>
      </c>
      <c r="B23" s="150">
        <v>38510</v>
      </c>
      <c r="C23" s="150">
        <v>45975</v>
      </c>
      <c r="D23" s="150">
        <v>45975</v>
      </c>
      <c r="E23" s="150">
        <v>7465</v>
      </c>
      <c r="F23" s="148">
        <v>0.19384575434951962</v>
      </c>
      <c r="G23" s="150">
        <v>0</v>
      </c>
      <c r="H23" s="148">
        <v>0</v>
      </c>
      <c r="I23" s="148">
        <v>0.24256756756756756</v>
      </c>
      <c r="J23" s="150">
        <v>-6941.1252252252234</v>
      </c>
      <c r="K23" s="150">
        <v>-5963.1100000000006</v>
      </c>
    </row>
    <row r="24" spans="1:11" x14ac:dyDescent="0.3">
      <c r="A24" s="145" t="s">
        <v>506</v>
      </c>
      <c r="B24" s="150">
        <v>268500</v>
      </c>
      <c r="C24" s="150">
        <v>268500</v>
      </c>
      <c r="D24" s="150">
        <v>316000</v>
      </c>
      <c r="E24" s="150">
        <v>47500</v>
      </c>
      <c r="F24" s="148">
        <v>0.17690875232774675</v>
      </c>
      <c r="G24" s="150">
        <v>47500</v>
      </c>
      <c r="H24" s="148">
        <v>0.17690875232774675</v>
      </c>
      <c r="I24" s="148">
        <v>1.7171109200343939</v>
      </c>
      <c r="J24" s="150">
        <v>0</v>
      </c>
      <c r="K24" s="150">
        <v>0</v>
      </c>
    </row>
    <row r="25" spans="1:11" x14ac:dyDescent="0.3">
      <c r="A25" s="145" t="s">
        <v>513</v>
      </c>
      <c r="B25" s="150">
        <v>152982</v>
      </c>
      <c r="C25" s="150">
        <v>152982</v>
      </c>
      <c r="D25" s="150">
        <v>179891</v>
      </c>
      <c r="E25" s="150">
        <v>26909</v>
      </c>
      <c r="F25" s="148">
        <v>0.1758965107006053</v>
      </c>
      <c r="G25" s="150">
        <v>26909</v>
      </c>
      <c r="H25" s="148">
        <v>0.1758965107006053</v>
      </c>
      <c r="I25" s="148">
        <v>0.28378947368421054</v>
      </c>
      <c r="J25" s="150">
        <v>-23478.212589212584</v>
      </c>
      <c r="K25" s="150">
        <v>-22373.257000000005</v>
      </c>
    </row>
    <row r="26" spans="1:11" x14ac:dyDescent="0.3">
      <c r="A26" s="145" t="s">
        <v>530</v>
      </c>
      <c r="B26" s="150">
        <v>57466</v>
      </c>
      <c r="C26" s="150">
        <v>57466</v>
      </c>
      <c r="D26" s="150">
        <v>67521</v>
      </c>
      <c r="E26" s="150">
        <v>10055</v>
      </c>
      <c r="F26" s="148">
        <v>0.17497302752932167</v>
      </c>
      <c r="G26" s="150">
        <v>10055</v>
      </c>
      <c r="H26" s="148">
        <v>0.17497302752932167</v>
      </c>
      <c r="I26" s="148">
        <v>0.24389300320548249</v>
      </c>
      <c r="J26" s="150">
        <v>-9616.3404251502434</v>
      </c>
      <c r="K26" s="150">
        <v>-8164.8260000000046</v>
      </c>
    </row>
    <row r="27" spans="1:11" x14ac:dyDescent="0.3">
      <c r="A27" s="145" t="s">
        <v>500</v>
      </c>
      <c r="B27" s="150">
        <v>479616</v>
      </c>
      <c r="C27" s="150">
        <v>528469</v>
      </c>
      <c r="D27" s="150">
        <v>554033</v>
      </c>
      <c r="E27" s="150">
        <v>74417</v>
      </c>
      <c r="F27" s="148">
        <v>0.15515954430210835</v>
      </c>
      <c r="G27" s="150">
        <v>25564</v>
      </c>
      <c r="H27" s="148">
        <v>4.8373698362628649E-2</v>
      </c>
      <c r="I27" s="148">
        <v>0.35719552495106793</v>
      </c>
      <c r="J27" s="150">
        <v>0</v>
      </c>
      <c r="K27" s="150">
        <v>0</v>
      </c>
    </row>
    <row r="28" spans="1:11" x14ac:dyDescent="0.3">
      <c r="A28" s="145" t="s">
        <v>534</v>
      </c>
      <c r="B28" s="150">
        <v>51104</v>
      </c>
      <c r="C28" s="150">
        <v>51104</v>
      </c>
      <c r="D28" s="150">
        <v>58898</v>
      </c>
      <c r="E28" s="150">
        <v>7794</v>
      </c>
      <c r="F28" s="148">
        <v>0.15251252348152786</v>
      </c>
      <c r="G28" s="150">
        <v>7794</v>
      </c>
      <c r="H28" s="148">
        <v>0.15251252348152786</v>
      </c>
      <c r="I28" s="148">
        <v>5.7281849677778378E-2</v>
      </c>
      <c r="J28" s="150">
        <v>-9898.9677843666832</v>
      </c>
      <c r="K28" s="150">
        <v>-7390.295000000001</v>
      </c>
    </row>
    <row r="29" spans="1:11" x14ac:dyDescent="0.3">
      <c r="A29" s="145" t="s">
        <v>519</v>
      </c>
      <c r="B29" s="150">
        <v>101033</v>
      </c>
      <c r="C29" s="150">
        <v>103985</v>
      </c>
      <c r="D29" s="150">
        <v>115011</v>
      </c>
      <c r="E29" s="150">
        <v>13978</v>
      </c>
      <c r="F29" s="148">
        <v>0.13835083586550928</v>
      </c>
      <c r="G29" s="150">
        <v>11026</v>
      </c>
      <c r="H29" s="148">
        <v>0.10603452421022262</v>
      </c>
      <c r="I29" s="148">
        <v>0.1385424091233072</v>
      </c>
      <c r="J29" s="150">
        <v>0</v>
      </c>
      <c r="K29" s="150">
        <v>0</v>
      </c>
    </row>
    <row r="30" spans="1:11" x14ac:dyDescent="0.3">
      <c r="A30" s="145" t="s">
        <v>515</v>
      </c>
      <c r="B30" s="150">
        <v>140257</v>
      </c>
      <c r="C30" s="150">
        <v>145347</v>
      </c>
      <c r="D30" s="150">
        <v>156691</v>
      </c>
      <c r="E30" s="150">
        <v>16434</v>
      </c>
      <c r="F30" s="148">
        <v>0.11717062250012478</v>
      </c>
      <c r="G30" s="150">
        <v>11344</v>
      </c>
      <c r="H30" s="148">
        <v>7.8047706523010449E-2</v>
      </c>
      <c r="I30" s="148">
        <v>0.48690005664209446</v>
      </c>
      <c r="J30" s="150">
        <v>-34871.794006034921</v>
      </c>
      <c r="K30" s="150">
        <v>-35349.977000000014</v>
      </c>
    </row>
    <row r="31" spans="1:11" x14ac:dyDescent="0.3">
      <c r="A31" s="145" t="s">
        <v>568</v>
      </c>
      <c r="B31" s="150">
        <v>6022</v>
      </c>
      <c r="C31" s="150">
        <v>6617</v>
      </c>
      <c r="D31" s="150">
        <v>6617</v>
      </c>
      <c r="E31" s="150">
        <v>595</v>
      </c>
      <c r="F31" s="148">
        <v>9.8804383925606115E-2</v>
      </c>
      <c r="G31" s="150">
        <v>0</v>
      </c>
      <c r="H31" s="148">
        <v>0</v>
      </c>
      <c r="I31" s="148">
        <v>0.32844810279060432</v>
      </c>
      <c r="J31" s="150">
        <v>0</v>
      </c>
      <c r="K31" s="150">
        <v>0</v>
      </c>
    </row>
    <row r="32" spans="1:11" x14ac:dyDescent="0.3">
      <c r="A32" s="145" t="s">
        <v>550</v>
      </c>
      <c r="B32" s="150">
        <v>18490</v>
      </c>
      <c r="C32" s="150">
        <v>18490</v>
      </c>
      <c r="D32" s="150">
        <v>20300</v>
      </c>
      <c r="E32" s="150">
        <v>1810</v>
      </c>
      <c r="F32" s="148">
        <v>9.7890751757706868E-2</v>
      </c>
      <c r="G32" s="150">
        <v>1810</v>
      </c>
      <c r="H32" s="148">
        <v>9.7890751757706868E-2</v>
      </c>
      <c r="I32" s="148">
        <v>0.45</v>
      </c>
      <c r="J32" s="150">
        <v>0</v>
      </c>
      <c r="K32" s="150">
        <v>-1088.8900000000031</v>
      </c>
    </row>
    <row r="33" spans="1:11" x14ac:dyDescent="0.3">
      <c r="A33" s="145" t="s">
        <v>493</v>
      </c>
      <c r="B33" s="150">
        <v>2052980</v>
      </c>
      <c r="C33" s="150">
        <v>2243747</v>
      </c>
      <c r="D33" s="150">
        <v>2243747</v>
      </c>
      <c r="E33" s="150">
        <v>190767</v>
      </c>
      <c r="F33" s="148">
        <v>9.2921996317548147E-2</v>
      </c>
      <c r="G33" s="150">
        <v>0</v>
      </c>
      <c r="H33" s="148">
        <v>0</v>
      </c>
      <c r="I33" s="148">
        <v>0.39337809951356678</v>
      </c>
      <c r="J33" s="150">
        <v>-16766.280312416144</v>
      </c>
      <c r="K33" s="150">
        <v>-110700.78000000026</v>
      </c>
    </row>
    <row r="34" spans="1:11" x14ac:dyDescent="0.3">
      <c r="A34" s="145" t="s">
        <v>516</v>
      </c>
      <c r="B34" s="150">
        <v>134586</v>
      </c>
      <c r="C34" s="150">
        <v>146977</v>
      </c>
      <c r="D34" s="150">
        <v>146977</v>
      </c>
      <c r="E34" s="150">
        <v>12391</v>
      </c>
      <c r="F34" s="148">
        <v>9.2067525597016031E-2</v>
      </c>
      <c r="G34" s="150">
        <v>0</v>
      </c>
      <c r="H34" s="148">
        <v>0</v>
      </c>
      <c r="I34" s="148">
        <v>1</v>
      </c>
      <c r="J34" s="150">
        <v>0</v>
      </c>
      <c r="K34" s="150">
        <v>0</v>
      </c>
    </row>
    <row r="35" spans="1:11" x14ac:dyDescent="0.3">
      <c r="A35" s="145" t="s">
        <v>526</v>
      </c>
      <c r="B35" s="150">
        <v>67617</v>
      </c>
      <c r="C35" s="150">
        <v>68367</v>
      </c>
      <c r="D35" s="150">
        <v>73701</v>
      </c>
      <c r="E35" s="150">
        <v>6084</v>
      </c>
      <c r="F35" s="148">
        <v>8.9977372554239321E-2</v>
      </c>
      <c r="G35" s="150">
        <v>5334</v>
      </c>
      <c r="H35" s="148">
        <v>7.8020097415419723E-2</v>
      </c>
      <c r="I35" s="148">
        <v>4.8438033458518263E-2</v>
      </c>
      <c r="J35" s="150">
        <v>-6044.1959505870254</v>
      </c>
      <c r="K35" s="150">
        <v>-3758.9370000000054</v>
      </c>
    </row>
    <row r="36" spans="1:11" x14ac:dyDescent="0.3">
      <c r="A36" s="145" t="s">
        <v>529</v>
      </c>
      <c r="B36" s="150">
        <v>70273</v>
      </c>
      <c r="C36" s="150">
        <v>71151</v>
      </c>
      <c r="D36" s="150">
        <v>76098</v>
      </c>
      <c r="E36" s="150">
        <v>5825</v>
      </c>
      <c r="F36" s="148">
        <v>8.2891010772273843E-2</v>
      </c>
      <c r="G36" s="150">
        <v>4947</v>
      </c>
      <c r="H36" s="148">
        <v>6.9528186532866715E-2</v>
      </c>
      <c r="I36" s="148">
        <v>-0.27812402174222373</v>
      </c>
      <c r="J36" s="150">
        <v>-293.60294117647072</v>
      </c>
      <c r="K36" s="150">
        <v>-418.67500000000223</v>
      </c>
    </row>
    <row r="37" spans="1:11" x14ac:dyDescent="0.3">
      <c r="A37" s="145" t="s">
        <v>490</v>
      </c>
      <c r="B37" s="150">
        <v>5488229</v>
      </c>
      <c r="C37" s="150">
        <v>5919179</v>
      </c>
      <c r="D37" s="150">
        <v>5941390</v>
      </c>
      <c r="E37" s="150">
        <v>453161</v>
      </c>
      <c r="F37" s="148">
        <v>8.2569623096995406E-2</v>
      </c>
      <c r="G37" s="150">
        <v>22211</v>
      </c>
      <c r="H37" s="148">
        <v>3.752378497085491E-3</v>
      </c>
      <c r="I37" s="148">
        <v>0.63635662576273144</v>
      </c>
      <c r="J37" s="150">
        <v>0</v>
      </c>
      <c r="K37" s="150">
        <v>0</v>
      </c>
    </row>
    <row r="38" spans="1:11" x14ac:dyDescent="0.3">
      <c r="A38" s="145" t="s">
        <v>489</v>
      </c>
      <c r="B38" s="150">
        <v>15248721</v>
      </c>
      <c r="C38" s="150">
        <v>16131031</v>
      </c>
      <c r="D38" s="150">
        <v>16495313</v>
      </c>
      <c r="E38" s="150">
        <v>1246592</v>
      </c>
      <c r="F38" s="148">
        <v>8.1750594033427465E-2</v>
      </c>
      <c r="G38" s="150">
        <v>364282</v>
      </c>
      <c r="H38" s="148">
        <v>2.2582685508446422E-2</v>
      </c>
      <c r="I38" s="148">
        <v>0.28604837461617116</v>
      </c>
      <c r="J38" s="150">
        <v>0</v>
      </c>
      <c r="K38" s="150">
        <v>0</v>
      </c>
    </row>
    <row r="39" spans="1:11" x14ac:dyDescent="0.3">
      <c r="A39" s="145" t="s">
        <v>598</v>
      </c>
      <c r="B39" s="150">
        <v>264745</v>
      </c>
      <c r="C39" s="150">
        <v>289070</v>
      </c>
      <c r="D39" s="150">
        <v>286248</v>
      </c>
      <c r="E39" s="150">
        <v>21503</v>
      </c>
      <c r="F39" s="148">
        <v>8.1221552814972897E-2</v>
      </c>
      <c r="G39" s="150">
        <v>-2822</v>
      </c>
      <c r="H39" s="148">
        <v>-9.7623413014148817E-3</v>
      </c>
      <c r="I39" s="148">
        <v>0.29902521374503077</v>
      </c>
      <c r="J39" s="150">
        <v>0</v>
      </c>
      <c r="K39" s="150">
        <v>0</v>
      </c>
    </row>
    <row r="40" spans="1:11" x14ac:dyDescent="0.3">
      <c r="A40" s="145" t="s">
        <v>507</v>
      </c>
      <c r="B40" s="150">
        <v>289050</v>
      </c>
      <c r="C40" s="150">
        <v>305810</v>
      </c>
      <c r="D40" s="150">
        <v>312396</v>
      </c>
      <c r="E40" s="150">
        <v>23346</v>
      </c>
      <c r="F40" s="148">
        <v>8.0768033212247015E-2</v>
      </c>
      <c r="G40" s="150">
        <v>6586</v>
      </c>
      <c r="H40" s="148">
        <v>2.1536247997122396E-2</v>
      </c>
      <c r="I40" s="148">
        <v>0.34470869293846718</v>
      </c>
      <c r="J40" s="150">
        <v>0</v>
      </c>
      <c r="K40" s="150">
        <v>0</v>
      </c>
    </row>
    <row r="41" spans="1:11" x14ac:dyDescent="0.3">
      <c r="A41" s="145" t="s">
        <v>491</v>
      </c>
      <c r="B41" s="150">
        <v>4482979</v>
      </c>
      <c r="C41" s="150">
        <v>4684611</v>
      </c>
      <c r="D41" s="150">
        <v>4765332</v>
      </c>
      <c r="E41" s="150">
        <v>282353</v>
      </c>
      <c r="F41" s="148">
        <v>6.29833421035432E-2</v>
      </c>
      <c r="G41" s="150">
        <v>80721</v>
      </c>
      <c r="H41" s="148">
        <v>1.7231099871472786E-2</v>
      </c>
      <c r="I41" s="148">
        <v>0.20020612387379899</v>
      </c>
      <c r="J41" s="150">
        <v>0</v>
      </c>
      <c r="K41" s="150">
        <v>0</v>
      </c>
    </row>
    <row r="42" spans="1:11" x14ac:dyDescent="0.3">
      <c r="A42" s="145" t="s">
        <v>496</v>
      </c>
      <c r="B42" s="150">
        <v>1103324</v>
      </c>
      <c r="C42" s="150">
        <v>1134410</v>
      </c>
      <c r="D42" s="150">
        <v>1169784</v>
      </c>
      <c r="E42" s="150">
        <v>66460</v>
      </c>
      <c r="F42" s="148">
        <v>6.0236159097418349E-2</v>
      </c>
      <c r="G42" s="150">
        <v>35374</v>
      </c>
      <c r="H42" s="148">
        <v>3.118272934829559E-2</v>
      </c>
      <c r="I42" s="148">
        <v>0.20588953867754436</v>
      </c>
      <c r="J42" s="150">
        <v>0</v>
      </c>
      <c r="K42" s="150">
        <v>0</v>
      </c>
    </row>
    <row r="43" spans="1:11" x14ac:dyDescent="0.3">
      <c r="A43" s="145" t="s">
        <v>502</v>
      </c>
      <c r="B43" s="150">
        <v>410531</v>
      </c>
      <c r="C43" s="150">
        <v>434683</v>
      </c>
      <c r="D43" s="150">
        <v>434683</v>
      </c>
      <c r="E43" s="150">
        <v>24152</v>
      </c>
      <c r="F43" s="148">
        <v>5.8831123593589767E-2</v>
      </c>
      <c r="G43" s="150">
        <v>0</v>
      </c>
      <c r="H43" s="148">
        <v>0</v>
      </c>
      <c r="I43" s="148">
        <v>0.3540514104864434</v>
      </c>
      <c r="J43" s="150">
        <v>0</v>
      </c>
      <c r="K43" s="150">
        <v>0</v>
      </c>
    </row>
    <row r="44" spans="1:11" x14ac:dyDescent="0.3">
      <c r="A44" s="145" t="s">
        <v>554</v>
      </c>
      <c r="B44" s="150">
        <v>12364</v>
      </c>
      <c r="C44" s="150">
        <v>12364</v>
      </c>
      <c r="D44" s="150">
        <v>13000</v>
      </c>
      <c r="E44" s="150">
        <v>636</v>
      </c>
      <c r="F44" s="148">
        <v>5.1439663539307665E-2</v>
      </c>
      <c r="G44" s="150">
        <v>636</v>
      </c>
      <c r="H44" s="148">
        <v>5.1439663539307665E-2</v>
      </c>
      <c r="I44" s="148">
        <v>5.1439663539307665E-2</v>
      </c>
      <c r="J44" s="150">
        <v>-636</v>
      </c>
      <c r="K44" s="150">
        <v>-153.80400000000009</v>
      </c>
    </row>
    <row r="45" spans="1:11" x14ac:dyDescent="0.3">
      <c r="A45" s="145" t="s">
        <v>499</v>
      </c>
      <c r="B45" s="150">
        <v>660716</v>
      </c>
      <c r="C45" s="150">
        <v>692000</v>
      </c>
      <c r="D45" s="150">
        <v>692000</v>
      </c>
      <c r="E45" s="150">
        <v>31284</v>
      </c>
      <c r="F45" s="148">
        <v>4.7348633906247162E-2</v>
      </c>
      <c r="G45" s="150">
        <v>0</v>
      </c>
      <c r="H45" s="148">
        <v>0</v>
      </c>
      <c r="I45" s="148">
        <v>0.27911275415896486</v>
      </c>
      <c r="J45" s="150">
        <v>0</v>
      </c>
      <c r="K45" s="150">
        <v>-5516.0760000000009</v>
      </c>
    </row>
    <row r="46" spans="1:11" x14ac:dyDescent="0.3">
      <c r="A46" s="145" t="s">
        <v>556</v>
      </c>
      <c r="B46" s="150">
        <v>10752</v>
      </c>
      <c r="C46" s="150">
        <v>10752</v>
      </c>
      <c r="D46" s="150">
        <v>11235</v>
      </c>
      <c r="E46" s="150">
        <v>483</v>
      </c>
      <c r="F46" s="148">
        <v>4.4921875E-2</v>
      </c>
      <c r="G46" s="150">
        <v>483</v>
      </c>
      <c r="H46" s="148">
        <v>4.4921875E-2</v>
      </c>
      <c r="I46" s="148">
        <v>1</v>
      </c>
      <c r="J46" s="150">
        <v>0</v>
      </c>
      <c r="K46" s="150">
        <v>0</v>
      </c>
    </row>
    <row r="47" spans="1:11" x14ac:dyDescent="0.3">
      <c r="A47" s="145" t="s">
        <v>533</v>
      </c>
      <c r="B47" s="150">
        <v>57500</v>
      </c>
      <c r="C47" s="150">
        <v>64445</v>
      </c>
      <c r="D47" s="150">
        <v>59856</v>
      </c>
      <c r="E47" s="150">
        <v>2356</v>
      </c>
      <c r="F47" s="148">
        <v>4.0973913043478263E-2</v>
      </c>
      <c r="G47" s="150">
        <v>-4589</v>
      </c>
      <c r="H47" s="148">
        <v>-7.1208006827527343E-2</v>
      </c>
      <c r="I47" s="148">
        <v>-0.35271217233324681</v>
      </c>
      <c r="J47" s="150">
        <v>-9278.3241590214056</v>
      </c>
      <c r="K47" s="150">
        <v>-5323.0000000000036</v>
      </c>
    </row>
    <row r="48" spans="1:11" x14ac:dyDescent="0.3">
      <c r="A48" s="145" t="s">
        <v>561</v>
      </c>
      <c r="B48" s="150">
        <v>8275</v>
      </c>
      <c r="C48" s="150">
        <v>8275</v>
      </c>
      <c r="D48" s="150">
        <v>8500</v>
      </c>
      <c r="E48" s="150">
        <v>225</v>
      </c>
      <c r="F48" s="148">
        <v>2.7190332326283987E-2</v>
      </c>
      <c r="G48" s="150">
        <v>225</v>
      </c>
      <c r="H48" s="148">
        <v>2.7190332326283987E-2</v>
      </c>
      <c r="I48" s="148">
        <v>1.7419354838709677</v>
      </c>
      <c r="J48" s="150">
        <v>0</v>
      </c>
      <c r="K48" s="150">
        <v>-38.775000000000546</v>
      </c>
    </row>
    <row r="49" spans="1:11" x14ac:dyDescent="0.3">
      <c r="A49" s="145" t="s">
        <v>492</v>
      </c>
      <c r="B49" s="150">
        <v>2841040</v>
      </c>
      <c r="C49" s="150">
        <v>2867918</v>
      </c>
      <c r="D49" s="150">
        <v>2910923</v>
      </c>
      <c r="E49" s="150">
        <v>69883</v>
      </c>
      <c r="F49" s="148">
        <v>2.4597682538788614E-2</v>
      </c>
      <c r="G49" s="150">
        <v>43005</v>
      </c>
      <c r="H49" s="148">
        <v>1.4995198607491567E-2</v>
      </c>
      <c r="I49" s="148">
        <v>0.60741617718601404</v>
      </c>
      <c r="J49" s="150">
        <v>0</v>
      </c>
      <c r="K49" s="150">
        <v>0</v>
      </c>
    </row>
    <row r="50" spans="1:11" x14ac:dyDescent="0.3">
      <c r="A50" s="145" t="s">
        <v>511</v>
      </c>
      <c r="B50" s="150">
        <v>257709</v>
      </c>
      <c r="C50" s="150">
        <v>257709</v>
      </c>
      <c r="D50" s="150">
        <v>262473</v>
      </c>
      <c r="E50" s="150">
        <v>4764</v>
      </c>
      <c r="F50" s="148">
        <v>1.8485966729916301E-2</v>
      </c>
      <c r="G50" s="150">
        <v>4764</v>
      </c>
      <c r="H50" s="148">
        <v>1.8485966729916301E-2</v>
      </c>
      <c r="I50" s="148">
        <v>0.13063761598304516</v>
      </c>
      <c r="J50" s="150">
        <v>-3452.0793237149919</v>
      </c>
      <c r="K50" s="150">
        <v>-1526.6760000000047</v>
      </c>
    </row>
    <row r="51" spans="1:11" x14ac:dyDescent="0.3">
      <c r="A51" s="145" t="s">
        <v>531</v>
      </c>
      <c r="B51" s="150">
        <v>64803</v>
      </c>
      <c r="C51" s="150">
        <v>64803</v>
      </c>
      <c r="D51" s="150">
        <v>65613</v>
      </c>
      <c r="E51" s="150">
        <v>810</v>
      </c>
      <c r="F51" s="148">
        <v>1.2499421323086894E-2</v>
      </c>
      <c r="G51" s="150">
        <v>810</v>
      </c>
      <c r="H51" s="148">
        <v>1.2499421323086894E-2</v>
      </c>
      <c r="I51" s="148">
        <v>0.37403668956274083</v>
      </c>
      <c r="J51" s="150">
        <v>-11403.204492974037</v>
      </c>
      <c r="K51" s="150">
        <v>-10795.925000000001</v>
      </c>
    </row>
    <row r="52" spans="1:11" x14ac:dyDescent="0.3">
      <c r="A52" s="145" t="s">
        <v>520</v>
      </c>
      <c r="B52" s="150">
        <v>110454</v>
      </c>
      <c r="C52" s="150">
        <v>110454</v>
      </c>
      <c r="D52" s="150">
        <v>111136</v>
      </c>
      <c r="E52" s="150">
        <v>682</v>
      </c>
      <c r="F52" s="148">
        <v>6.1745160881452911E-3</v>
      </c>
      <c r="G52" s="150">
        <v>682</v>
      </c>
      <c r="H52" s="148">
        <v>6.1745160881452911E-3</v>
      </c>
      <c r="I52" s="148">
        <v>-7.1522260374111302E-2</v>
      </c>
      <c r="J52" s="150">
        <v>-10475.869306087701</v>
      </c>
      <c r="K52" s="150">
        <v>-6158</v>
      </c>
    </row>
    <row r="53" spans="1:11" x14ac:dyDescent="0.3">
      <c r="A53" s="145" t="s">
        <v>508</v>
      </c>
      <c r="B53" s="150">
        <v>290000</v>
      </c>
      <c r="C53" s="150">
        <v>290000</v>
      </c>
      <c r="D53" s="150">
        <v>290772</v>
      </c>
      <c r="E53" s="150">
        <v>772</v>
      </c>
      <c r="F53" s="148">
        <v>2.6620689655172413E-3</v>
      </c>
      <c r="G53" s="150">
        <v>772</v>
      </c>
      <c r="H53" s="148">
        <v>2.6620689655172413E-3</v>
      </c>
      <c r="I53" s="148">
        <v>0.21154999999999999</v>
      </c>
      <c r="J53" s="150">
        <v>0</v>
      </c>
      <c r="K53" s="150">
        <v>0</v>
      </c>
    </row>
    <row r="54" spans="1:11" x14ac:dyDescent="0.3">
      <c r="A54" s="145" t="s">
        <v>503</v>
      </c>
      <c r="B54" s="150">
        <v>377065</v>
      </c>
      <c r="C54" s="150">
        <v>377065</v>
      </c>
      <c r="D54" s="150">
        <v>378040</v>
      </c>
      <c r="E54" s="150">
        <v>975</v>
      </c>
      <c r="F54" s="148">
        <v>2.5857610756766076E-3</v>
      </c>
      <c r="G54" s="150">
        <v>975</v>
      </c>
      <c r="H54" s="148">
        <v>2.5857610756766076E-3</v>
      </c>
      <c r="I54" s="148">
        <v>0.73557740866227772</v>
      </c>
      <c r="J54" s="150">
        <v>0</v>
      </c>
      <c r="K54" s="150">
        <v>-1415.0000000000018</v>
      </c>
    </row>
    <row r="55" spans="1:11" x14ac:dyDescent="0.3">
      <c r="A55" s="145" t="s">
        <v>541</v>
      </c>
      <c r="B55" s="150">
        <v>37500</v>
      </c>
      <c r="C55" s="150">
        <v>37500</v>
      </c>
      <c r="D55" s="150">
        <v>37518</v>
      </c>
      <c r="E55" s="150">
        <v>18</v>
      </c>
      <c r="F55" s="148">
        <v>4.8000000000000001E-4</v>
      </c>
      <c r="G55" s="150">
        <v>18</v>
      </c>
      <c r="H55" s="148">
        <v>4.8000000000000001E-4</v>
      </c>
      <c r="I55" s="148">
        <v>0.50072000000000005</v>
      </c>
      <c r="J55" s="150">
        <v>0</v>
      </c>
      <c r="K55" s="150">
        <v>0</v>
      </c>
    </row>
    <row r="56" spans="1:11" x14ac:dyDescent="0.3">
      <c r="A56" s="145" t="s">
        <v>565</v>
      </c>
      <c r="B56" s="150">
        <v>7500</v>
      </c>
      <c r="C56" s="150">
        <v>7500</v>
      </c>
      <c r="D56" s="150">
        <v>7500</v>
      </c>
      <c r="E56" s="150">
        <v>0</v>
      </c>
      <c r="F56" s="148">
        <v>0</v>
      </c>
      <c r="G56" s="150">
        <v>0</v>
      </c>
      <c r="H56" s="148">
        <v>0</v>
      </c>
      <c r="I56" s="148">
        <v>0</v>
      </c>
      <c r="J56" s="150">
        <v>0</v>
      </c>
      <c r="K56" s="150">
        <v>0</v>
      </c>
    </row>
    <row r="57" spans="1:11" x14ac:dyDescent="0.3">
      <c r="A57" s="145" t="s">
        <v>575</v>
      </c>
      <c r="B57" s="150">
        <v>2000</v>
      </c>
      <c r="C57" s="150">
        <v>2000</v>
      </c>
      <c r="D57" s="150">
        <v>2000</v>
      </c>
      <c r="E57" s="150">
        <v>0</v>
      </c>
      <c r="F57" s="148">
        <v>0</v>
      </c>
      <c r="G57" s="150">
        <v>0</v>
      </c>
      <c r="H57" s="148">
        <v>0</v>
      </c>
      <c r="I57" s="148">
        <v>0</v>
      </c>
      <c r="J57" s="150">
        <v>0</v>
      </c>
      <c r="K57" s="150">
        <v>0</v>
      </c>
    </row>
    <row r="58" spans="1:11" x14ac:dyDescent="0.3">
      <c r="A58" s="145" t="s">
        <v>580</v>
      </c>
      <c r="B58" s="150">
        <v>500</v>
      </c>
      <c r="C58" s="150">
        <v>500</v>
      </c>
      <c r="D58" s="150">
        <v>500</v>
      </c>
      <c r="E58" s="150">
        <v>0</v>
      </c>
      <c r="F58" s="148">
        <v>0</v>
      </c>
      <c r="G58" s="150">
        <v>0</v>
      </c>
      <c r="H58" s="148">
        <v>0</v>
      </c>
      <c r="I58" s="148">
        <v>0</v>
      </c>
      <c r="J58" s="150">
        <v>0</v>
      </c>
      <c r="K58" s="150">
        <v>0</v>
      </c>
    </row>
    <row r="59" spans="1:11" x14ac:dyDescent="0.3">
      <c r="A59" s="145" t="s">
        <v>573</v>
      </c>
      <c r="B59" s="150">
        <v>2500</v>
      </c>
      <c r="C59" s="150">
        <v>2500</v>
      </c>
      <c r="D59" s="150">
        <v>2500</v>
      </c>
      <c r="E59" s="150">
        <v>0</v>
      </c>
      <c r="F59" s="148">
        <v>0</v>
      </c>
      <c r="G59" s="150">
        <v>0</v>
      </c>
      <c r="H59" s="148">
        <v>0</v>
      </c>
      <c r="I59" s="148">
        <v>0</v>
      </c>
      <c r="J59" s="150">
        <v>0</v>
      </c>
      <c r="K59" s="150">
        <v>0</v>
      </c>
    </row>
    <row r="60" spans="1:11" x14ac:dyDescent="0.3">
      <c r="A60" s="145" t="s">
        <v>590</v>
      </c>
      <c r="B60" s="150">
        <v>0</v>
      </c>
      <c r="C60" s="150">
        <v>0</v>
      </c>
      <c r="D60" s="150">
        <v>0</v>
      </c>
      <c r="E60" s="150">
        <v>0</v>
      </c>
      <c r="F60" s="148">
        <v>0</v>
      </c>
      <c r="G60" s="150">
        <v>0</v>
      </c>
      <c r="H60" s="148">
        <v>0</v>
      </c>
      <c r="I60" s="148">
        <v>0</v>
      </c>
      <c r="J60" s="150">
        <v>0</v>
      </c>
      <c r="K60" s="150">
        <v>0</v>
      </c>
    </row>
    <row r="61" spans="1:11" x14ac:dyDescent="0.3">
      <c r="A61" s="145" t="s">
        <v>543</v>
      </c>
      <c r="B61" s="150">
        <v>32177</v>
      </c>
      <c r="C61" s="150">
        <v>32177</v>
      </c>
      <c r="D61" s="150">
        <v>32177</v>
      </c>
      <c r="E61" s="150">
        <v>0</v>
      </c>
      <c r="F61" s="148">
        <v>0</v>
      </c>
      <c r="G61" s="150">
        <v>0</v>
      </c>
      <c r="H61" s="148">
        <v>0</v>
      </c>
      <c r="I61" s="148">
        <v>1</v>
      </c>
      <c r="J61" s="150">
        <v>0</v>
      </c>
      <c r="K61" s="150">
        <v>0</v>
      </c>
    </row>
    <row r="62" spans="1:11" x14ac:dyDescent="0.3">
      <c r="A62" s="145" t="s">
        <v>498</v>
      </c>
      <c r="B62" s="150">
        <v>1000000</v>
      </c>
      <c r="C62" s="150">
        <v>1000000</v>
      </c>
      <c r="D62" s="150">
        <v>1000000</v>
      </c>
      <c r="E62" s="150">
        <v>0</v>
      </c>
      <c r="F62" s="148">
        <v>0</v>
      </c>
      <c r="G62" s="150">
        <v>0</v>
      </c>
      <c r="H62" s="148">
        <v>0</v>
      </c>
      <c r="I62" s="148">
        <v>-0.44212710241374864</v>
      </c>
      <c r="J62" s="150">
        <v>-166823.28710740013</v>
      </c>
      <c r="K62" s="150">
        <v>0</v>
      </c>
    </row>
    <row r="63" spans="1:11" x14ac:dyDescent="0.3">
      <c r="A63" s="145" t="s">
        <v>558</v>
      </c>
      <c r="B63" s="150">
        <v>10000</v>
      </c>
      <c r="C63" s="150">
        <v>10000</v>
      </c>
      <c r="D63" s="150">
        <v>10000</v>
      </c>
      <c r="E63" s="150">
        <v>0</v>
      </c>
      <c r="F63" s="148">
        <v>0</v>
      </c>
      <c r="G63" s="150">
        <v>0</v>
      </c>
      <c r="H63" s="148">
        <v>0</v>
      </c>
      <c r="I63" s="148">
        <v>2.4071550255536627</v>
      </c>
      <c r="J63" s="150">
        <v>0</v>
      </c>
      <c r="K63" s="150">
        <v>0</v>
      </c>
    </row>
    <row r="64" spans="1:11" x14ac:dyDescent="0.3">
      <c r="A64" s="145" t="s">
        <v>559</v>
      </c>
      <c r="B64" s="150">
        <v>10000</v>
      </c>
      <c r="C64" s="150">
        <v>10000</v>
      </c>
      <c r="D64" s="150">
        <v>10000</v>
      </c>
      <c r="E64" s="150">
        <v>0</v>
      </c>
      <c r="F64" s="148">
        <v>0</v>
      </c>
      <c r="G64" s="150">
        <v>0</v>
      </c>
      <c r="H64" s="148">
        <v>0</v>
      </c>
      <c r="I64" s="148">
        <v>0.25</v>
      </c>
      <c r="J64" s="150">
        <v>0</v>
      </c>
      <c r="K64" s="150">
        <v>0</v>
      </c>
    </row>
    <row r="65" spans="1:11" x14ac:dyDescent="0.3">
      <c r="A65" s="145" t="s">
        <v>574</v>
      </c>
      <c r="B65" s="150">
        <v>2000</v>
      </c>
      <c r="C65" s="150">
        <v>2000</v>
      </c>
      <c r="D65" s="150">
        <v>2000</v>
      </c>
      <c r="E65" s="150">
        <v>0</v>
      </c>
      <c r="F65" s="148">
        <v>0</v>
      </c>
      <c r="G65" s="150">
        <v>0</v>
      </c>
      <c r="H65" s="148">
        <v>0</v>
      </c>
      <c r="I65" s="148">
        <v>0</v>
      </c>
      <c r="J65" s="150">
        <v>0</v>
      </c>
      <c r="K65" s="150">
        <v>0</v>
      </c>
    </row>
    <row r="66" spans="1:11" x14ac:dyDescent="0.3">
      <c r="A66" s="145" t="s">
        <v>535</v>
      </c>
      <c r="B66" s="150">
        <v>55000</v>
      </c>
      <c r="C66" s="150">
        <v>55000</v>
      </c>
      <c r="D66" s="150">
        <v>55000</v>
      </c>
      <c r="E66" s="150">
        <v>0</v>
      </c>
      <c r="F66" s="148">
        <v>0</v>
      </c>
      <c r="G66" s="150">
        <v>0</v>
      </c>
      <c r="H66" s="148">
        <v>0</v>
      </c>
      <c r="I66" s="148">
        <v>0.2087912087912088</v>
      </c>
      <c r="J66" s="150">
        <v>0</v>
      </c>
      <c r="K66" s="150">
        <v>0</v>
      </c>
    </row>
    <row r="67" spans="1:11" x14ac:dyDescent="0.3">
      <c r="A67" s="145" t="s">
        <v>583</v>
      </c>
      <c r="B67" s="150">
        <v>0</v>
      </c>
      <c r="C67" s="150">
        <v>0</v>
      </c>
      <c r="D67" s="150">
        <v>0</v>
      </c>
      <c r="E67" s="150">
        <v>0</v>
      </c>
      <c r="F67" s="148">
        <v>0</v>
      </c>
      <c r="G67" s="150">
        <v>0</v>
      </c>
      <c r="H67" s="148">
        <v>0</v>
      </c>
      <c r="I67" s="148">
        <v>0</v>
      </c>
      <c r="J67" s="150">
        <v>0</v>
      </c>
      <c r="K67" s="150">
        <v>0</v>
      </c>
    </row>
    <row r="68" spans="1:11" x14ac:dyDescent="0.3">
      <c r="A68" s="145" t="s">
        <v>557</v>
      </c>
      <c r="B68" s="150">
        <v>10150</v>
      </c>
      <c r="C68" s="150">
        <v>10150</v>
      </c>
      <c r="D68" s="150">
        <v>10150</v>
      </c>
      <c r="E68" s="150">
        <v>0</v>
      </c>
      <c r="F68" s="148">
        <v>0</v>
      </c>
      <c r="G68" s="150">
        <v>0</v>
      </c>
      <c r="H68" s="148">
        <v>0</v>
      </c>
      <c r="I68" s="148">
        <v>0</v>
      </c>
      <c r="J68" s="150">
        <v>0</v>
      </c>
      <c r="K68" s="150">
        <v>0</v>
      </c>
    </row>
    <row r="69" spans="1:11" x14ac:dyDescent="0.3">
      <c r="A69" s="145" t="s">
        <v>578</v>
      </c>
      <c r="B69" s="150">
        <v>1000</v>
      </c>
      <c r="C69" s="150">
        <v>1000</v>
      </c>
      <c r="D69" s="150">
        <v>1000</v>
      </c>
      <c r="E69" s="150">
        <v>0</v>
      </c>
      <c r="F69" s="148">
        <v>0</v>
      </c>
      <c r="G69" s="150">
        <v>0</v>
      </c>
      <c r="H69" s="148">
        <v>0</v>
      </c>
      <c r="I69" s="148">
        <v>0</v>
      </c>
      <c r="J69" s="150">
        <v>0</v>
      </c>
      <c r="K69" s="150">
        <v>0</v>
      </c>
    </row>
    <row r="70" spans="1:11" x14ac:dyDescent="0.3">
      <c r="A70" s="145" t="s">
        <v>522</v>
      </c>
      <c r="B70" s="150">
        <v>96290</v>
      </c>
      <c r="C70" s="150">
        <v>96290</v>
      </c>
      <c r="D70" s="150">
        <v>96290</v>
      </c>
      <c r="E70" s="150">
        <v>0</v>
      </c>
      <c r="F70" s="148">
        <v>0</v>
      </c>
      <c r="G70" s="150">
        <v>0</v>
      </c>
      <c r="H70" s="148">
        <v>0</v>
      </c>
      <c r="I70" s="148">
        <v>0.92579999999999996</v>
      </c>
      <c r="J70" s="150">
        <v>0</v>
      </c>
      <c r="K70" s="150">
        <v>0</v>
      </c>
    </row>
    <row r="71" spans="1:11" x14ac:dyDescent="0.3">
      <c r="A71" s="145" t="s">
        <v>591</v>
      </c>
      <c r="B71" s="150">
        <v>0</v>
      </c>
      <c r="C71" s="150">
        <v>0</v>
      </c>
      <c r="D71" s="150">
        <v>0</v>
      </c>
      <c r="E71" s="150">
        <v>0</v>
      </c>
      <c r="F71" s="148">
        <v>0</v>
      </c>
      <c r="G71" s="150">
        <v>0</v>
      </c>
      <c r="H71" s="148">
        <v>0</v>
      </c>
      <c r="I71" s="148">
        <v>0</v>
      </c>
      <c r="J71" s="150">
        <v>0</v>
      </c>
      <c r="K71" s="150">
        <v>0</v>
      </c>
    </row>
    <row r="72" spans="1:11" x14ac:dyDescent="0.3">
      <c r="A72" s="145" t="s">
        <v>552</v>
      </c>
      <c r="B72" s="150">
        <v>16000</v>
      </c>
      <c r="C72" s="150">
        <v>16000</v>
      </c>
      <c r="D72" s="150">
        <v>16000</v>
      </c>
      <c r="E72" s="150">
        <v>0</v>
      </c>
      <c r="F72" s="148">
        <v>0</v>
      </c>
      <c r="G72" s="150">
        <v>0</v>
      </c>
      <c r="H72" s="148">
        <v>0</v>
      </c>
      <c r="I72" s="148">
        <v>0</v>
      </c>
      <c r="J72" s="150">
        <v>0</v>
      </c>
      <c r="K72" s="150">
        <v>0</v>
      </c>
    </row>
    <row r="73" spans="1:11" x14ac:dyDescent="0.3">
      <c r="A73" s="145" t="s">
        <v>545</v>
      </c>
      <c r="B73" s="150">
        <v>30000</v>
      </c>
      <c r="C73" s="150">
        <v>30000</v>
      </c>
      <c r="D73" s="150">
        <v>30000</v>
      </c>
      <c r="E73" s="150">
        <v>0</v>
      </c>
      <c r="F73" s="148">
        <v>0</v>
      </c>
      <c r="G73" s="150">
        <v>0</v>
      </c>
      <c r="H73" s="148">
        <v>0</v>
      </c>
      <c r="I73" s="148">
        <v>0</v>
      </c>
      <c r="J73" s="150">
        <v>0</v>
      </c>
      <c r="K73" s="150">
        <v>0</v>
      </c>
    </row>
    <row r="74" spans="1:11" x14ac:dyDescent="0.3">
      <c r="A74" s="145" t="s">
        <v>567</v>
      </c>
      <c r="B74" s="150">
        <v>7000</v>
      </c>
      <c r="C74" s="150">
        <v>7000</v>
      </c>
      <c r="D74" s="150">
        <v>7000</v>
      </c>
      <c r="E74" s="150">
        <v>0</v>
      </c>
      <c r="F74" s="148">
        <v>0</v>
      </c>
      <c r="G74" s="150">
        <v>0</v>
      </c>
      <c r="H74" s="148">
        <v>0</v>
      </c>
      <c r="I74" s="148">
        <v>0.4</v>
      </c>
      <c r="J74" s="150">
        <v>0</v>
      </c>
      <c r="K74" s="150">
        <v>0</v>
      </c>
    </row>
    <row r="75" spans="1:11" x14ac:dyDescent="0.3">
      <c r="A75" s="145" t="s">
        <v>532</v>
      </c>
      <c r="B75" s="150">
        <v>64000</v>
      </c>
      <c r="C75" s="150">
        <v>64000</v>
      </c>
      <c r="D75" s="150">
        <v>64000</v>
      </c>
      <c r="E75" s="150">
        <v>0</v>
      </c>
      <c r="F75" s="148">
        <v>0</v>
      </c>
      <c r="G75" s="150">
        <v>0</v>
      </c>
      <c r="H75" s="148">
        <v>0</v>
      </c>
      <c r="I75" s="148">
        <v>1</v>
      </c>
      <c r="J75" s="150">
        <v>0</v>
      </c>
      <c r="K75" s="150">
        <v>0</v>
      </c>
    </row>
    <row r="76" spans="1:11" x14ac:dyDescent="0.3">
      <c r="A76" s="145" t="s">
        <v>521</v>
      </c>
      <c r="B76" s="150">
        <v>101270</v>
      </c>
      <c r="C76" s="150">
        <v>101270</v>
      </c>
      <c r="D76" s="150">
        <v>101270</v>
      </c>
      <c r="E76" s="150">
        <v>0</v>
      </c>
      <c r="F76" s="148">
        <v>0</v>
      </c>
      <c r="G76" s="150">
        <v>0</v>
      </c>
      <c r="H76" s="148">
        <v>0</v>
      </c>
      <c r="I76" s="148">
        <v>0.26952488404161967</v>
      </c>
      <c r="J76" s="150">
        <v>0</v>
      </c>
      <c r="K76" s="150">
        <v>0</v>
      </c>
    </row>
    <row r="77" spans="1:11" x14ac:dyDescent="0.3">
      <c r="A77" s="145" t="s">
        <v>581</v>
      </c>
      <c r="B77" s="150">
        <v>0</v>
      </c>
      <c r="C77" s="150">
        <v>0</v>
      </c>
      <c r="D77" s="150">
        <v>0</v>
      </c>
      <c r="E77" s="150">
        <v>0</v>
      </c>
      <c r="F77" s="148">
        <v>0</v>
      </c>
      <c r="G77" s="150">
        <v>0</v>
      </c>
      <c r="H77" s="148">
        <v>0</v>
      </c>
      <c r="I77" s="148">
        <v>0</v>
      </c>
      <c r="J77" s="150">
        <v>0</v>
      </c>
      <c r="K77" s="150">
        <v>0</v>
      </c>
    </row>
    <row r="78" spans="1:11" x14ac:dyDescent="0.3">
      <c r="A78" s="145" t="s">
        <v>548</v>
      </c>
      <c r="B78" s="150">
        <v>25000</v>
      </c>
      <c r="C78" s="150">
        <v>25000</v>
      </c>
      <c r="D78" s="150">
        <v>25000</v>
      </c>
      <c r="E78" s="150">
        <v>0</v>
      </c>
      <c r="F78" s="148">
        <v>0</v>
      </c>
      <c r="G78" s="150">
        <v>0</v>
      </c>
      <c r="H78" s="148">
        <v>0</v>
      </c>
      <c r="I78" s="148">
        <v>-0.375</v>
      </c>
      <c r="J78" s="150">
        <v>-3125</v>
      </c>
      <c r="K78" s="150">
        <v>0</v>
      </c>
    </row>
    <row r="79" spans="1:11" x14ac:dyDescent="0.3">
      <c r="A79" s="145" t="s">
        <v>562</v>
      </c>
      <c r="B79" s="150">
        <v>8000</v>
      </c>
      <c r="C79" s="150">
        <v>8000</v>
      </c>
      <c r="D79" s="150">
        <v>8000</v>
      </c>
      <c r="E79" s="150">
        <v>0</v>
      </c>
      <c r="F79" s="148">
        <v>0</v>
      </c>
      <c r="G79" s="150">
        <v>0</v>
      </c>
      <c r="H79" s="148">
        <v>0</v>
      </c>
      <c r="I79" s="148">
        <v>1</v>
      </c>
      <c r="J79" s="150">
        <v>0</v>
      </c>
      <c r="K79" s="150">
        <v>0</v>
      </c>
    </row>
    <row r="80" spans="1:11" x14ac:dyDescent="0.3">
      <c r="A80" s="145" t="s">
        <v>599</v>
      </c>
      <c r="B80" s="150">
        <v>0</v>
      </c>
      <c r="E80" s="150">
        <v>0</v>
      </c>
      <c r="F80" s="148">
        <v>0</v>
      </c>
      <c r="G80" s="150">
        <v>0</v>
      </c>
      <c r="H80" s="148">
        <v>0</v>
      </c>
      <c r="I80" s="148">
        <v>0</v>
      </c>
      <c r="J80" s="150">
        <v>0</v>
      </c>
      <c r="K80" s="150">
        <v>0</v>
      </c>
    </row>
    <row r="81" spans="1:11" x14ac:dyDescent="0.3">
      <c r="A81" s="145" t="s">
        <v>587</v>
      </c>
      <c r="B81" s="150">
        <v>0</v>
      </c>
      <c r="C81" s="150">
        <v>0</v>
      </c>
      <c r="D81" s="150">
        <v>0</v>
      </c>
      <c r="E81" s="150">
        <v>0</v>
      </c>
      <c r="F81" s="148">
        <v>0</v>
      </c>
      <c r="G81" s="150">
        <v>0</v>
      </c>
      <c r="H81" s="148">
        <v>0</v>
      </c>
      <c r="I81" s="148">
        <v>0</v>
      </c>
      <c r="J81" s="150">
        <v>0</v>
      </c>
      <c r="K81" s="150">
        <v>0</v>
      </c>
    </row>
    <row r="82" spans="1:11" x14ac:dyDescent="0.3">
      <c r="A82" s="145" t="s">
        <v>527</v>
      </c>
      <c r="B82" s="150">
        <v>72700</v>
      </c>
      <c r="C82" s="150">
        <v>72700</v>
      </c>
      <c r="D82" s="150">
        <v>72700</v>
      </c>
      <c r="E82" s="150">
        <v>0</v>
      </c>
      <c r="F82" s="148">
        <v>0</v>
      </c>
      <c r="G82" s="150">
        <v>0</v>
      </c>
      <c r="H82" s="148">
        <v>0</v>
      </c>
      <c r="I82" s="148">
        <v>0</v>
      </c>
      <c r="J82" s="150">
        <v>0</v>
      </c>
      <c r="K82" s="150">
        <v>0</v>
      </c>
    </row>
    <row r="83" spans="1:11" x14ac:dyDescent="0.3">
      <c r="A83" s="145" t="s">
        <v>584</v>
      </c>
      <c r="B83" s="150">
        <v>0</v>
      </c>
      <c r="C83" s="150">
        <v>0</v>
      </c>
      <c r="D83" s="150">
        <v>0</v>
      </c>
      <c r="E83" s="150">
        <v>0</v>
      </c>
      <c r="F83" s="148">
        <v>0</v>
      </c>
      <c r="G83" s="150">
        <v>0</v>
      </c>
      <c r="H83" s="148">
        <v>0</v>
      </c>
      <c r="I83" s="148">
        <v>0</v>
      </c>
      <c r="J83" s="150">
        <v>0</v>
      </c>
      <c r="K83" s="150">
        <v>0</v>
      </c>
    </row>
    <row r="84" spans="1:11" x14ac:dyDescent="0.3">
      <c r="A84" s="145" t="s">
        <v>585</v>
      </c>
      <c r="B84" s="150">
        <v>0</v>
      </c>
      <c r="C84" s="150">
        <v>0</v>
      </c>
      <c r="D84" s="150">
        <v>0</v>
      </c>
      <c r="E84" s="150">
        <v>0</v>
      </c>
      <c r="F84" s="148">
        <v>0</v>
      </c>
      <c r="G84" s="150">
        <v>0</v>
      </c>
      <c r="H84" s="148">
        <v>0</v>
      </c>
      <c r="I84" s="148">
        <v>0</v>
      </c>
      <c r="J84" s="150">
        <v>0</v>
      </c>
      <c r="K84" s="150">
        <v>0</v>
      </c>
    </row>
    <row r="85" spans="1:11" x14ac:dyDescent="0.3">
      <c r="A85" s="145" t="s">
        <v>538</v>
      </c>
      <c r="B85" s="150">
        <v>50000</v>
      </c>
      <c r="C85" s="150">
        <v>50000</v>
      </c>
      <c r="D85" s="150">
        <v>50000</v>
      </c>
      <c r="E85" s="150">
        <v>0</v>
      </c>
      <c r="F85" s="148">
        <v>0</v>
      </c>
      <c r="G85" s="150">
        <v>0</v>
      </c>
      <c r="H85" s="148">
        <v>0</v>
      </c>
      <c r="I85" s="148">
        <v>0</v>
      </c>
      <c r="J85" s="150">
        <v>0</v>
      </c>
      <c r="K85" s="150">
        <v>0</v>
      </c>
    </row>
    <row r="86" spans="1:11" x14ac:dyDescent="0.3">
      <c r="A86" s="145" t="s">
        <v>586</v>
      </c>
      <c r="B86" s="150">
        <v>0</v>
      </c>
      <c r="C86" s="150">
        <v>0</v>
      </c>
      <c r="D86" s="150">
        <v>0</v>
      </c>
      <c r="E86" s="150">
        <v>0</v>
      </c>
      <c r="F86" s="148">
        <v>0</v>
      </c>
      <c r="G86" s="150">
        <v>0</v>
      </c>
      <c r="H86" s="148">
        <v>0</v>
      </c>
      <c r="I86" s="148">
        <v>0</v>
      </c>
      <c r="J86" s="150">
        <v>0</v>
      </c>
      <c r="K86" s="150">
        <v>0</v>
      </c>
    </row>
    <row r="87" spans="1:11" x14ac:dyDescent="0.3">
      <c r="A87" s="145" t="s">
        <v>547</v>
      </c>
      <c r="B87" s="150">
        <v>25000</v>
      </c>
      <c r="C87" s="150">
        <v>25000</v>
      </c>
      <c r="D87" s="150">
        <v>25000</v>
      </c>
      <c r="E87" s="150">
        <v>0</v>
      </c>
      <c r="F87" s="148">
        <v>0</v>
      </c>
      <c r="G87" s="150">
        <v>0</v>
      </c>
      <c r="H87" s="148">
        <v>0</v>
      </c>
      <c r="I87" s="148">
        <v>1</v>
      </c>
      <c r="J87" s="150">
        <v>0</v>
      </c>
      <c r="K87" s="150">
        <v>0</v>
      </c>
    </row>
    <row r="88" spans="1:11" x14ac:dyDescent="0.3">
      <c r="A88" s="145" t="s">
        <v>569</v>
      </c>
      <c r="B88" s="150">
        <v>6500</v>
      </c>
      <c r="C88" s="150">
        <v>6500</v>
      </c>
      <c r="D88" s="150">
        <v>6500</v>
      </c>
      <c r="E88" s="150">
        <v>0</v>
      </c>
      <c r="F88" s="148">
        <v>0</v>
      </c>
      <c r="G88" s="150">
        <v>0</v>
      </c>
      <c r="H88" s="148">
        <v>0</v>
      </c>
      <c r="I88" s="148">
        <v>0</v>
      </c>
      <c r="J88" s="150">
        <v>0</v>
      </c>
      <c r="K88" s="150">
        <v>0</v>
      </c>
    </row>
    <row r="89" spans="1:11" x14ac:dyDescent="0.3">
      <c r="A89" s="145" t="s">
        <v>579</v>
      </c>
      <c r="B89" s="150">
        <v>827</v>
      </c>
      <c r="C89" s="150">
        <v>827</v>
      </c>
      <c r="D89" s="150">
        <v>827</v>
      </c>
      <c r="E89" s="150">
        <v>0</v>
      </c>
      <c r="F89" s="148">
        <v>0</v>
      </c>
      <c r="G89" s="150">
        <v>0</v>
      </c>
      <c r="H89" s="148">
        <v>0</v>
      </c>
      <c r="I89" s="148">
        <v>0</v>
      </c>
      <c r="J89" s="150">
        <v>0</v>
      </c>
      <c r="K89" s="150">
        <v>0</v>
      </c>
    </row>
    <row r="90" spans="1:11" x14ac:dyDescent="0.3">
      <c r="A90" s="145" t="s">
        <v>518</v>
      </c>
      <c r="B90" s="150">
        <v>132900</v>
      </c>
      <c r="C90" s="150">
        <v>132900</v>
      </c>
      <c r="D90" s="150">
        <v>132900</v>
      </c>
      <c r="E90" s="150">
        <v>0</v>
      </c>
      <c r="F90" s="148">
        <v>0</v>
      </c>
      <c r="G90" s="150">
        <v>0</v>
      </c>
      <c r="H90" s="148">
        <v>0</v>
      </c>
      <c r="I90" s="148">
        <v>3.6661466458658344E-2</v>
      </c>
      <c r="J90" s="150">
        <v>0</v>
      </c>
      <c r="K90" s="150">
        <v>0</v>
      </c>
    </row>
    <row r="91" spans="1:11" x14ac:dyDescent="0.3">
      <c r="A91" s="145" t="s">
        <v>589</v>
      </c>
      <c r="B91" s="150">
        <v>0</v>
      </c>
      <c r="C91" s="150">
        <v>0</v>
      </c>
      <c r="D91" s="150">
        <v>0</v>
      </c>
      <c r="E91" s="150">
        <v>0</v>
      </c>
      <c r="F91" s="148">
        <v>0</v>
      </c>
      <c r="G91" s="150">
        <v>0</v>
      </c>
      <c r="H91" s="148">
        <v>0</v>
      </c>
      <c r="I91" s="148">
        <v>0</v>
      </c>
      <c r="J91" s="150">
        <v>0</v>
      </c>
      <c r="K91" s="150">
        <v>0</v>
      </c>
    </row>
    <row r="92" spans="1:11" x14ac:dyDescent="0.3">
      <c r="A92" s="145" t="s">
        <v>537</v>
      </c>
      <c r="B92" s="150">
        <v>51150</v>
      </c>
      <c r="C92" s="150">
        <v>51150</v>
      </c>
      <c r="D92" s="150">
        <v>51150</v>
      </c>
      <c r="E92" s="150">
        <v>0</v>
      </c>
      <c r="F92" s="148">
        <v>0</v>
      </c>
      <c r="G92" s="150">
        <v>0</v>
      </c>
      <c r="H92" s="148">
        <v>0</v>
      </c>
      <c r="I92" s="148">
        <v>-0.45352564102564102</v>
      </c>
      <c r="J92" s="150">
        <v>-1187.6138433515484</v>
      </c>
      <c r="K92" s="150">
        <v>0</v>
      </c>
    </row>
    <row r="93" spans="1:11" x14ac:dyDescent="0.3">
      <c r="A93" s="145" t="s">
        <v>504</v>
      </c>
      <c r="B93" s="150">
        <v>334000</v>
      </c>
      <c r="C93" s="150">
        <v>334000</v>
      </c>
      <c r="D93" s="150">
        <v>334000</v>
      </c>
      <c r="E93" s="150">
        <v>0</v>
      </c>
      <c r="F93" s="148">
        <v>0</v>
      </c>
      <c r="G93" s="150">
        <v>0</v>
      </c>
      <c r="H93" s="148">
        <v>0</v>
      </c>
      <c r="I93" s="148">
        <v>0.14859520616252278</v>
      </c>
      <c r="J93" s="150">
        <v>0</v>
      </c>
      <c r="K93" s="150">
        <v>0</v>
      </c>
    </row>
    <row r="94" spans="1:11" x14ac:dyDescent="0.3">
      <c r="A94" s="145" t="s">
        <v>514</v>
      </c>
      <c r="B94" s="150">
        <v>157027</v>
      </c>
      <c r="C94" s="150">
        <v>157027</v>
      </c>
      <c r="D94" s="150">
        <v>157027</v>
      </c>
      <c r="E94" s="150">
        <v>0</v>
      </c>
      <c r="F94" s="148">
        <v>0</v>
      </c>
      <c r="G94" s="150">
        <v>0</v>
      </c>
      <c r="H94" s="148">
        <v>0</v>
      </c>
      <c r="I94" s="148">
        <v>0</v>
      </c>
      <c r="J94" s="150">
        <v>0</v>
      </c>
      <c r="K94" s="150">
        <v>0</v>
      </c>
    </row>
    <row r="95" spans="1:11" x14ac:dyDescent="0.3">
      <c r="A95" s="145" t="s">
        <v>571</v>
      </c>
      <c r="B95" s="150">
        <v>5000</v>
      </c>
      <c r="C95" s="150">
        <v>5000</v>
      </c>
      <c r="D95" s="150">
        <v>5000</v>
      </c>
      <c r="E95" s="150">
        <v>0</v>
      </c>
      <c r="F95" s="148">
        <v>0</v>
      </c>
      <c r="G95" s="150">
        <v>0</v>
      </c>
      <c r="H95" s="148">
        <v>0</v>
      </c>
      <c r="I95" s="148">
        <v>0</v>
      </c>
      <c r="J95" s="150">
        <v>0</v>
      </c>
      <c r="K95" s="150">
        <v>0</v>
      </c>
    </row>
    <row r="96" spans="1:11" x14ac:dyDescent="0.3">
      <c r="A96" s="145" t="s">
        <v>536</v>
      </c>
      <c r="B96" s="150">
        <v>53180</v>
      </c>
      <c r="C96" s="150">
        <v>53180</v>
      </c>
      <c r="D96" s="150">
        <v>53000</v>
      </c>
      <c r="E96" s="150">
        <v>-180</v>
      </c>
      <c r="F96" s="148">
        <v>-3.3847311019180142E-3</v>
      </c>
      <c r="G96" s="150">
        <v>-180</v>
      </c>
      <c r="H96" s="148">
        <v>-3.3847311019180142E-3</v>
      </c>
      <c r="I96" s="148">
        <v>0.39473684210526316</v>
      </c>
      <c r="J96" s="150">
        <v>0</v>
      </c>
      <c r="K96" s="150">
        <v>0</v>
      </c>
    </row>
    <row r="97" spans="1:11" x14ac:dyDescent="0.3">
      <c r="A97" s="145" t="s">
        <v>501</v>
      </c>
      <c r="B97" s="150">
        <v>460953</v>
      </c>
      <c r="C97" s="150">
        <v>453969</v>
      </c>
      <c r="D97" s="150">
        <v>454421</v>
      </c>
      <c r="E97" s="150">
        <v>-6532</v>
      </c>
      <c r="F97" s="148">
        <v>-1.4170642126203756E-2</v>
      </c>
      <c r="G97" s="150">
        <v>452</v>
      </c>
      <c r="H97" s="148">
        <v>9.956626994354241E-4</v>
      </c>
      <c r="I97" s="148">
        <v>0.47407193553828386</v>
      </c>
      <c r="J97" s="150">
        <v>0</v>
      </c>
      <c r="K97" s="150">
        <v>0</v>
      </c>
    </row>
    <row r="98" spans="1:11" x14ac:dyDescent="0.3">
      <c r="A98" s="145" t="s">
        <v>494</v>
      </c>
      <c r="B98" s="150">
        <v>1823521</v>
      </c>
      <c r="C98" s="150">
        <v>1773521</v>
      </c>
      <c r="D98" s="150">
        <v>1773521</v>
      </c>
      <c r="E98" s="150">
        <v>-50000</v>
      </c>
      <c r="F98" s="148">
        <v>-2.7419481322123518E-2</v>
      </c>
      <c r="G98" s="150">
        <v>0</v>
      </c>
      <c r="H98" s="148">
        <v>0</v>
      </c>
      <c r="I98" s="148">
        <v>1.0159924794765642</v>
      </c>
      <c r="J98" s="150">
        <v>0</v>
      </c>
      <c r="K98" s="150">
        <v>0</v>
      </c>
    </row>
    <row r="99" spans="1:11" x14ac:dyDescent="0.3">
      <c r="A99" s="145" t="s">
        <v>560</v>
      </c>
      <c r="B99" s="150">
        <v>10260</v>
      </c>
      <c r="C99" s="150">
        <v>10260</v>
      </c>
      <c r="D99" s="150">
        <v>9510</v>
      </c>
      <c r="E99" s="150">
        <v>-750</v>
      </c>
      <c r="F99" s="148">
        <v>-7.3099415204678359E-2</v>
      </c>
      <c r="G99" s="150">
        <v>-750</v>
      </c>
      <c r="H99" s="148">
        <v>-7.3099415204678359E-2</v>
      </c>
      <c r="I99" s="148">
        <v>-2.0597322348094749E-2</v>
      </c>
      <c r="J99" s="150">
        <v>0</v>
      </c>
      <c r="K99" s="150">
        <v>0</v>
      </c>
    </row>
    <row r="100" spans="1:11" x14ac:dyDescent="0.3">
      <c r="A100" s="145" t="s">
        <v>544</v>
      </c>
      <c r="B100" s="150">
        <v>34364</v>
      </c>
      <c r="C100" s="150">
        <v>34364</v>
      </c>
      <c r="D100" s="150">
        <v>30751</v>
      </c>
      <c r="E100" s="150">
        <v>-3613</v>
      </c>
      <c r="F100" s="148">
        <v>-0.10513909905715284</v>
      </c>
      <c r="G100" s="150">
        <v>-3613</v>
      </c>
      <c r="H100" s="148">
        <v>-0.10513909905715284</v>
      </c>
      <c r="I100" s="148">
        <v>0.16923954372623573</v>
      </c>
      <c r="J100" s="150">
        <v>-200</v>
      </c>
      <c r="K100" s="150">
        <v>0</v>
      </c>
    </row>
    <row r="101" spans="1:11" x14ac:dyDescent="0.3">
      <c r="A101" s="145" t="s">
        <v>566</v>
      </c>
      <c r="B101" s="150">
        <v>8500</v>
      </c>
      <c r="C101" s="150">
        <v>8500</v>
      </c>
      <c r="D101" s="150">
        <v>7000</v>
      </c>
      <c r="E101" s="150">
        <v>-1500</v>
      </c>
      <c r="F101" s="148">
        <v>-0.17647058823529413</v>
      </c>
      <c r="G101" s="150">
        <v>-1500</v>
      </c>
      <c r="H101" s="148">
        <v>-0.17647058823529413</v>
      </c>
      <c r="I101" s="148">
        <v>1</v>
      </c>
      <c r="J101" s="150">
        <v>0</v>
      </c>
      <c r="K101" s="150">
        <v>0</v>
      </c>
    </row>
    <row r="102" spans="1:11" x14ac:dyDescent="0.3">
      <c r="A102" s="145" t="s">
        <v>564</v>
      </c>
      <c r="B102" s="150">
        <v>10000</v>
      </c>
      <c r="C102" s="150">
        <v>10000</v>
      </c>
      <c r="D102" s="150">
        <v>7500</v>
      </c>
      <c r="E102" s="150">
        <v>-2500</v>
      </c>
      <c r="F102" s="148">
        <v>-0.25</v>
      </c>
      <c r="G102" s="150">
        <v>-2500</v>
      </c>
      <c r="H102" s="148">
        <v>-0.25</v>
      </c>
      <c r="I102" s="148">
        <v>-0.7321428571428571</v>
      </c>
      <c r="J102" s="150">
        <v>0</v>
      </c>
      <c r="K102" s="150">
        <v>0</v>
      </c>
    </row>
    <row r="103" spans="1:11" x14ac:dyDescent="0.3">
      <c r="A103" s="145" t="s">
        <v>576</v>
      </c>
      <c r="B103" s="150">
        <v>8600</v>
      </c>
      <c r="C103" s="150">
        <v>8600</v>
      </c>
      <c r="D103" s="150">
        <v>4100</v>
      </c>
      <c r="E103" s="150">
        <v>-4500</v>
      </c>
      <c r="F103" s="148">
        <v>-0.52325581395348841</v>
      </c>
      <c r="G103" s="150">
        <v>-4500</v>
      </c>
      <c r="H103" s="148">
        <v>-0.52325581395348841</v>
      </c>
      <c r="I103" s="148">
        <v>-0.56842105263157894</v>
      </c>
      <c r="J103" s="150">
        <v>0</v>
      </c>
      <c r="K103" s="150">
        <v>0</v>
      </c>
    </row>
    <row r="104" spans="1:11" x14ac:dyDescent="0.3">
      <c r="A104" s="163" t="s">
        <v>445</v>
      </c>
      <c r="B104" s="150">
        <v>2600</v>
      </c>
      <c r="C104" s="150">
        <v>2600</v>
      </c>
      <c r="D104" s="150">
        <v>2600</v>
      </c>
      <c r="E104" s="150">
        <v>0</v>
      </c>
      <c r="F104" s="148">
        <v>0</v>
      </c>
      <c r="G104" s="150">
        <v>0</v>
      </c>
      <c r="H104" s="148">
        <v>0</v>
      </c>
      <c r="I104" s="148">
        <v>1</v>
      </c>
      <c r="J104" s="150">
        <v>0</v>
      </c>
      <c r="K104" s="150">
        <v>0</v>
      </c>
    </row>
    <row r="105" spans="1:11" x14ac:dyDescent="0.3">
      <c r="A105" s="163" t="s">
        <v>444</v>
      </c>
      <c r="B105" s="150">
        <v>0</v>
      </c>
      <c r="C105" s="150">
        <v>0</v>
      </c>
      <c r="D105" s="150">
        <v>0</v>
      </c>
      <c r="E105" s="150">
        <v>0</v>
      </c>
      <c r="F105" s="148">
        <v>0</v>
      </c>
      <c r="G105" s="150">
        <v>0</v>
      </c>
      <c r="H105" s="148">
        <v>0</v>
      </c>
      <c r="I105" s="148">
        <v>0</v>
      </c>
      <c r="J105" s="150">
        <v>0</v>
      </c>
      <c r="K105" s="150">
        <v>0</v>
      </c>
    </row>
    <row r="106" spans="1:11" x14ac:dyDescent="0.3">
      <c r="A106" s="163" t="s">
        <v>442</v>
      </c>
      <c r="B106" s="150">
        <v>5500</v>
      </c>
      <c r="C106" s="150">
        <v>5500</v>
      </c>
      <c r="D106" s="150">
        <v>1500</v>
      </c>
      <c r="E106" s="150">
        <v>-4000</v>
      </c>
      <c r="F106" s="148">
        <v>-0.72727272727272729</v>
      </c>
      <c r="G106" s="150">
        <v>-4000</v>
      </c>
      <c r="H106" s="148">
        <v>-0.72727272727272729</v>
      </c>
      <c r="I106" s="148">
        <v>-0.84210526315789469</v>
      </c>
      <c r="J106" s="150">
        <v>0</v>
      </c>
      <c r="K106" s="150">
        <v>0</v>
      </c>
    </row>
    <row r="107" spans="1:11" x14ac:dyDescent="0.3">
      <c r="A107" s="163" t="s">
        <v>443</v>
      </c>
      <c r="B107" s="150">
        <v>500</v>
      </c>
      <c r="C107" s="150">
        <v>500</v>
      </c>
      <c r="D107" s="150">
        <v>0</v>
      </c>
      <c r="E107" s="150">
        <v>-500</v>
      </c>
      <c r="F107" s="148">
        <v>-1</v>
      </c>
      <c r="G107" s="150">
        <v>-500</v>
      </c>
      <c r="H107" s="148">
        <v>-1</v>
      </c>
      <c r="I107" s="148">
        <v>0</v>
      </c>
      <c r="J107" s="150">
        <v>0</v>
      </c>
      <c r="K107" s="150">
        <v>0</v>
      </c>
    </row>
    <row r="108" spans="1:11" x14ac:dyDescent="0.3">
      <c r="A108" s="145" t="s">
        <v>570</v>
      </c>
      <c r="B108" s="150">
        <v>14700</v>
      </c>
      <c r="C108" s="150">
        <v>14700</v>
      </c>
      <c r="D108" s="150">
        <v>5000</v>
      </c>
      <c r="E108" s="150">
        <v>-9700</v>
      </c>
      <c r="F108" s="148">
        <v>-0.65986394557823125</v>
      </c>
      <c r="G108" s="150">
        <v>-9700</v>
      </c>
      <c r="H108" s="148">
        <v>-0.65986394557823125</v>
      </c>
      <c r="I108" s="148">
        <v>-0.72527472527472525</v>
      </c>
      <c r="J108" s="150">
        <v>0</v>
      </c>
      <c r="K108" s="150">
        <v>0</v>
      </c>
    </row>
    <row r="109" spans="1:11" x14ac:dyDescent="0.3">
      <c r="A109" s="145" t="s">
        <v>525</v>
      </c>
      <c r="B109" s="150">
        <v>329678</v>
      </c>
      <c r="C109" s="150">
        <v>339944</v>
      </c>
      <c r="D109" s="150">
        <v>77625</v>
      </c>
      <c r="E109" s="150">
        <v>-252053</v>
      </c>
      <c r="F109" s="148">
        <v>-0.76454297830003826</v>
      </c>
      <c r="G109" s="150">
        <v>-262319</v>
      </c>
      <c r="H109" s="148">
        <v>-0.77165356646977146</v>
      </c>
      <c r="I109" s="148">
        <v>-0.70512820512820518</v>
      </c>
      <c r="J109" s="150">
        <v>0</v>
      </c>
      <c r="K109" s="150">
        <v>0</v>
      </c>
    </row>
    <row r="110" spans="1:11" x14ac:dyDescent="0.3">
      <c r="A110" s="145" t="s">
        <v>592</v>
      </c>
      <c r="B110" s="150">
        <v>1500</v>
      </c>
      <c r="C110" s="150">
        <v>1500</v>
      </c>
      <c r="D110" s="150">
        <v>0</v>
      </c>
      <c r="E110" s="150">
        <v>-1500</v>
      </c>
      <c r="F110" s="148">
        <v>-1</v>
      </c>
      <c r="G110" s="150">
        <v>-1500</v>
      </c>
      <c r="H110" s="148">
        <v>-1</v>
      </c>
      <c r="I110" s="148">
        <v>-1</v>
      </c>
      <c r="J110" s="150">
        <v>0</v>
      </c>
      <c r="K110" s="150">
        <v>0</v>
      </c>
    </row>
    <row r="111" spans="1:11" x14ac:dyDescent="0.3">
      <c r="A111" s="145" t="s">
        <v>582</v>
      </c>
      <c r="B111" s="150">
        <v>1000</v>
      </c>
      <c r="C111" s="150">
        <v>1000</v>
      </c>
      <c r="D111" s="150">
        <v>0</v>
      </c>
      <c r="E111" s="150">
        <v>-1000</v>
      </c>
      <c r="F111" s="148">
        <v>-1</v>
      </c>
      <c r="G111" s="150">
        <v>-1000</v>
      </c>
      <c r="H111" s="148">
        <v>-1</v>
      </c>
      <c r="I111" s="148">
        <v>-1</v>
      </c>
      <c r="J111" s="150">
        <v>0</v>
      </c>
      <c r="K111" s="150">
        <v>0</v>
      </c>
    </row>
    <row r="112" spans="1:11" x14ac:dyDescent="0.3">
      <c r="A112" s="145" t="s">
        <v>588</v>
      </c>
      <c r="B112" s="150">
        <v>600</v>
      </c>
      <c r="C112" s="150">
        <v>600</v>
      </c>
      <c r="D112" s="150">
        <v>0</v>
      </c>
      <c r="E112" s="150">
        <v>-600</v>
      </c>
      <c r="F112" s="148">
        <v>-1</v>
      </c>
      <c r="G112" s="150">
        <v>-600</v>
      </c>
      <c r="H112" s="148">
        <v>-1</v>
      </c>
      <c r="I112" s="148">
        <v>-1</v>
      </c>
      <c r="J112" s="150">
        <v>0</v>
      </c>
      <c r="K112" s="150">
        <v>0</v>
      </c>
    </row>
    <row r="113" spans="1:11" x14ac:dyDescent="0.3">
      <c r="A113" s="145" t="s">
        <v>486</v>
      </c>
      <c r="B113" s="150">
        <v>43881839</v>
      </c>
      <c r="C113" s="150">
        <v>46391766</v>
      </c>
      <c r="D113" s="150">
        <v>47263289</v>
      </c>
      <c r="E113" s="150">
        <v>3381450</v>
      </c>
      <c r="F113" s="148">
        <v>7.7058074070232102E-2</v>
      </c>
      <c r="G113" s="150">
        <v>871523</v>
      </c>
      <c r="H113" s="148">
        <v>1.8786157008983017E-2</v>
      </c>
      <c r="I113" s="148">
        <v>0.34265689511367459</v>
      </c>
      <c r="J113" s="150">
        <v>-1001739.5908779785</v>
      </c>
      <c r="K113" s="150">
        <v>-1088613.3060000003</v>
      </c>
    </row>
    <row r="114" spans="1:11" x14ac:dyDescent="0.3">
      <c r="B114"/>
      <c r="C114"/>
      <c r="D114"/>
      <c r="E114"/>
      <c r="G114"/>
      <c r="H114"/>
      <c r="I114"/>
    </row>
    <row r="115" spans="1:11" x14ac:dyDescent="0.3">
      <c r="B115"/>
      <c r="C115"/>
      <c r="D115"/>
      <c r="E115"/>
      <c r="G115"/>
      <c r="H115"/>
      <c r="I115"/>
    </row>
    <row r="116" spans="1:11" x14ac:dyDescent="0.3">
      <c r="B116"/>
      <c r="C116"/>
      <c r="D116"/>
      <c r="E116"/>
      <c r="G116"/>
      <c r="H116"/>
      <c r="I116"/>
    </row>
    <row r="117" spans="1:11" x14ac:dyDescent="0.3">
      <c r="B117"/>
      <c r="C117"/>
      <c r="D117"/>
      <c r="E117"/>
      <c r="G117"/>
      <c r="H117"/>
      <c r="I117"/>
    </row>
    <row r="118" spans="1:11" x14ac:dyDescent="0.3">
      <c r="B118"/>
      <c r="C118"/>
      <c r="D118"/>
      <c r="E118"/>
      <c r="G118"/>
      <c r="H118"/>
      <c r="I118"/>
    </row>
    <row r="119" spans="1:11" x14ac:dyDescent="0.3">
      <c r="B119"/>
      <c r="C119"/>
      <c r="D119"/>
      <c r="E119"/>
      <c r="G119"/>
      <c r="H119"/>
      <c r="I119"/>
    </row>
    <row r="120" spans="1:11" x14ac:dyDescent="0.3">
      <c r="B120"/>
      <c r="C120"/>
      <c r="D120"/>
      <c r="E120"/>
      <c r="G120"/>
      <c r="H120"/>
      <c r="I120"/>
    </row>
    <row r="121" spans="1:11" x14ac:dyDescent="0.3">
      <c r="B121"/>
      <c r="C121"/>
      <c r="D121"/>
      <c r="E121"/>
      <c r="G121"/>
      <c r="H121"/>
      <c r="I121"/>
    </row>
    <row r="122" spans="1:11" x14ac:dyDescent="0.3">
      <c r="B122"/>
      <c r="C122"/>
      <c r="D122"/>
      <c r="E122"/>
      <c r="G122"/>
      <c r="H122"/>
      <c r="I122"/>
    </row>
    <row r="123" spans="1:11" x14ac:dyDescent="0.3">
      <c r="B123"/>
      <c r="C123"/>
      <c r="D123"/>
      <c r="E123"/>
      <c r="G123"/>
      <c r="H123"/>
      <c r="I123"/>
    </row>
    <row r="124" spans="1:11" x14ac:dyDescent="0.3">
      <c r="B124"/>
      <c r="C124"/>
      <c r="D124"/>
      <c r="E124"/>
      <c r="G124"/>
      <c r="H124"/>
      <c r="I124"/>
    </row>
    <row r="125" spans="1:11" x14ac:dyDescent="0.3">
      <c r="B125"/>
      <c r="C125"/>
      <c r="D125"/>
      <c r="E125"/>
      <c r="G125"/>
      <c r="H125"/>
      <c r="I125"/>
    </row>
    <row r="126" spans="1:11" x14ac:dyDescent="0.3">
      <c r="B126"/>
      <c r="C126"/>
      <c r="D126"/>
      <c r="E126"/>
      <c r="G126"/>
      <c r="H126"/>
      <c r="I126"/>
    </row>
    <row r="127" spans="1:11" x14ac:dyDescent="0.3">
      <c r="B127"/>
      <c r="C127"/>
      <c r="D127"/>
      <c r="E127"/>
      <c r="G127"/>
      <c r="H127"/>
      <c r="I127"/>
    </row>
    <row r="128" spans="1:11" x14ac:dyDescent="0.3">
      <c r="B128"/>
      <c r="C128"/>
      <c r="D128"/>
      <c r="E128"/>
      <c r="G128"/>
      <c r="H128"/>
      <c r="I128"/>
    </row>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row r="289" customFormat="1" x14ac:dyDescent="0.3"/>
    <row r="290" customFormat="1" x14ac:dyDescent="0.3"/>
    <row r="291" customFormat="1" x14ac:dyDescent="0.3"/>
    <row r="292" customFormat="1" x14ac:dyDescent="0.3"/>
    <row r="293" customFormat="1" x14ac:dyDescent="0.3"/>
    <row r="294" customFormat="1" x14ac:dyDescent="0.3"/>
    <row r="295" customFormat="1" x14ac:dyDescent="0.3"/>
    <row r="296" customFormat="1" x14ac:dyDescent="0.3"/>
    <row r="297" customFormat="1" x14ac:dyDescent="0.3"/>
    <row r="298" customFormat="1" x14ac:dyDescent="0.3"/>
    <row r="299" customFormat="1" x14ac:dyDescent="0.3"/>
    <row r="300" customFormat="1" x14ac:dyDescent="0.3"/>
    <row r="301" customFormat="1" x14ac:dyDescent="0.3"/>
    <row r="302" customFormat="1" x14ac:dyDescent="0.3"/>
    <row r="303" customFormat="1" x14ac:dyDescent="0.3"/>
    <row r="304" customFormat="1" x14ac:dyDescent="0.3"/>
    <row r="305" customFormat="1" x14ac:dyDescent="0.3"/>
    <row r="306" customFormat="1" x14ac:dyDescent="0.3"/>
    <row r="307" customFormat="1" x14ac:dyDescent="0.3"/>
    <row r="308" customFormat="1" x14ac:dyDescent="0.3"/>
    <row r="309" customFormat="1" x14ac:dyDescent="0.3"/>
    <row r="310" customFormat="1" x14ac:dyDescent="0.3"/>
    <row r="311" customFormat="1" x14ac:dyDescent="0.3"/>
    <row r="312" customFormat="1" x14ac:dyDescent="0.3"/>
    <row r="313" customFormat="1" x14ac:dyDescent="0.3"/>
    <row r="314" customFormat="1" x14ac:dyDescent="0.3"/>
    <row r="315" customFormat="1" x14ac:dyDescent="0.3"/>
    <row r="316" customFormat="1" x14ac:dyDescent="0.3"/>
    <row r="317" customFormat="1" x14ac:dyDescent="0.3"/>
    <row r="318" customFormat="1" x14ac:dyDescent="0.3"/>
    <row r="319" customFormat="1" x14ac:dyDescent="0.3"/>
    <row r="320" customFormat="1" x14ac:dyDescent="0.3"/>
    <row r="321" customFormat="1" x14ac:dyDescent="0.3"/>
    <row r="322" customFormat="1" x14ac:dyDescent="0.3"/>
    <row r="323" customFormat="1" x14ac:dyDescent="0.3"/>
    <row r="324" customFormat="1" x14ac:dyDescent="0.3"/>
    <row r="325" customFormat="1" x14ac:dyDescent="0.3"/>
    <row r="326" customFormat="1" x14ac:dyDescent="0.3"/>
    <row r="327" customFormat="1" x14ac:dyDescent="0.3"/>
    <row r="328" customFormat="1" x14ac:dyDescent="0.3"/>
    <row r="329" customFormat="1" x14ac:dyDescent="0.3"/>
    <row r="330" customFormat="1" x14ac:dyDescent="0.3"/>
    <row r="331" customFormat="1" x14ac:dyDescent="0.3"/>
    <row r="332" customFormat="1" x14ac:dyDescent="0.3"/>
    <row r="333" customFormat="1" x14ac:dyDescent="0.3"/>
    <row r="334" customFormat="1" x14ac:dyDescent="0.3"/>
    <row r="335" customFormat="1" x14ac:dyDescent="0.3"/>
    <row r="336" customFormat="1" x14ac:dyDescent="0.3"/>
    <row r="337" customFormat="1" x14ac:dyDescent="0.3"/>
    <row r="338" customFormat="1" x14ac:dyDescent="0.3"/>
    <row r="339" customFormat="1" x14ac:dyDescent="0.3"/>
    <row r="340" customFormat="1" x14ac:dyDescent="0.3"/>
    <row r="341" customFormat="1" x14ac:dyDescent="0.3"/>
    <row r="342" customFormat="1" x14ac:dyDescent="0.3"/>
    <row r="343" customFormat="1" x14ac:dyDescent="0.3"/>
    <row r="344" customFormat="1" x14ac:dyDescent="0.3"/>
    <row r="345" customFormat="1" x14ac:dyDescent="0.3"/>
    <row r="346" customFormat="1" x14ac:dyDescent="0.3"/>
    <row r="347" customFormat="1" x14ac:dyDescent="0.3"/>
    <row r="348" customFormat="1" x14ac:dyDescent="0.3"/>
    <row r="349" customFormat="1" x14ac:dyDescent="0.3"/>
    <row r="350" customFormat="1" x14ac:dyDescent="0.3"/>
    <row r="351" customFormat="1" x14ac:dyDescent="0.3"/>
    <row r="352" customFormat="1" x14ac:dyDescent="0.3"/>
    <row r="353" customFormat="1" x14ac:dyDescent="0.3"/>
    <row r="354" customFormat="1" x14ac:dyDescent="0.3"/>
    <row r="355" customFormat="1" x14ac:dyDescent="0.3"/>
    <row r="356" customFormat="1" x14ac:dyDescent="0.3"/>
    <row r="357" customFormat="1" x14ac:dyDescent="0.3"/>
    <row r="358" customFormat="1" x14ac:dyDescent="0.3"/>
    <row r="359" customFormat="1" x14ac:dyDescent="0.3"/>
    <row r="360" customFormat="1" x14ac:dyDescent="0.3"/>
    <row r="361" customFormat="1" x14ac:dyDescent="0.3"/>
    <row r="362" customFormat="1" x14ac:dyDescent="0.3"/>
    <row r="363" customFormat="1" x14ac:dyDescent="0.3"/>
    <row r="364" customFormat="1" x14ac:dyDescent="0.3"/>
    <row r="365" customFormat="1" x14ac:dyDescent="0.3"/>
    <row r="366" customFormat="1" x14ac:dyDescent="0.3"/>
    <row r="367" customFormat="1" x14ac:dyDescent="0.3"/>
    <row r="368" customFormat="1" x14ac:dyDescent="0.3"/>
    <row r="369" customFormat="1" x14ac:dyDescent="0.3"/>
    <row r="370" customFormat="1" x14ac:dyDescent="0.3"/>
    <row r="371" customFormat="1" x14ac:dyDescent="0.3"/>
    <row r="372" customFormat="1" x14ac:dyDescent="0.3"/>
    <row r="373" customFormat="1" x14ac:dyDescent="0.3"/>
    <row r="374" customFormat="1" x14ac:dyDescent="0.3"/>
    <row r="375" customFormat="1" x14ac:dyDescent="0.3"/>
    <row r="376" customFormat="1" x14ac:dyDescent="0.3"/>
    <row r="377" customFormat="1" x14ac:dyDescent="0.3"/>
    <row r="378" customFormat="1" x14ac:dyDescent="0.3"/>
    <row r="379" customFormat="1" x14ac:dyDescent="0.3"/>
    <row r="380" customFormat="1" x14ac:dyDescent="0.3"/>
    <row r="381" customFormat="1" x14ac:dyDescent="0.3"/>
    <row r="382" customFormat="1" x14ac:dyDescent="0.3"/>
    <row r="383" customFormat="1" x14ac:dyDescent="0.3"/>
    <row r="384" customFormat="1" x14ac:dyDescent="0.3"/>
    <row r="385" customFormat="1" x14ac:dyDescent="0.3"/>
    <row r="386" customFormat="1" x14ac:dyDescent="0.3"/>
    <row r="387" customFormat="1" x14ac:dyDescent="0.3"/>
    <row r="388" customFormat="1" x14ac:dyDescent="0.3"/>
    <row r="389" customFormat="1" x14ac:dyDescent="0.3"/>
    <row r="390" customFormat="1" x14ac:dyDescent="0.3"/>
    <row r="391" customFormat="1" x14ac:dyDescent="0.3"/>
    <row r="392" customFormat="1" x14ac:dyDescent="0.3"/>
    <row r="393" customFormat="1" x14ac:dyDescent="0.3"/>
    <row r="394" customFormat="1" x14ac:dyDescent="0.3"/>
    <row r="395" customFormat="1" x14ac:dyDescent="0.3"/>
    <row r="396" customFormat="1" x14ac:dyDescent="0.3"/>
    <row r="397" customFormat="1" x14ac:dyDescent="0.3"/>
    <row r="398" customFormat="1" x14ac:dyDescent="0.3"/>
    <row r="399" customFormat="1" x14ac:dyDescent="0.3"/>
    <row r="400" customFormat="1" x14ac:dyDescent="0.3"/>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row r="497" customFormat="1" x14ac:dyDescent="0.3"/>
    <row r="498" customFormat="1" x14ac:dyDescent="0.3"/>
    <row r="499" customFormat="1" x14ac:dyDescent="0.3"/>
    <row r="500" customFormat="1" x14ac:dyDescent="0.3"/>
    <row r="501" customFormat="1" x14ac:dyDescent="0.3"/>
    <row r="502" customFormat="1" x14ac:dyDescent="0.3"/>
    <row r="503" customFormat="1" x14ac:dyDescent="0.3"/>
    <row r="504" customFormat="1" x14ac:dyDescent="0.3"/>
    <row r="505" customFormat="1" x14ac:dyDescent="0.3"/>
    <row r="506" customFormat="1" x14ac:dyDescent="0.3"/>
    <row r="507" customFormat="1" x14ac:dyDescent="0.3"/>
    <row r="508" customFormat="1" x14ac:dyDescent="0.3"/>
    <row r="509" customFormat="1" x14ac:dyDescent="0.3"/>
    <row r="510" customFormat="1" x14ac:dyDescent="0.3"/>
    <row r="511" customFormat="1" x14ac:dyDescent="0.3"/>
    <row r="512" customFormat="1" x14ac:dyDescent="0.3"/>
    <row r="513" customFormat="1" x14ac:dyDescent="0.3"/>
    <row r="514" customFormat="1" x14ac:dyDescent="0.3"/>
    <row r="515" customFormat="1" x14ac:dyDescent="0.3"/>
    <row r="516" customFormat="1" x14ac:dyDescent="0.3"/>
    <row r="517" customFormat="1" x14ac:dyDescent="0.3"/>
    <row r="518" customFormat="1" x14ac:dyDescent="0.3"/>
    <row r="519" customFormat="1" x14ac:dyDescent="0.3"/>
    <row r="520" customFormat="1" x14ac:dyDescent="0.3"/>
    <row r="521" customFormat="1" x14ac:dyDescent="0.3"/>
    <row r="522" customFormat="1" x14ac:dyDescent="0.3"/>
    <row r="523" customFormat="1" x14ac:dyDescent="0.3"/>
    <row r="524" customFormat="1" x14ac:dyDescent="0.3"/>
    <row r="525" customFormat="1" x14ac:dyDescent="0.3"/>
    <row r="526" customFormat="1" x14ac:dyDescent="0.3"/>
    <row r="527" customFormat="1" x14ac:dyDescent="0.3"/>
    <row r="528" customFormat="1" x14ac:dyDescent="0.3"/>
    <row r="529" customFormat="1" x14ac:dyDescent="0.3"/>
    <row r="530" customFormat="1" x14ac:dyDescent="0.3"/>
    <row r="531" customFormat="1" x14ac:dyDescent="0.3"/>
    <row r="532" customFormat="1" x14ac:dyDescent="0.3"/>
    <row r="533" customFormat="1" x14ac:dyDescent="0.3"/>
    <row r="534" customFormat="1" x14ac:dyDescent="0.3"/>
    <row r="535" customFormat="1" x14ac:dyDescent="0.3"/>
    <row r="536" customFormat="1" x14ac:dyDescent="0.3"/>
    <row r="537" customFormat="1" x14ac:dyDescent="0.3"/>
    <row r="538" customFormat="1" x14ac:dyDescent="0.3"/>
    <row r="539" customFormat="1" x14ac:dyDescent="0.3"/>
    <row r="540" customFormat="1" x14ac:dyDescent="0.3"/>
    <row r="541" customFormat="1" x14ac:dyDescent="0.3"/>
    <row r="542" customFormat="1" x14ac:dyDescent="0.3"/>
    <row r="543" customFormat="1" x14ac:dyDescent="0.3"/>
    <row r="544" customFormat="1" x14ac:dyDescent="0.3"/>
    <row r="545" customFormat="1" x14ac:dyDescent="0.3"/>
    <row r="546" customFormat="1" x14ac:dyDescent="0.3"/>
    <row r="547" customFormat="1" x14ac:dyDescent="0.3"/>
    <row r="548" customFormat="1" x14ac:dyDescent="0.3"/>
    <row r="549" customFormat="1" x14ac:dyDescent="0.3"/>
    <row r="550" customFormat="1" x14ac:dyDescent="0.3"/>
    <row r="551" customFormat="1" x14ac:dyDescent="0.3"/>
    <row r="552" customFormat="1" x14ac:dyDescent="0.3"/>
    <row r="553" customFormat="1" x14ac:dyDescent="0.3"/>
    <row r="554" customFormat="1" x14ac:dyDescent="0.3"/>
    <row r="555" customFormat="1" x14ac:dyDescent="0.3"/>
    <row r="556" customFormat="1" x14ac:dyDescent="0.3"/>
    <row r="557" customFormat="1" x14ac:dyDescent="0.3"/>
    <row r="558" customFormat="1" x14ac:dyDescent="0.3"/>
    <row r="559" customFormat="1" x14ac:dyDescent="0.3"/>
    <row r="560" customFormat="1" x14ac:dyDescent="0.3"/>
    <row r="561" customFormat="1" x14ac:dyDescent="0.3"/>
    <row r="562" customFormat="1" x14ac:dyDescent="0.3"/>
    <row r="563" customFormat="1" x14ac:dyDescent="0.3"/>
    <row r="564" customFormat="1" x14ac:dyDescent="0.3"/>
    <row r="565" customFormat="1" x14ac:dyDescent="0.3"/>
    <row r="566" customFormat="1" x14ac:dyDescent="0.3"/>
    <row r="567" customFormat="1" x14ac:dyDescent="0.3"/>
    <row r="568" customFormat="1" x14ac:dyDescent="0.3"/>
    <row r="569" customFormat="1" x14ac:dyDescent="0.3"/>
    <row r="570" customFormat="1" x14ac:dyDescent="0.3"/>
    <row r="571" customFormat="1" x14ac:dyDescent="0.3"/>
    <row r="572" customFormat="1" x14ac:dyDescent="0.3"/>
    <row r="573" customFormat="1" x14ac:dyDescent="0.3"/>
    <row r="574" customFormat="1" x14ac:dyDescent="0.3"/>
    <row r="575" customFormat="1" x14ac:dyDescent="0.3"/>
    <row r="576" customFormat="1" x14ac:dyDescent="0.3"/>
    <row r="577" customFormat="1" x14ac:dyDescent="0.3"/>
    <row r="578" customFormat="1" x14ac:dyDescent="0.3"/>
    <row r="579" customFormat="1" x14ac:dyDescent="0.3"/>
    <row r="580" customFormat="1" x14ac:dyDescent="0.3"/>
    <row r="581" customFormat="1" x14ac:dyDescent="0.3"/>
    <row r="582" customFormat="1" x14ac:dyDescent="0.3"/>
    <row r="583" customFormat="1" x14ac:dyDescent="0.3"/>
    <row r="584" customFormat="1" x14ac:dyDescent="0.3"/>
    <row r="585" customFormat="1" x14ac:dyDescent="0.3"/>
    <row r="586" customFormat="1" x14ac:dyDescent="0.3"/>
    <row r="587" customFormat="1" x14ac:dyDescent="0.3"/>
    <row r="588" customFormat="1" x14ac:dyDescent="0.3"/>
    <row r="589" customFormat="1" x14ac:dyDescent="0.3"/>
    <row r="590" customFormat="1" x14ac:dyDescent="0.3"/>
    <row r="591" customFormat="1" x14ac:dyDescent="0.3"/>
    <row r="592" customFormat="1" x14ac:dyDescent="0.3"/>
    <row r="593" customFormat="1" x14ac:dyDescent="0.3"/>
    <row r="594" customFormat="1" x14ac:dyDescent="0.3"/>
    <row r="595" customFormat="1" x14ac:dyDescent="0.3"/>
    <row r="596" customFormat="1" x14ac:dyDescent="0.3"/>
    <row r="597" customFormat="1" x14ac:dyDescent="0.3"/>
    <row r="598" customFormat="1" x14ac:dyDescent="0.3"/>
    <row r="599" customFormat="1" x14ac:dyDescent="0.3"/>
    <row r="600" customFormat="1" x14ac:dyDescent="0.3"/>
    <row r="601" customFormat="1" x14ac:dyDescent="0.3"/>
    <row r="602" customFormat="1" x14ac:dyDescent="0.3"/>
    <row r="603" customFormat="1" x14ac:dyDescent="0.3"/>
    <row r="604" customFormat="1" x14ac:dyDescent="0.3"/>
    <row r="605" customFormat="1" x14ac:dyDescent="0.3"/>
    <row r="606" customFormat="1" x14ac:dyDescent="0.3"/>
    <row r="607" customFormat="1" x14ac:dyDescent="0.3"/>
    <row r="608" customFormat="1" x14ac:dyDescent="0.3"/>
    <row r="609" customFormat="1" x14ac:dyDescent="0.3"/>
    <row r="610" customFormat="1" x14ac:dyDescent="0.3"/>
    <row r="611" customFormat="1" x14ac:dyDescent="0.3"/>
    <row r="612" customFormat="1" x14ac:dyDescent="0.3"/>
    <row r="613" customFormat="1" x14ac:dyDescent="0.3"/>
    <row r="614" customFormat="1" x14ac:dyDescent="0.3"/>
    <row r="615" customFormat="1" x14ac:dyDescent="0.3"/>
    <row r="616" customFormat="1" x14ac:dyDescent="0.3"/>
    <row r="617" customFormat="1" x14ac:dyDescent="0.3"/>
    <row r="618" customFormat="1" x14ac:dyDescent="0.3"/>
    <row r="619" customFormat="1" x14ac:dyDescent="0.3"/>
    <row r="620" customFormat="1" x14ac:dyDescent="0.3"/>
    <row r="621" customFormat="1" x14ac:dyDescent="0.3"/>
    <row r="622" customFormat="1" x14ac:dyDescent="0.3"/>
    <row r="623" customFormat="1" x14ac:dyDescent="0.3"/>
    <row r="624" customFormat="1" x14ac:dyDescent="0.3"/>
    <row r="625" customFormat="1" x14ac:dyDescent="0.3"/>
    <row r="626" customFormat="1" x14ac:dyDescent="0.3"/>
    <row r="627" customFormat="1" x14ac:dyDescent="0.3"/>
    <row r="628" customFormat="1" x14ac:dyDescent="0.3"/>
    <row r="629" customFormat="1" x14ac:dyDescent="0.3"/>
    <row r="630" customFormat="1" x14ac:dyDescent="0.3"/>
    <row r="631" customFormat="1" x14ac:dyDescent="0.3"/>
    <row r="632" customFormat="1" x14ac:dyDescent="0.3"/>
    <row r="633" customFormat="1" x14ac:dyDescent="0.3"/>
    <row r="634" customFormat="1" x14ac:dyDescent="0.3"/>
    <row r="635" customFormat="1" x14ac:dyDescent="0.3"/>
    <row r="636" customFormat="1" x14ac:dyDescent="0.3"/>
    <row r="637" customFormat="1" x14ac:dyDescent="0.3"/>
    <row r="638" customFormat="1" x14ac:dyDescent="0.3"/>
    <row r="639" customFormat="1" x14ac:dyDescent="0.3"/>
    <row r="640" customFormat="1" x14ac:dyDescent="0.3"/>
    <row r="641" customFormat="1" x14ac:dyDescent="0.3"/>
    <row r="642" customFormat="1" x14ac:dyDescent="0.3"/>
    <row r="643" customFormat="1" x14ac:dyDescent="0.3"/>
    <row r="644" customFormat="1" x14ac:dyDescent="0.3"/>
    <row r="645" customFormat="1" x14ac:dyDescent="0.3"/>
    <row r="646" customFormat="1" x14ac:dyDescent="0.3"/>
    <row r="647" customFormat="1" x14ac:dyDescent="0.3"/>
    <row r="648" customFormat="1" x14ac:dyDescent="0.3"/>
    <row r="649" customFormat="1" x14ac:dyDescent="0.3"/>
    <row r="650" customFormat="1" x14ac:dyDescent="0.3"/>
    <row r="651" customFormat="1" x14ac:dyDescent="0.3"/>
    <row r="652" customFormat="1" x14ac:dyDescent="0.3"/>
    <row r="653" customFormat="1" x14ac:dyDescent="0.3"/>
    <row r="654" customFormat="1" x14ac:dyDescent="0.3"/>
    <row r="655" customFormat="1" x14ac:dyDescent="0.3"/>
    <row r="656" customFormat="1" x14ac:dyDescent="0.3"/>
    <row r="657" customFormat="1" x14ac:dyDescent="0.3"/>
    <row r="658" customFormat="1" x14ac:dyDescent="0.3"/>
    <row r="659" customFormat="1" x14ac:dyDescent="0.3"/>
    <row r="660" customFormat="1" x14ac:dyDescent="0.3"/>
    <row r="661" customFormat="1" x14ac:dyDescent="0.3"/>
    <row r="662" customFormat="1" x14ac:dyDescent="0.3"/>
    <row r="663" customFormat="1" x14ac:dyDescent="0.3"/>
    <row r="664" customFormat="1" x14ac:dyDescent="0.3"/>
    <row r="665" customFormat="1" x14ac:dyDescent="0.3"/>
    <row r="666" customFormat="1" x14ac:dyDescent="0.3"/>
    <row r="667" customFormat="1" x14ac:dyDescent="0.3"/>
    <row r="668" customFormat="1" x14ac:dyDescent="0.3"/>
    <row r="669" customFormat="1" x14ac:dyDescent="0.3"/>
    <row r="670" customFormat="1" x14ac:dyDescent="0.3"/>
    <row r="671" customFormat="1" x14ac:dyDescent="0.3"/>
    <row r="672" customFormat="1" x14ac:dyDescent="0.3"/>
    <row r="673" customFormat="1" x14ac:dyDescent="0.3"/>
    <row r="674" customFormat="1" x14ac:dyDescent="0.3"/>
    <row r="675" customFormat="1" x14ac:dyDescent="0.3"/>
    <row r="676" customFormat="1" x14ac:dyDescent="0.3"/>
    <row r="677" customFormat="1" x14ac:dyDescent="0.3"/>
    <row r="678" customFormat="1" x14ac:dyDescent="0.3"/>
    <row r="679" customFormat="1" x14ac:dyDescent="0.3"/>
    <row r="680" customFormat="1" x14ac:dyDescent="0.3"/>
    <row r="681" customFormat="1" x14ac:dyDescent="0.3"/>
    <row r="682" customFormat="1" x14ac:dyDescent="0.3"/>
    <row r="683" customFormat="1" x14ac:dyDescent="0.3"/>
    <row r="684" customFormat="1" x14ac:dyDescent="0.3"/>
    <row r="685" customFormat="1" x14ac:dyDescent="0.3"/>
    <row r="686" customFormat="1" x14ac:dyDescent="0.3"/>
    <row r="687" customFormat="1" x14ac:dyDescent="0.3"/>
    <row r="688" customFormat="1" x14ac:dyDescent="0.3"/>
    <row r="689" customFormat="1" x14ac:dyDescent="0.3"/>
    <row r="690" customFormat="1" x14ac:dyDescent="0.3"/>
    <row r="691" customFormat="1" x14ac:dyDescent="0.3"/>
    <row r="692" customFormat="1" x14ac:dyDescent="0.3"/>
    <row r="693" customFormat="1" x14ac:dyDescent="0.3"/>
    <row r="694" customFormat="1" x14ac:dyDescent="0.3"/>
    <row r="695" customFormat="1" x14ac:dyDescent="0.3"/>
    <row r="696" customFormat="1" x14ac:dyDescent="0.3"/>
    <row r="697" customFormat="1" x14ac:dyDescent="0.3"/>
    <row r="698" customFormat="1" x14ac:dyDescent="0.3"/>
    <row r="699" customFormat="1" x14ac:dyDescent="0.3"/>
    <row r="700" customFormat="1" x14ac:dyDescent="0.3"/>
    <row r="701" customFormat="1" x14ac:dyDescent="0.3"/>
    <row r="702" customFormat="1" x14ac:dyDescent="0.3"/>
    <row r="703" customFormat="1" x14ac:dyDescent="0.3"/>
    <row r="704" customFormat="1" x14ac:dyDescent="0.3"/>
    <row r="705" customFormat="1" x14ac:dyDescent="0.3"/>
    <row r="706" customFormat="1" x14ac:dyDescent="0.3"/>
    <row r="707" customFormat="1" x14ac:dyDescent="0.3"/>
    <row r="708" customFormat="1" x14ac:dyDescent="0.3"/>
    <row r="709" customFormat="1" x14ac:dyDescent="0.3"/>
    <row r="710" customFormat="1" x14ac:dyDescent="0.3"/>
    <row r="711" customFormat="1" x14ac:dyDescent="0.3"/>
    <row r="712" customFormat="1" x14ac:dyDescent="0.3"/>
    <row r="713" customFormat="1" x14ac:dyDescent="0.3"/>
    <row r="714" customFormat="1" x14ac:dyDescent="0.3"/>
    <row r="715" customFormat="1" x14ac:dyDescent="0.3"/>
    <row r="716" customFormat="1" x14ac:dyDescent="0.3"/>
    <row r="717" customFormat="1" x14ac:dyDescent="0.3"/>
    <row r="718" customFormat="1" x14ac:dyDescent="0.3"/>
    <row r="719" customFormat="1" x14ac:dyDescent="0.3"/>
    <row r="720" customFormat="1" x14ac:dyDescent="0.3"/>
    <row r="721" customFormat="1" x14ac:dyDescent="0.3"/>
    <row r="722" customFormat="1" x14ac:dyDescent="0.3"/>
    <row r="723" customFormat="1" x14ac:dyDescent="0.3"/>
    <row r="724" customFormat="1" x14ac:dyDescent="0.3"/>
    <row r="725" customFormat="1" x14ac:dyDescent="0.3"/>
    <row r="726" customFormat="1" x14ac:dyDescent="0.3"/>
    <row r="727" customFormat="1" x14ac:dyDescent="0.3"/>
    <row r="728" customFormat="1" x14ac:dyDescent="0.3"/>
    <row r="729" customFormat="1" x14ac:dyDescent="0.3"/>
    <row r="730" customFormat="1" x14ac:dyDescent="0.3"/>
    <row r="731" customFormat="1" x14ac:dyDescent="0.3"/>
    <row r="732" customFormat="1" x14ac:dyDescent="0.3"/>
    <row r="733" customFormat="1" x14ac:dyDescent="0.3"/>
    <row r="734" customFormat="1" x14ac:dyDescent="0.3"/>
    <row r="735" customFormat="1" x14ac:dyDescent="0.3"/>
    <row r="736" customFormat="1" x14ac:dyDescent="0.3"/>
    <row r="737" customFormat="1" x14ac:dyDescent="0.3"/>
    <row r="738" customFormat="1" x14ac:dyDescent="0.3"/>
    <row r="739" customFormat="1" x14ac:dyDescent="0.3"/>
    <row r="740" customFormat="1" x14ac:dyDescent="0.3"/>
    <row r="741" customFormat="1" x14ac:dyDescent="0.3"/>
    <row r="742" customFormat="1" x14ac:dyDescent="0.3"/>
    <row r="743" customFormat="1" x14ac:dyDescent="0.3"/>
    <row r="744" customFormat="1" x14ac:dyDescent="0.3"/>
    <row r="745" customFormat="1" x14ac:dyDescent="0.3"/>
    <row r="746" customFormat="1" x14ac:dyDescent="0.3"/>
    <row r="747" customFormat="1" x14ac:dyDescent="0.3"/>
    <row r="748" customFormat="1" x14ac:dyDescent="0.3"/>
    <row r="749" customFormat="1" x14ac:dyDescent="0.3"/>
    <row r="750" customFormat="1" x14ac:dyDescent="0.3"/>
    <row r="751" customFormat="1" x14ac:dyDescent="0.3"/>
    <row r="752" customFormat="1" x14ac:dyDescent="0.3"/>
    <row r="753" customFormat="1" x14ac:dyDescent="0.3"/>
    <row r="754" customFormat="1" x14ac:dyDescent="0.3"/>
    <row r="755" customFormat="1" x14ac:dyDescent="0.3"/>
    <row r="756" customFormat="1" x14ac:dyDescent="0.3"/>
    <row r="757" customFormat="1" x14ac:dyDescent="0.3"/>
    <row r="758" customFormat="1" x14ac:dyDescent="0.3"/>
    <row r="759" customFormat="1" x14ac:dyDescent="0.3"/>
    <row r="760" customFormat="1" x14ac:dyDescent="0.3"/>
    <row r="761" customFormat="1" x14ac:dyDescent="0.3"/>
    <row r="762" customFormat="1" x14ac:dyDescent="0.3"/>
    <row r="763" customFormat="1" x14ac:dyDescent="0.3"/>
    <row r="764" customFormat="1" x14ac:dyDescent="0.3"/>
    <row r="765" customFormat="1" x14ac:dyDescent="0.3"/>
    <row r="766" customFormat="1" x14ac:dyDescent="0.3"/>
    <row r="767" customFormat="1" x14ac:dyDescent="0.3"/>
    <row r="768" customFormat="1" x14ac:dyDescent="0.3"/>
    <row r="769" customFormat="1" x14ac:dyDescent="0.3"/>
    <row r="770" customFormat="1" x14ac:dyDescent="0.3"/>
    <row r="771" customFormat="1" x14ac:dyDescent="0.3"/>
    <row r="772" customFormat="1" x14ac:dyDescent="0.3"/>
    <row r="773" customFormat="1" x14ac:dyDescent="0.3"/>
    <row r="774" customFormat="1" x14ac:dyDescent="0.3"/>
    <row r="775" customFormat="1" x14ac:dyDescent="0.3"/>
    <row r="776" customFormat="1" x14ac:dyDescent="0.3"/>
    <row r="777" customFormat="1" x14ac:dyDescent="0.3"/>
    <row r="778" customFormat="1" x14ac:dyDescent="0.3"/>
    <row r="779" customFormat="1" x14ac:dyDescent="0.3"/>
    <row r="780" customFormat="1" x14ac:dyDescent="0.3"/>
    <row r="781" customFormat="1" x14ac:dyDescent="0.3"/>
    <row r="782" customFormat="1" x14ac:dyDescent="0.3"/>
    <row r="783" customFormat="1" x14ac:dyDescent="0.3"/>
    <row r="784" customFormat="1" x14ac:dyDescent="0.3"/>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customFormat="1" x14ac:dyDescent="0.3"/>
    <row r="914" customFormat="1" x14ac:dyDescent="0.3"/>
    <row r="915" customFormat="1" x14ac:dyDescent="0.3"/>
    <row r="916" customFormat="1" x14ac:dyDescent="0.3"/>
    <row r="917" customFormat="1" x14ac:dyDescent="0.3"/>
    <row r="918" customFormat="1" x14ac:dyDescent="0.3"/>
    <row r="919" customFormat="1" x14ac:dyDescent="0.3"/>
    <row r="920" customFormat="1" x14ac:dyDescent="0.3"/>
    <row r="921" customFormat="1" x14ac:dyDescent="0.3"/>
    <row r="922" customFormat="1" x14ac:dyDescent="0.3"/>
    <row r="923" customFormat="1" x14ac:dyDescent="0.3"/>
    <row r="924" customFormat="1" x14ac:dyDescent="0.3"/>
    <row r="925" customFormat="1" x14ac:dyDescent="0.3"/>
    <row r="926" customFormat="1" x14ac:dyDescent="0.3"/>
    <row r="927" customFormat="1" x14ac:dyDescent="0.3"/>
    <row r="928" customFormat="1" x14ac:dyDescent="0.3"/>
    <row r="929" customFormat="1" x14ac:dyDescent="0.3"/>
    <row r="930" customFormat="1" x14ac:dyDescent="0.3"/>
    <row r="931" customFormat="1" x14ac:dyDescent="0.3"/>
    <row r="932" customFormat="1" x14ac:dyDescent="0.3"/>
    <row r="933" customFormat="1" x14ac:dyDescent="0.3"/>
    <row r="934" customFormat="1" x14ac:dyDescent="0.3"/>
    <row r="935" customFormat="1" x14ac:dyDescent="0.3"/>
    <row r="936" customFormat="1" x14ac:dyDescent="0.3"/>
    <row r="937" customFormat="1" x14ac:dyDescent="0.3"/>
    <row r="938" customFormat="1" x14ac:dyDescent="0.3"/>
    <row r="939" customFormat="1" x14ac:dyDescent="0.3"/>
    <row r="940" customFormat="1" x14ac:dyDescent="0.3"/>
    <row r="941" customFormat="1" x14ac:dyDescent="0.3"/>
    <row r="942" customFormat="1" x14ac:dyDescent="0.3"/>
    <row r="943" customFormat="1" x14ac:dyDescent="0.3"/>
    <row r="944" customFormat="1" x14ac:dyDescent="0.3"/>
    <row r="945" customFormat="1" x14ac:dyDescent="0.3"/>
    <row r="946" customFormat="1" x14ac:dyDescent="0.3"/>
    <row r="947" customFormat="1" x14ac:dyDescent="0.3"/>
    <row r="948" customFormat="1" x14ac:dyDescent="0.3"/>
    <row r="949" customFormat="1" x14ac:dyDescent="0.3"/>
    <row r="950" customFormat="1" x14ac:dyDescent="0.3"/>
    <row r="951" customFormat="1" x14ac:dyDescent="0.3"/>
    <row r="952" customFormat="1" x14ac:dyDescent="0.3"/>
    <row r="953" customFormat="1" x14ac:dyDescent="0.3"/>
    <row r="954" customFormat="1" x14ac:dyDescent="0.3"/>
    <row r="955" customFormat="1" x14ac:dyDescent="0.3"/>
    <row r="956" customFormat="1" x14ac:dyDescent="0.3"/>
    <row r="957" customFormat="1" x14ac:dyDescent="0.3"/>
    <row r="958" customFormat="1" x14ac:dyDescent="0.3"/>
    <row r="959" customFormat="1" x14ac:dyDescent="0.3"/>
    <row r="960" customFormat="1" x14ac:dyDescent="0.3"/>
    <row r="961" customFormat="1" x14ac:dyDescent="0.3"/>
    <row r="962" customFormat="1" x14ac:dyDescent="0.3"/>
    <row r="963" customFormat="1" x14ac:dyDescent="0.3"/>
    <row r="964" customFormat="1" x14ac:dyDescent="0.3"/>
    <row r="965" customFormat="1" x14ac:dyDescent="0.3"/>
    <row r="966" customFormat="1" x14ac:dyDescent="0.3"/>
    <row r="967" customFormat="1" x14ac:dyDescent="0.3"/>
    <row r="968" customFormat="1" x14ac:dyDescent="0.3"/>
    <row r="969" customFormat="1" x14ac:dyDescent="0.3"/>
    <row r="970" customFormat="1" x14ac:dyDescent="0.3"/>
    <row r="971" customFormat="1" x14ac:dyDescent="0.3"/>
    <row r="972" customFormat="1" x14ac:dyDescent="0.3"/>
    <row r="973" customFormat="1" x14ac:dyDescent="0.3"/>
    <row r="974" customFormat="1" x14ac:dyDescent="0.3"/>
    <row r="975" customFormat="1" x14ac:dyDescent="0.3"/>
    <row r="976" customFormat="1" x14ac:dyDescent="0.3"/>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customFormat="1" x14ac:dyDescent="0.3"/>
    <row r="994" customFormat="1" x14ac:dyDescent="0.3"/>
    <row r="995" customFormat="1" x14ac:dyDescent="0.3"/>
    <row r="996" customFormat="1" x14ac:dyDescent="0.3"/>
    <row r="997" customFormat="1" x14ac:dyDescent="0.3"/>
    <row r="998" customFormat="1" x14ac:dyDescent="0.3"/>
    <row r="999" customFormat="1" x14ac:dyDescent="0.3"/>
    <row r="1000" customFormat="1" x14ac:dyDescent="0.3"/>
    <row r="1001" customFormat="1" x14ac:dyDescent="0.3"/>
    <row r="1002" customFormat="1" x14ac:dyDescent="0.3"/>
    <row r="1003" customFormat="1" x14ac:dyDescent="0.3"/>
    <row r="1004" customFormat="1" x14ac:dyDescent="0.3"/>
    <row r="1005" customFormat="1" x14ac:dyDescent="0.3"/>
    <row r="1006" customFormat="1" x14ac:dyDescent="0.3"/>
    <row r="1007" customFormat="1" x14ac:dyDescent="0.3"/>
    <row r="1008" customFormat="1" x14ac:dyDescent="0.3"/>
    <row r="1009" customFormat="1" x14ac:dyDescent="0.3"/>
    <row r="1010" customFormat="1" x14ac:dyDescent="0.3"/>
    <row r="1011" customFormat="1" x14ac:dyDescent="0.3"/>
    <row r="1012" customFormat="1" x14ac:dyDescent="0.3"/>
    <row r="1013" customFormat="1" x14ac:dyDescent="0.3"/>
    <row r="1014" customFormat="1" x14ac:dyDescent="0.3"/>
    <row r="1015" customFormat="1" x14ac:dyDescent="0.3"/>
    <row r="1016" customFormat="1" x14ac:dyDescent="0.3"/>
    <row r="1017" customFormat="1" x14ac:dyDescent="0.3"/>
    <row r="1018" customFormat="1" x14ac:dyDescent="0.3"/>
    <row r="1019" customFormat="1" x14ac:dyDescent="0.3"/>
    <row r="1020" customFormat="1" x14ac:dyDescent="0.3"/>
    <row r="1021" customFormat="1" x14ac:dyDescent="0.3"/>
    <row r="1022" customFormat="1" x14ac:dyDescent="0.3"/>
    <row r="1023" customFormat="1" x14ac:dyDescent="0.3"/>
    <row r="1024" customFormat="1" x14ac:dyDescent="0.3"/>
    <row r="1025" customFormat="1" x14ac:dyDescent="0.3"/>
    <row r="1026" customFormat="1" x14ac:dyDescent="0.3"/>
    <row r="1027" customFormat="1" x14ac:dyDescent="0.3"/>
    <row r="1028" customFormat="1" x14ac:dyDescent="0.3"/>
    <row r="1029" customFormat="1" x14ac:dyDescent="0.3"/>
    <row r="1030" customFormat="1" x14ac:dyDescent="0.3"/>
    <row r="1031" customFormat="1" x14ac:dyDescent="0.3"/>
    <row r="1032" customFormat="1" x14ac:dyDescent="0.3"/>
    <row r="1033" customFormat="1" x14ac:dyDescent="0.3"/>
    <row r="1034" customFormat="1" x14ac:dyDescent="0.3"/>
    <row r="1035" customFormat="1" x14ac:dyDescent="0.3"/>
    <row r="1036" customFormat="1" x14ac:dyDescent="0.3"/>
    <row r="1037" customFormat="1" x14ac:dyDescent="0.3"/>
    <row r="1038" customFormat="1" x14ac:dyDescent="0.3"/>
    <row r="1039" customFormat="1" x14ac:dyDescent="0.3"/>
    <row r="1040" customFormat="1" x14ac:dyDescent="0.3"/>
    <row r="1041" customFormat="1" x14ac:dyDescent="0.3"/>
    <row r="1042" customFormat="1" x14ac:dyDescent="0.3"/>
    <row r="1043" customFormat="1" x14ac:dyDescent="0.3"/>
    <row r="1044" customFormat="1" x14ac:dyDescent="0.3"/>
    <row r="1045" customFormat="1" x14ac:dyDescent="0.3"/>
    <row r="1046" customFormat="1" x14ac:dyDescent="0.3"/>
    <row r="1047" customFormat="1" x14ac:dyDescent="0.3"/>
    <row r="1048" customFormat="1" x14ac:dyDescent="0.3"/>
    <row r="1049" customFormat="1" x14ac:dyDescent="0.3"/>
    <row r="1050" customFormat="1" x14ac:dyDescent="0.3"/>
    <row r="1051" customFormat="1" x14ac:dyDescent="0.3"/>
    <row r="1052" customFormat="1" x14ac:dyDescent="0.3"/>
    <row r="1053" customFormat="1" x14ac:dyDescent="0.3"/>
    <row r="1054" customFormat="1" x14ac:dyDescent="0.3"/>
    <row r="1055" customFormat="1" x14ac:dyDescent="0.3"/>
    <row r="1056" customFormat="1" x14ac:dyDescent="0.3"/>
    <row r="1057" customFormat="1" x14ac:dyDescent="0.3"/>
    <row r="1058" customFormat="1" x14ac:dyDescent="0.3"/>
    <row r="1059" customFormat="1" x14ac:dyDescent="0.3"/>
    <row r="1060" customFormat="1" x14ac:dyDescent="0.3"/>
    <row r="1061" customFormat="1" x14ac:dyDescent="0.3"/>
    <row r="1062" customFormat="1" x14ac:dyDescent="0.3"/>
    <row r="1063" customFormat="1" x14ac:dyDescent="0.3"/>
    <row r="1064" customFormat="1" x14ac:dyDescent="0.3"/>
    <row r="1065" customFormat="1" x14ac:dyDescent="0.3"/>
    <row r="1066" customFormat="1" x14ac:dyDescent="0.3"/>
    <row r="1067" customFormat="1" x14ac:dyDescent="0.3"/>
    <row r="1068" customFormat="1" x14ac:dyDescent="0.3"/>
    <row r="1069" customFormat="1" x14ac:dyDescent="0.3"/>
    <row r="1070" customFormat="1" x14ac:dyDescent="0.3"/>
    <row r="1071" customFormat="1" x14ac:dyDescent="0.3"/>
    <row r="1072" customFormat="1" x14ac:dyDescent="0.3"/>
    <row r="1073" customFormat="1" x14ac:dyDescent="0.3"/>
    <row r="1074" customFormat="1" x14ac:dyDescent="0.3"/>
    <row r="1075" customFormat="1" x14ac:dyDescent="0.3"/>
    <row r="1076" customFormat="1" x14ac:dyDescent="0.3"/>
    <row r="1077" customFormat="1" x14ac:dyDescent="0.3"/>
    <row r="1078" customFormat="1" x14ac:dyDescent="0.3"/>
    <row r="1079" customFormat="1" x14ac:dyDescent="0.3"/>
    <row r="1080" customFormat="1" x14ac:dyDescent="0.3"/>
    <row r="1081" customFormat="1" x14ac:dyDescent="0.3"/>
    <row r="1082" customFormat="1" x14ac:dyDescent="0.3"/>
    <row r="1083" customFormat="1" x14ac:dyDescent="0.3"/>
    <row r="1084" customFormat="1" x14ac:dyDescent="0.3"/>
    <row r="1085" customFormat="1" x14ac:dyDescent="0.3"/>
    <row r="1086" customFormat="1" x14ac:dyDescent="0.3"/>
    <row r="1087" customFormat="1" x14ac:dyDescent="0.3"/>
    <row r="1088" customFormat="1" x14ac:dyDescent="0.3"/>
    <row r="1089" customFormat="1" x14ac:dyDescent="0.3"/>
  </sheetData>
  <conditionalFormatting pivot="1" sqref="C3 C2 C4 C5 C6 C7 C8 C9 C10 C11 C12 C13 C14 C15 C16 C17 C18 C19 C20 C21 C22 C23 C24 C25 C26 C27 C28 C29 C30 C31 C32 C33 C34 C35 C36 C37 C38 C39 C40 C41 C42 C43 C44 C45 C46 C47 C48 C49 C50 C51 C52 C53 C54 C55 C56 C57 C58 C59 C60 C61 C62 C63 C64 C65 C66 C67 C68 C69 C70 C71 C72 C73 C74 C75 C76 C77 C78 C79 C80 C81 C82 C83 C84 C85 C86 C87 C88 C89 C90 C91 C92 C93 C94 C95 C96 C97 C98 C99 C100 C101 C102 C103 C104:C107 C108 C109 C110 C111 C112">
    <cfRule type="dataBar" priority="2">
      <dataBar>
        <cfvo type="min"/>
        <cfvo type="max"/>
        <color rgb="FFFF7C80"/>
      </dataBar>
      <extLst>
        <ext xmlns:x14="http://schemas.microsoft.com/office/spreadsheetml/2009/9/main" uri="{B025F937-C7B1-47D3-B67F-A62EFF666E3E}">
          <x14:id>{C8B324A3-F782-4E11-AE9C-D4C770BF4091}</x14:id>
        </ext>
      </extLst>
    </cfRule>
  </conditionalFormatting>
  <conditionalFormatting pivot="1" sqref="B2 B3 B4 B5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B107 B108 B109 B110 B111 B112">
    <cfRule type="dataBar" priority="1">
      <dataBar>
        <cfvo type="min"/>
        <cfvo type="max"/>
        <color rgb="FFFF7C80"/>
      </dataBar>
      <extLst>
        <ext xmlns:x14="http://schemas.microsoft.com/office/spreadsheetml/2009/9/main" uri="{B025F937-C7B1-47D3-B67F-A62EFF666E3E}">
          <x14:id>{6FDC8A27-1D79-4ADC-A942-2B69209EA3E5}</x14:id>
        </ext>
      </extLst>
    </cfRule>
  </conditionalFormatting>
  <conditionalFormatting pivot="1" sqref="D3 D2 D4 D5 D6 D7 D8 D9 D10 D11 D12 D13 D14 D15 D16 D17 D18 D19 D20 D21 D22 D23 D24 D25 D26 D27 D28 D29 D30 D31 D32 D33 D34 D35 D36 D37 D38 D39 D40 D41 D42 D43 D44 D45 D46 D47 D48 D49 D50 D51 D52 D53 D54 D55 D56 D57 D58 D59 D60 D61 D62 D63 D64 D65 D66 D67 D68 D69 D70 D71 D72 D73 D74 D75 D76 D77 D78 D79 D80 D81 D82 D83 D84 D85 D86 D87 D88 D89 D90 D91 D92 D93 D94 D95 D96 D97 D98 D99 D100 D101 D102 D103 D104:D107 D108 D109 D110 D111 D112">
    <cfRule type="dataBar" priority="3">
      <dataBar>
        <cfvo type="min"/>
        <cfvo type="max"/>
        <color rgb="FFFF7C80"/>
      </dataBar>
      <extLst>
        <ext xmlns:x14="http://schemas.microsoft.com/office/spreadsheetml/2009/9/main" uri="{B025F937-C7B1-47D3-B67F-A62EFF666E3E}">
          <x14:id>{A0F3B6C5-ECBF-4933-8841-45B3418B17AE}</x14:id>
        </ext>
      </extLst>
    </cfRule>
  </conditionalFormatting>
  <conditionalFormatting pivot="1" sqref="E3 E2 E4 E5 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E107 E108 E109 E110 E111 E112">
    <cfRule type="dataBar" priority="4">
      <dataBar>
        <cfvo type="min"/>
        <cfvo type="max"/>
        <color rgb="FFFF7C80"/>
      </dataBar>
      <extLst>
        <ext xmlns:x14="http://schemas.microsoft.com/office/spreadsheetml/2009/9/main" uri="{B025F937-C7B1-47D3-B67F-A62EFF666E3E}">
          <x14:id>{B632625D-2689-4ADB-9672-F00DB44BBCA2}</x14:id>
        </ext>
      </extLst>
    </cfRule>
  </conditionalFormatting>
  <conditionalFormatting pivot="1" sqref="F3 F2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F107 F108 F109 F110 F111 F112">
    <cfRule type="dataBar" priority="5">
      <dataBar>
        <cfvo type="min"/>
        <cfvo type="max"/>
        <color rgb="FFFF7C80"/>
      </dataBar>
      <extLst>
        <ext xmlns:x14="http://schemas.microsoft.com/office/spreadsheetml/2009/9/main" uri="{B025F937-C7B1-47D3-B67F-A62EFF666E3E}">
          <x14:id>{058189A0-8012-4BB0-9219-6A73C34E6239}</x14:id>
        </ext>
      </extLst>
    </cfRule>
  </conditionalFormatting>
  <conditionalFormatting pivot="1" sqref="G3 G2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G107 G108 G109 G110 G111 G112">
    <cfRule type="dataBar" priority="6">
      <dataBar>
        <cfvo type="min"/>
        <cfvo type="max"/>
        <color rgb="FFFF7C80"/>
      </dataBar>
      <extLst>
        <ext xmlns:x14="http://schemas.microsoft.com/office/spreadsheetml/2009/9/main" uri="{B025F937-C7B1-47D3-B67F-A62EFF666E3E}">
          <x14:id>{A138F097-337D-4557-8D7C-CD3F2DF40EAF}</x14:id>
        </ext>
      </extLst>
    </cfRule>
  </conditionalFormatting>
  <conditionalFormatting pivot="1" sqref="K3 K2 K4 K5 K6 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K107 K108 K109 K110 K111 K112">
    <cfRule type="dataBar" priority="18">
      <dataBar>
        <cfvo type="min"/>
        <cfvo type="max"/>
        <color rgb="FFFF7C80"/>
      </dataBar>
      <extLst>
        <ext xmlns:x14="http://schemas.microsoft.com/office/spreadsheetml/2009/9/main" uri="{B025F937-C7B1-47D3-B67F-A62EFF666E3E}">
          <x14:id>{1C0A2D43-3BB5-415A-80A3-BF2922449870}</x14:id>
        </ext>
      </extLst>
    </cfRule>
  </conditionalFormatting>
  <conditionalFormatting pivot="1" sqref="J3 J2 J4 J5 J6 J7 J8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J107 J108 J109 J110 J111 J112">
    <cfRule type="dataBar" priority="9">
      <dataBar>
        <cfvo type="min"/>
        <cfvo type="max"/>
        <color rgb="FFFF7C80"/>
      </dataBar>
      <extLst>
        <ext xmlns:x14="http://schemas.microsoft.com/office/spreadsheetml/2009/9/main" uri="{B025F937-C7B1-47D3-B67F-A62EFF666E3E}">
          <x14:id>{C65FB8F2-62F6-422B-BA9C-CE38F519D879}</x14:id>
        </ext>
      </extLst>
    </cfRule>
  </conditionalFormatting>
  <conditionalFormatting pivot="1" sqref="I3 I2 I4 I5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I107 I108 I109 I110 I111 I112">
    <cfRule type="dataBar" priority="8">
      <dataBar>
        <cfvo type="min"/>
        <cfvo type="max"/>
        <color rgb="FFFF7C80"/>
      </dataBar>
      <extLst>
        <ext xmlns:x14="http://schemas.microsoft.com/office/spreadsheetml/2009/9/main" uri="{B025F937-C7B1-47D3-B67F-A62EFF666E3E}">
          <x14:id>{C42A65F2-2D37-450B-A07B-4DCEB6BA2BA7}</x14:id>
        </ext>
      </extLst>
    </cfRule>
  </conditionalFormatting>
  <conditionalFormatting pivot="1" sqref="H3 H2 H4 H5 H6 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H107 H108 H109 H110 H111 H112">
    <cfRule type="dataBar" priority="7">
      <dataBar>
        <cfvo type="min"/>
        <cfvo type="max"/>
        <color rgb="FFFF7C80"/>
      </dataBar>
      <extLst>
        <ext xmlns:x14="http://schemas.microsoft.com/office/spreadsheetml/2009/9/main" uri="{B025F937-C7B1-47D3-B67F-A62EFF666E3E}">
          <x14:id>{EE43D28C-258C-4F20-A7FE-4C63522B0C91}</x14:id>
        </ext>
      </extLst>
    </cfRule>
  </conditionalFormatting>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pivot="1">
          <x14:cfRule type="dataBar" id="{C8B324A3-F782-4E11-AE9C-D4C770BF4091}">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C3 C2 C4 C5 C6 C7 C8 C9 C10 C11 C12 C13 C14 C15 C16 C17 C18 C19 C20 C21 C22 C23 C24 C25 C26 C27 C28 C29 C30 C31 C32 C33 C34 C35 C36 C37 C38 C39 C40 C41 C42 C43 C44 C45 C46 C47 C48 C49 C50 C51 C52 C53 C54 C55 C56 C57 C58 C59 C60 C61 C62 C63 C64 C65 C66 C67 C68 C69 C70 C71 C72 C73 C74 C75 C76 C77 C78 C79 C80 C81 C82 C83 C84 C85 C86 C87 C88 C89 C90 C91 C92 C93 C94 C95 C96 C97 C98 C99 C100 C101 C102 C103 C104:C107 C108 C109 C110 C111 C112</xm:sqref>
        </x14:conditionalFormatting>
        <x14:conditionalFormatting xmlns:xm="http://schemas.microsoft.com/office/excel/2006/main" pivot="1">
          <x14:cfRule type="dataBar" id="{6FDC8A27-1D79-4ADC-A942-2B69209EA3E5}">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B2 B3 B4 B5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B104:B107 B108 B109 B110 B111 B112</xm:sqref>
        </x14:conditionalFormatting>
        <x14:conditionalFormatting xmlns:xm="http://schemas.microsoft.com/office/excel/2006/main" pivot="1">
          <x14:cfRule type="dataBar" id="{A0F3B6C5-ECBF-4933-8841-45B3418B17AE}">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D3 D2 D4 D5 D6 D7 D8 D9 D10 D11 D12 D13 D14 D15 D16 D17 D18 D19 D20 D21 D22 D23 D24 D25 D26 D27 D28 D29 D30 D31 D32 D33 D34 D35 D36 D37 D38 D39 D40 D41 D42 D43 D44 D45 D46 D47 D48 D49 D50 D51 D52 D53 D54 D55 D56 D57 D58 D59 D60 D61 D62 D63 D64 D65 D66 D67 D68 D69 D70 D71 D72 D73 D74 D75 D76 D77 D78 D79 D80 D81 D82 D83 D84 D85 D86 D87 D88 D89 D90 D91 D92 D93 D94 D95 D96 D97 D98 D99 D100 D101 D102 D103 D104:D107 D108 D109 D110 D111 D112</xm:sqref>
        </x14:conditionalFormatting>
        <x14:conditionalFormatting xmlns:xm="http://schemas.microsoft.com/office/excel/2006/main" pivot="1">
          <x14:cfRule type="dataBar" id="{B632625D-2689-4ADB-9672-F00DB44BBCA2}">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E3 E2 E4 E5 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E104:E107 E108 E109 E110 E111 E112</xm:sqref>
        </x14:conditionalFormatting>
        <x14:conditionalFormatting xmlns:xm="http://schemas.microsoft.com/office/excel/2006/main" pivot="1">
          <x14:cfRule type="dataBar" id="{058189A0-8012-4BB0-9219-6A73C34E6239}">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F3 F2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F104:F107 F108 F109 F110 F111 F112</xm:sqref>
        </x14:conditionalFormatting>
        <x14:conditionalFormatting xmlns:xm="http://schemas.microsoft.com/office/excel/2006/main" pivot="1">
          <x14:cfRule type="dataBar" id="{A138F097-337D-4557-8D7C-CD3F2DF40EAF}">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G3 G2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G104:G107 G108 G109 G110 G111 G112</xm:sqref>
        </x14:conditionalFormatting>
        <x14:conditionalFormatting xmlns:xm="http://schemas.microsoft.com/office/excel/2006/main" pivot="1">
          <x14:cfRule type="dataBar" id="{1C0A2D43-3BB5-415A-80A3-BF2922449870}">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K3 K2 K4 K5 K6 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K104:K107 K108 K109 K110 K111 K112</xm:sqref>
        </x14:conditionalFormatting>
        <x14:conditionalFormatting xmlns:xm="http://schemas.microsoft.com/office/excel/2006/main" pivot="1">
          <x14:cfRule type="dataBar" id="{C65FB8F2-62F6-422B-BA9C-CE38F519D879}">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J3 J2 J4 J5 J6 J7 J8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J104:J107 J108 J109 J110 J111 J112</xm:sqref>
        </x14:conditionalFormatting>
        <x14:conditionalFormatting xmlns:xm="http://schemas.microsoft.com/office/excel/2006/main" pivot="1">
          <x14:cfRule type="dataBar" id="{C42A65F2-2D37-450B-A07B-4DCEB6BA2BA7}">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I3 I2 I4 I5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I104:I107 I108 I109 I110 I111 I112</xm:sqref>
        </x14:conditionalFormatting>
        <x14:conditionalFormatting xmlns:xm="http://schemas.microsoft.com/office/excel/2006/main" pivot="1">
          <x14:cfRule type="dataBar" id="{EE43D28C-258C-4F20-A7FE-4C63522B0C91}">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H3 H2 H4 H5 H6 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H104:H107 H108 H109 H110 H111 H112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26DA2-AEAE-48E7-9C19-E26EA8645068}">
  <sheetPr codeName="Sheet4">
    <tabColor theme="4" tint="0.39997558519241921"/>
  </sheetPr>
  <dimension ref="A1:S54"/>
  <sheetViews>
    <sheetView zoomScaleNormal="100" workbookViewId="0">
      <selection activeCell="K3" sqref="K3"/>
    </sheetView>
  </sheetViews>
  <sheetFormatPr defaultColWidth="9.109375" defaultRowHeight="13.8" x14ac:dyDescent="0.25"/>
  <cols>
    <col min="1" max="1" width="9.5546875" style="3" bestFit="1" customWidth="1"/>
    <col min="2" max="2" width="20.33203125" style="10" customWidth="1"/>
    <col min="3" max="3" width="18.33203125" style="3" bestFit="1" customWidth="1"/>
    <col min="4" max="4" width="11" style="3" customWidth="1"/>
    <col min="5" max="5" width="11.44140625" style="3" customWidth="1"/>
    <col min="6" max="6" width="11" style="3" customWidth="1"/>
    <col min="7" max="7" width="11.44140625" style="3" customWidth="1"/>
    <col min="8" max="8" width="11" style="3" customWidth="1"/>
    <col min="9" max="9" width="11.44140625" style="3" customWidth="1"/>
    <col min="10" max="10" width="11" style="3" customWidth="1"/>
    <col min="11" max="11" width="0.5546875" style="3" customWidth="1"/>
    <col min="12" max="12" width="14.6640625" style="3" bestFit="1" customWidth="1"/>
    <col min="13" max="13" width="12.5546875" style="3" bestFit="1" customWidth="1"/>
    <col min="14" max="14" width="14.6640625" style="3" customWidth="1"/>
    <col min="15" max="15" width="11.109375" style="3" bestFit="1" customWidth="1"/>
    <col min="16" max="16" width="10.44140625" style="3" bestFit="1" customWidth="1"/>
    <col min="17" max="17" width="14.5546875" style="3" customWidth="1"/>
    <col min="18" max="16384" width="9.109375" style="3"/>
  </cols>
  <sheetData>
    <row r="1" spans="1:17" ht="75" customHeight="1" x14ac:dyDescent="0.25">
      <c r="A1" s="170" t="s">
        <v>63</v>
      </c>
      <c r="B1" s="170"/>
      <c r="C1" s="170"/>
      <c r="D1" s="170"/>
      <c r="E1" s="170"/>
      <c r="F1" s="170"/>
      <c r="G1" s="170"/>
      <c r="H1" s="170"/>
      <c r="I1" s="170"/>
      <c r="J1" s="170"/>
      <c r="K1" s="170"/>
      <c r="L1" s="170"/>
      <c r="M1" s="170"/>
      <c r="N1" s="170"/>
      <c r="O1" s="170"/>
      <c r="P1" s="170"/>
      <c r="Q1" s="170"/>
    </row>
    <row r="2" spans="1:17" ht="6" customHeight="1" x14ac:dyDescent="0.25">
      <c r="A2" s="4"/>
      <c r="B2" s="5"/>
      <c r="C2" s="4"/>
      <c r="D2" s="4"/>
      <c r="E2" s="4"/>
      <c r="F2" s="4"/>
      <c r="G2" s="4"/>
      <c r="H2" s="4"/>
      <c r="I2" s="4"/>
      <c r="J2" s="4"/>
      <c r="K2" s="4"/>
      <c r="L2" s="4"/>
      <c r="O2" s="4"/>
    </row>
    <row r="3" spans="1:17" s="10" customFormat="1" ht="52.8" x14ac:dyDescent="0.25">
      <c r="A3" s="6"/>
      <c r="B3" s="7" t="s">
        <v>0</v>
      </c>
      <c r="C3" s="7" t="s">
        <v>1</v>
      </c>
      <c r="D3" s="7" t="s">
        <v>3</v>
      </c>
      <c r="E3" s="7" t="s">
        <v>2</v>
      </c>
      <c r="F3" s="7" t="s">
        <v>4</v>
      </c>
      <c r="G3" s="7" t="s">
        <v>5</v>
      </c>
      <c r="H3" s="7" t="s">
        <v>6</v>
      </c>
      <c r="I3" s="7" t="s">
        <v>7</v>
      </c>
      <c r="J3" s="7" t="s">
        <v>8</v>
      </c>
      <c r="K3" s="8"/>
      <c r="L3" s="7" t="s">
        <v>64</v>
      </c>
      <c r="M3" s="7" t="s">
        <v>594</v>
      </c>
      <c r="N3" s="7" t="s">
        <v>595</v>
      </c>
      <c r="O3" s="7" t="s">
        <v>9</v>
      </c>
      <c r="P3" s="9" t="s">
        <v>67</v>
      </c>
      <c r="Q3" s="7" t="s">
        <v>68</v>
      </c>
    </row>
    <row r="4" spans="1:17" ht="6" customHeight="1" x14ac:dyDescent="0.25">
      <c r="K4" s="11"/>
    </row>
    <row r="5" spans="1:17" x14ac:dyDescent="0.25">
      <c r="A5" s="171" t="s">
        <v>69</v>
      </c>
      <c r="B5" s="171"/>
      <c r="C5" s="171"/>
      <c r="D5" s="13"/>
      <c r="E5" s="13"/>
      <c r="F5" s="13"/>
      <c r="G5" s="13"/>
      <c r="K5" s="11"/>
    </row>
    <row r="6" spans="1:17" x14ac:dyDescent="0.25">
      <c r="A6" s="172" t="s">
        <v>70</v>
      </c>
      <c r="B6" s="172"/>
      <c r="C6" s="172"/>
      <c r="D6" s="13"/>
      <c r="E6" s="13"/>
      <c r="F6" s="13"/>
      <c r="G6" s="13"/>
      <c r="K6" s="11"/>
    </row>
    <row r="7" spans="1:17" x14ac:dyDescent="0.25">
      <c r="A7" s="173" t="s">
        <v>71</v>
      </c>
      <c r="B7" s="173"/>
      <c r="C7" s="173"/>
      <c r="D7" s="13"/>
      <c r="E7" s="13"/>
      <c r="F7" s="13"/>
      <c r="G7" s="13"/>
      <c r="K7" s="11"/>
    </row>
    <row r="8" spans="1:17" x14ac:dyDescent="0.25">
      <c r="A8" s="174" t="s">
        <v>72</v>
      </c>
      <c r="B8" s="174"/>
      <c r="C8" s="174"/>
      <c r="D8" s="13"/>
      <c r="E8" s="13"/>
      <c r="F8" s="13"/>
      <c r="G8" s="13"/>
      <c r="K8" s="11"/>
    </row>
    <row r="9" spans="1:17" x14ac:dyDescent="0.25">
      <c r="A9" s="175" t="s">
        <v>11</v>
      </c>
      <c r="B9" s="175"/>
      <c r="C9" s="175"/>
      <c r="D9" s="13"/>
      <c r="E9" s="13"/>
      <c r="F9" s="13"/>
      <c r="G9" s="13"/>
      <c r="K9" s="11"/>
    </row>
    <row r="10" spans="1:17" x14ac:dyDescent="0.25">
      <c r="A10" s="18" t="s">
        <v>73</v>
      </c>
      <c r="B10" s="19" t="s">
        <v>12</v>
      </c>
      <c r="C10" s="20" t="s">
        <v>13</v>
      </c>
      <c r="D10" s="21">
        <v>10500</v>
      </c>
      <c r="E10" s="22">
        <v>10500</v>
      </c>
      <c r="F10" s="21">
        <v>10500</v>
      </c>
      <c r="G10" s="21">
        <v>10500</v>
      </c>
      <c r="H10" s="21">
        <v>10500</v>
      </c>
      <c r="I10" s="21">
        <v>10500</v>
      </c>
      <c r="J10" s="21">
        <v>10500</v>
      </c>
      <c r="K10" s="23"/>
      <c r="L10" s="21">
        <v>10500</v>
      </c>
      <c r="M10" s="21">
        <v>10500</v>
      </c>
      <c r="N10" s="21">
        <v>10500</v>
      </c>
      <c r="O10" s="21">
        <v>10500</v>
      </c>
      <c r="P10" s="21">
        <f>+N10-J10</f>
        <v>0</v>
      </c>
      <c r="Q10" s="21">
        <f>+N10-O10</f>
        <v>0</v>
      </c>
    </row>
    <row r="11" spans="1:17" x14ac:dyDescent="0.25">
      <c r="A11" s="176" t="s">
        <v>74</v>
      </c>
      <c r="B11" s="176"/>
      <c r="C11" s="176"/>
      <c r="D11" s="24">
        <f t="shared" ref="D11" si="0">SUM(D10:D10)</f>
        <v>10500</v>
      </c>
      <c r="E11" s="25">
        <v>10500</v>
      </c>
      <c r="F11" s="24">
        <f t="shared" ref="F11" si="1">SUM(F10:F10)</f>
        <v>10500</v>
      </c>
      <c r="G11" s="24">
        <f>SUM(G10:G10)</f>
        <v>10500</v>
      </c>
      <c r="H11" s="24">
        <f>SUM(H10:H10)</f>
        <v>10500</v>
      </c>
      <c r="I11" s="24">
        <f t="shared" ref="I11:J11" si="2">SUM(I10:I10)</f>
        <v>10500</v>
      </c>
      <c r="J11" s="24">
        <f t="shared" si="2"/>
        <v>10500</v>
      </c>
      <c r="K11" s="26"/>
      <c r="L11" s="24">
        <f t="shared" ref="L11:Q11" si="3">SUM(L10:L10)</f>
        <v>10500</v>
      </c>
      <c r="M11" s="24">
        <f t="shared" si="3"/>
        <v>10500</v>
      </c>
      <c r="N11" s="24">
        <f t="shared" si="3"/>
        <v>10500</v>
      </c>
      <c r="O11" s="24">
        <f t="shared" si="3"/>
        <v>10500</v>
      </c>
      <c r="P11" s="24">
        <f t="shared" si="3"/>
        <v>0</v>
      </c>
      <c r="Q11" s="24">
        <f t="shared" si="3"/>
        <v>0</v>
      </c>
    </row>
    <row r="12" spans="1:17" x14ac:dyDescent="0.25">
      <c r="A12" s="175" t="s">
        <v>14</v>
      </c>
      <c r="B12" s="175"/>
      <c r="C12" s="175"/>
      <c r="D12" s="27"/>
      <c r="E12" s="28"/>
      <c r="F12" s="27"/>
      <c r="G12" s="27"/>
      <c r="H12" s="27"/>
      <c r="I12" s="27"/>
      <c r="J12" s="27"/>
      <c r="K12" s="29"/>
      <c r="L12" s="27"/>
      <c r="M12" s="27"/>
      <c r="N12" s="27"/>
      <c r="O12" s="27"/>
      <c r="P12" s="30"/>
      <c r="Q12" s="30"/>
    </row>
    <row r="13" spans="1:17" x14ac:dyDescent="0.25">
      <c r="A13" s="18" t="s">
        <v>73</v>
      </c>
      <c r="B13" s="19" t="s">
        <v>15</v>
      </c>
      <c r="C13" s="20" t="s">
        <v>16</v>
      </c>
      <c r="D13" s="21">
        <v>651</v>
      </c>
      <c r="E13" s="21">
        <v>651</v>
      </c>
      <c r="F13" s="21">
        <v>651</v>
      </c>
      <c r="G13" s="21">
        <v>651</v>
      </c>
      <c r="H13" s="21">
        <v>651</v>
      </c>
      <c r="I13" s="21">
        <v>651</v>
      </c>
      <c r="J13" s="21">
        <v>651</v>
      </c>
      <c r="K13" s="23"/>
      <c r="L13" s="21">
        <v>651</v>
      </c>
      <c r="M13" s="21">
        <v>651</v>
      </c>
      <c r="N13" s="21">
        <v>651</v>
      </c>
      <c r="O13" s="21">
        <v>651</v>
      </c>
      <c r="P13" s="21">
        <f>+N13-J13</f>
        <v>0</v>
      </c>
      <c r="Q13" s="21">
        <f>+N13-O13</f>
        <v>0</v>
      </c>
    </row>
    <row r="14" spans="1:17" x14ac:dyDescent="0.25">
      <c r="A14" s="18" t="s">
        <v>73</v>
      </c>
      <c r="B14" s="19" t="s">
        <v>17</v>
      </c>
      <c r="C14" s="20" t="s">
        <v>18</v>
      </c>
      <c r="D14" s="21">
        <v>153</v>
      </c>
      <c r="E14" s="21">
        <v>152.25</v>
      </c>
      <c r="F14" s="21">
        <v>153</v>
      </c>
      <c r="G14" s="21">
        <v>152.25</v>
      </c>
      <c r="H14" s="21">
        <v>153</v>
      </c>
      <c r="I14" s="21">
        <v>152.25</v>
      </c>
      <c r="J14" s="21">
        <v>153</v>
      </c>
      <c r="K14" s="23"/>
      <c r="L14" s="21">
        <v>153</v>
      </c>
      <c r="M14" s="21">
        <v>153</v>
      </c>
      <c r="N14" s="21">
        <v>153</v>
      </c>
      <c r="O14" s="21">
        <v>153</v>
      </c>
      <c r="P14" s="21">
        <f>+N14-J14</f>
        <v>0</v>
      </c>
      <c r="Q14" s="21">
        <f>+N14-O14</f>
        <v>0</v>
      </c>
    </row>
    <row r="15" spans="1:17" s="4" customFormat="1" x14ac:dyDescent="0.25">
      <c r="A15" s="31" t="s">
        <v>73</v>
      </c>
      <c r="B15" s="32" t="s">
        <v>19</v>
      </c>
      <c r="C15" s="33" t="s">
        <v>20</v>
      </c>
      <c r="D15" s="34">
        <v>21</v>
      </c>
      <c r="E15" s="35">
        <v>18.77</v>
      </c>
      <c r="F15" s="34">
        <v>22</v>
      </c>
      <c r="G15" s="34">
        <v>22.22</v>
      </c>
      <c r="H15" s="34">
        <v>25</v>
      </c>
      <c r="I15" s="34">
        <v>24.9</v>
      </c>
      <c r="J15" s="34">
        <v>29</v>
      </c>
      <c r="K15" s="23"/>
      <c r="L15" s="34">
        <v>29</v>
      </c>
      <c r="M15" s="34">
        <v>29</v>
      </c>
      <c r="N15" s="34">
        <v>29</v>
      </c>
      <c r="O15" s="34">
        <v>29</v>
      </c>
      <c r="P15" s="34">
        <f>+N15-J15</f>
        <v>0</v>
      </c>
      <c r="Q15" s="34">
        <f>+N15-O15</f>
        <v>0</v>
      </c>
    </row>
    <row r="16" spans="1:17" x14ac:dyDescent="0.25">
      <c r="A16" s="176" t="s">
        <v>75</v>
      </c>
      <c r="B16" s="176"/>
      <c r="C16" s="176"/>
      <c r="D16" s="24">
        <f t="shared" ref="D16" si="4">SUM(D13:D15)</f>
        <v>825</v>
      </c>
      <c r="E16" s="25">
        <v>818.33</v>
      </c>
      <c r="F16" s="24">
        <f t="shared" ref="F16" si="5">SUM(F13:F15)</f>
        <v>826</v>
      </c>
      <c r="G16" s="24">
        <f>SUM(G13:G15)</f>
        <v>825.47</v>
      </c>
      <c r="H16" s="24">
        <f>SUM(H13:H15)</f>
        <v>829</v>
      </c>
      <c r="I16" s="24">
        <f t="shared" ref="I16:J16" si="6">SUM(I13:I15)</f>
        <v>828.15</v>
      </c>
      <c r="J16" s="24">
        <f t="shared" si="6"/>
        <v>833</v>
      </c>
      <c r="K16" s="26"/>
      <c r="L16" s="24">
        <f t="shared" ref="L16:Q16" si="7">SUM(L13:L15)</f>
        <v>833</v>
      </c>
      <c r="M16" s="24">
        <f t="shared" si="7"/>
        <v>833</v>
      </c>
      <c r="N16" s="24">
        <f t="shared" si="7"/>
        <v>833</v>
      </c>
      <c r="O16" s="24">
        <f t="shared" si="7"/>
        <v>833</v>
      </c>
      <c r="P16" s="24">
        <f t="shared" si="7"/>
        <v>0</v>
      </c>
      <c r="Q16" s="24">
        <f t="shared" si="7"/>
        <v>0</v>
      </c>
    </row>
    <row r="17" spans="1:19" x14ac:dyDescent="0.25">
      <c r="A17" s="175" t="s">
        <v>21</v>
      </c>
      <c r="B17" s="175"/>
      <c r="C17" s="175"/>
      <c r="D17" s="27"/>
      <c r="E17" s="28"/>
      <c r="F17" s="27"/>
      <c r="G17" s="27"/>
      <c r="H17" s="27"/>
      <c r="I17" s="27"/>
      <c r="J17" s="27"/>
      <c r="K17" s="29"/>
      <c r="L17" s="27"/>
      <c r="M17" s="27"/>
      <c r="N17" s="27"/>
      <c r="O17" s="27"/>
      <c r="P17" s="30"/>
      <c r="Q17" s="30"/>
    </row>
    <row r="18" spans="1:19" s="36" customFormat="1" x14ac:dyDescent="0.25">
      <c r="A18" s="31" t="s">
        <v>73</v>
      </c>
      <c r="B18" s="32" t="s">
        <v>22</v>
      </c>
      <c r="C18" s="33" t="s">
        <v>23</v>
      </c>
      <c r="D18" s="34">
        <v>0</v>
      </c>
      <c r="E18" s="34">
        <v>0</v>
      </c>
      <c r="F18" s="34">
        <v>0</v>
      </c>
      <c r="G18" s="34">
        <v>0</v>
      </c>
      <c r="H18" s="34">
        <v>0</v>
      </c>
      <c r="I18" s="34">
        <v>0</v>
      </c>
      <c r="J18" s="34">
        <v>0</v>
      </c>
      <c r="K18" s="29"/>
      <c r="L18" s="34">
        <v>3840</v>
      </c>
      <c r="M18" s="34">
        <v>3840</v>
      </c>
      <c r="N18" s="34">
        <v>3840</v>
      </c>
      <c r="O18" s="34">
        <v>0</v>
      </c>
      <c r="P18" s="34">
        <f>+N18-J18</f>
        <v>3840</v>
      </c>
      <c r="Q18" s="34">
        <f>+N18-O18</f>
        <v>3840</v>
      </c>
      <c r="R18" s="4"/>
      <c r="S18" s="4"/>
    </row>
    <row r="19" spans="1:19" s="36" customFormat="1" x14ac:dyDescent="0.25">
      <c r="A19" s="31" t="s">
        <v>73</v>
      </c>
      <c r="B19" s="32" t="s">
        <v>24</v>
      </c>
      <c r="C19" s="33" t="s">
        <v>25</v>
      </c>
      <c r="D19" s="34">
        <v>0</v>
      </c>
      <c r="E19" s="34">
        <v>0</v>
      </c>
      <c r="F19" s="34">
        <v>0</v>
      </c>
      <c r="G19" s="34">
        <v>0</v>
      </c>
      <c r="H19" s="34">
        <v>0</v>
      </c>
      <c r="I19" s="34">
        <v>0</v>
      </c>
      <c r="J19" s="34">
        <v>0</v>
      </c>
      <c r="K19" s="29"/>
      <c r="L19" s="34">
        <v>750</v>
      </c>
      <c r="M19" s="34">
        <v>750</v>
      </c>
      <c r="N19" s="34">
        <v>750</v>
      </c>
      <c r="O19" s="34">
        <v>0</v>
      </c>
      <c r="P19" s="34">
        <f>+N19-J19</f>
        <v>750</v>
      </c>
      <c r="Q19" s="34">
        <f>+N19-O19</f>
        <v>750</v>
      </c>
      <c r="R19" s="4"/>
      <c r="S19" s="4"/>
    </row>
    <row r="20" spans="1:19" s="36" customFormat="1" x14ac:dyDescent="0.25">
      <c r="A20" s="31" t="s">
        <v>73</v>
      </c>
      <c r="B20" s="32" t="s">
        <v>26</v>
      </c>
      <c r="C20" s="33" t="s">
        <v>27</v>
      </c>
      <c r="D20" s="34">
        <v>0</v>
      </c>
      <c r="E20" s="34">
        <v>0</v>
      </c>
      <c r="F20" s="34">
        <v>0</v>
      </c>
      <c r="G20" s="34">
        <v>0</v>
      </c>
      <c r="H20" s="34">
        <v>0</v>
      </c>
      <c r="I20" s="34">
        <v>0</v>
      </c>
      <c r="J20" s="34">
        <v>0</v>
      </c>
      <c r="K20" s="29"/>
      <c r="L20" s="34">
        <v>500</v>
      </c>
      <c r="M20" s="34">
        <v>500</v>
      </c>
      <c r="N20" s="34">
        <v>500</v>
      </c>
      <c r="O20" s="34">
        <v>0</v>
      </c>
      <c r="P20" s="34">
        <f>+N20-J20</f>
        <v>500</v>
      </c>
      <c r="Q20" s="34">
        <f>+N20-O20</f>
        <v>500</v>
      </c>
      <c r="R20" s="4"/>
      <c r="S20" s="4"/>
    </row>
    <row r="21" spans="1:19" x14ac:dyDescent="0.25">
      <c r="A21" s="18" t="s">
        <v>73</v>
      </c>
      <c r="B21" s="19" t="s">
        <v>28</v>
      </c>
      <c r="C21" s="20" t="s">
        <v>29</v>
      </c>
      <c r="D21" s="21">
        <v>1000</v>
      </c>
      <c r="E21" s="22">
        <v>3106.92</v>
      </c>
      <c r="F21" s="21">
        <v>1000</v>
      </c>
      <c r="G21" s="21">
        <v>863.5</v>
      </c>
      <c r="H21" s="21">
        <v>1000</v>
      </c>
      <c r="I21" s="21">
        <v>591.22</v>
      </c>
      <c r="J21" s="21">
        <v>1000</v>
      </c>
      <c r="K21" s="29"/>
      <c r="L21" s="21">
        <v>0</v>
      </c>
      <c r="M21" s="21">
        <v>0</v>
      </c>
      <c r="N21" s="21">
        <v>0</v>
      </c>
      <c r="O21" s="21">
        <v>1000</v>
      </c>
      <c r="P21" s="21">
        <f>+N21-J21</f>
        <v>-1000</v>
      </c>
      <c r="Q21" s="21">
        <f>+N21-O21</f>
        <v>-1000</v>
      </c>
    </row>
    <row r="22" spans="1:19" x14ac:dyDescent="0.25">
      <c r="A22" s="176" t="s">
        <v>76</v>
      </c>
      <c r="B22" s="176"/>
      <c r="C22" s="176"/>
      <c r="D22" s="24">
        <f>SUM(D18:D21)</f>
        <v>1000</v>
      </c>
      <c r="E22" s="24">
        <f t="shared" ref="E22:Q22" si="8">SUM(E18:E21)</f>
        <v>3106.92</v>
      </c>
      <c r="F22" s="24">
        <f t="shared" si="8"/>
        <v>1000</v>
      </c>
      <c r="G22" s="24">
        <f t="shared" si="8"/>
        <v>863.5</v>
      </c>
      <c r="H22" s="24">
        <f t="shared" si="8"/>
        <v>1000</v>
      </c>
      <c r="I22" s="24">
        <f t="shared" si="8"/>
        <v>591.22</v>
      </c>
      <c r="J22" s="24">
        <f t="shared" si="8"/>
        <v>1000</v>
      </c>
      <c r="K22" s="29"/>
      <c r="L22" s="24">
        <f t="shared" ref="L22:O22" si="9">SUM(L18:L21)</f>
        <v>5090</v>
      </c>
      <c r="M22" s="24">
        <f t="shared" si="9"/>
        <v>5090</v>
      </c>
      <c r="N22" s="24">
        <f t="shared" si="9"/>
        <v>5090</v>
      </c>
      <c r="O22" s="24">
        <f t="shared" si="9"/>
        <v>1000</v>
      </c>
      <c r="P22" s="24">
        <f t="shared" si="8"/>
        <v>4090</v>
      </c>
      <c r="Q22" s="24">
        <f t="shared" si="8"/>
        <v>4090</v>
      </c>
    </row>
    <row r="23" spans="1:19" x14ac:dyDescent="0.25">
      <c r="A23" s="169" t="s">
        <v>30</v>
      </c>
      <c r="B23" s="169"/>
      <c r="C23" s="169"/>
      <c r="D23" s="27"/>
      <c r="E23" s="28"/>
      <c r="F23" s="27"/>
      <c r="G23" s="27"/>
      <c r="H23" s="27"/>
      <c r="I23" s="27"/>
      <c r="J23" s="27"/>
      <c r="K23" s="29"/>
      <c r="L23" s="27"/>
      <c r="M23" s="27"/>
      <c r="N23" s="27"/>
      <c r="O23" s="27"/>
      <c r="P23" s="30"/>
      <c r="Q23" s="30"/>
    </row>
    <row r="24" spans="1:19" x14ac:dyDescent="0.25">
      <c r="A24" s="18" t="s">
        <v>73</v>
      </c>
      <c r="B24" s="19" t="s">
        <v>31</v>
      </c>
      <c r="C24" s="20" t="s">
        <v>32</v>
      </c>
      <c r="D24" s="21">
        <v>777</v>
      </c>
      <c r="E24" s="21">
        <v>787.79</v>
      </c>
      <c r="F24" s="21">
        <v>777</v>
      </c>
      <c r="G24" s="21">
        <v>1022.4</v>
      </c>
      <c r="H24" s="21">
        <v>777</v>
      </c>
      <c r="I24" s="21">
        <v>2156.75</v>
      </c>
      <c r="J24" s="21">
        <v>737</v>
      </c>
      <c r="K24" s="29"/>
      <c r="L24" s="21">
        <v>1000</v>
      </c>
      <c r="M24" s="21">
        <v>1000</v>
      </c>
      <c r="N24" s="21">
        <v>1000</v>
      </c>
      <c r="O24" s="21">
        <f t="shared" ref="O24" si="10">777-40</f>
        <v>737</v>
      </c>
      <c r="P24" s="21">
        <f>+N24-J24</f>
        <v>263</v>
      </c>
      <c r="Q24" s="21">
        <f>+N24-O24</f>
        <v>263</v>
      </c>
    </row>
    <row r="25" spans="1:19" x14ac:dyDescent="0.25">
      <c r="A25" s="31" t="s">
        <v>73</v>
      </c>
      <c r="B25" s="32" t="s">
        <v>33</v>
      </c>
      <c r="C25" s="33" t="s">
        <v>34</v>
      </c>
      <c r="D25" s="34">
        <v>0</v>
      </c>
      <c r="E25" s="35">
        <v>0</v>
      </c>
      <c r="F25" s="34">
        <v>0</v>
      </c>
      <c r="G25" s="34">
        <v>0</v>
      </c>
      <c r="H25" s="34">
        <v>0</v>
      </c>
      <c r="I25" s="34">
        <v>0</v>
      </c>
      <c r="J25" s="34">
        <v>0</v>
      </c>
      <c r="K25" s="29"/>
      <c r="L25" s="34">
        <f>1750+200</f>
        <v>1950</v>
      </c>
      <c r="M25" s="34">
        <f t="shared" ref="M25:N25" si="11">1750+200</f>
        <v>1950</v>
      </c>
      <c r="N25" s="34">
        <f t="shared" si="11"/>
        <v>1950</v>
      </c>
      <c r="O25" s="34">
        <v>0</v>
      </c>
      <c r="P25" s="34">
        <f>+N25-J25</f>
        <v>1950</v>
      </c>
      <c r="Q25" s="34">
        <f>+N25-O25</f>
        <v>1950</v>
      </c>
    </row>
    <row r="26" spans="1:19" x14ac:dyDescent="0.25">
      <c r="A26" s="177" t="s">
        <v>77</v>
      </c>
      <c r="B26" s="177"/>
      <c r="C26" s="177"/>
      <c r="D26" s="37">
        <f>SUM(D24:D25)</f>
        <v>777</v>
      </c>
      <c r="E26" s="37">
        <f t="shared" ref="E26:Q26" si="12">SUM(E24:E25)</f>
        <v>787.79</v>
      </c>
      <c r="F26" s="37">
        <f t="shared" si="12"/>
        <v>777</v>
      </c>
      <c r="G26" s="37">
        <f t="shared" si="12"/>
        <v>1022.4</v>
      </c>
      <c r="H26" s="37">
        <f t="shared" si="12"/>
        <v>777</v>
      </c>
      <c r="I26" s="37">
        <f t="shared" si="12"/>
        <v>2156.75</v>
      </c>
      <c r="J26" s="37">
        <f t="shared" si="12"/>
        <v>737</v>
      </c>
      <c r="K26" s="29"/>
      <c r="L26" s="37">
        <f t="shared" ref="L26:O26" si="13">SUM(L24:L25)</f>
        <v>2950</v>
      </c>
      <c r="M26" s="37">
        <f t="shared" si="13"/>
        <v>2950</v>
      </c>
      <c r="N26" s="37">
        <f t="shared" si="13"/>
        <v>2950</v>
      </c>
      <c r="O26" s="37">
        <f t="shared" si="13"/>
        <v>737</v>
      </c>
      <c r="P26" s="37">
        <f t="shared" si="12"/>
        <v>2213</v>
      </c>
      <c r="Q26" s="37">
        <f t="shared" si="12"/>
        <v>2213</v>
      </c>
    </row>
    <row r="27" spans="1:19" x14ac:dyDescent="0.25">
      <c r="A27" s="178" t="s">
        <v>78</v>
      </c>
      <c r="B27" s="178"/>
      <c r="C27" s="178"/>
      <c r="D27" s="38">
        <f>D11+D16+D22+D26</f>
        <v>13102</v>
      </c>
      <c r="E27" s="39">
        <v>12519.47</v>
      </c>
      <c r="F27" s="38">
        <f>F11+F16+F22+F26</f>
        <v>13103</v>
      </c>
      <c r="G27" s="38">
        <f>G11+G16+G22+G26</f>
        <v>13211.369999999999</v>
      </c>
      <c r="H27" s="38">
        <f>H11+H16+H22+H26</f>
        <v>13106</v>
      </c>
      <c r="I27" s="38">
        <f>I11+I16+I22+I26</f>
        <v>14076.119999999999</v>
      </c>
      <c r="J27" s="38">
        <f>J11+J16+J22+J26</f>
        <v>13070</v>
      </c>
      <c r="K27" s="29"/>
      <c r="L27" s="38">
        <f t="shared" ref="L27:Q27" si="14">L11+L16+L22+L26</f>
        <v>19373</v>
      </c>
      <c r="M27" s="38">
        <f t="shared" si="14"/>
        <v>19373</v>
      </c>
      <c r="N27" s="38">
        <f t="shared" si="14"/>
        <v>19373</v>
      </c>
      <c r="O27" s="38">
        <f t="shared" si="14"/>
        <v>13070</v>
      </c>
      <c r="P27" s="38">
        <f t="shared" si="14"/>
        <v>6303</v>
      </c>
      <c r="Q27" s="38">
        <f t="shared" si="14"/>
        <v>6303</v>
      </c>
    </row>
    <row r="28" spans="1:19" x14ac:dyDescent="0.25">
      <c r="A28" s="178" t="s">
        <v>79</v>
      </c>
      <c r="B28" s="178"/>
      <c r="C28" s="178"/>
      <c r="D28" s="40">
        <f t="shared" ref="D28:D29" si="15">D27</f>
        <v>13102</v>
      </c>
      <c r="E28" s="39">
        <v>12519.47</v>
      </c>
      <c r="F28" s="40">
        <f t="shared" ref="F28:J29" si="16">F27</f>
        <v>13103</v>
      </c>
      <c r="G28" s="40">
        <f t="shared" si="16"/>
        <v>13211.369999999999</v>
      </c>
      <c r="H28" s="40">
        <f t="shared" si="16"/>
        <v>13106</v>
      </c>
      <c r="I28" s="40">
        <f t="shared" si="16"/>
        <v>14076.119999999999</v>
      </c>
      <c r="J28" s="40">
        <f t="shared" si="16"/>
        <v>13070</v>
      </c>
      <c r="K28" s="29"/>
      <c r="L28" s="40">
        <f t="shared" ref="L28:Q29" si="17">L27</f>
        <v>19373</v>
      </c>
      <c r="M28" s="40">
        <f t="shared" si="17"/>
        <v>19373</v>
      </c>
      <c r="N28" s="40">
        <f t="shared" si="17"/>
        <v>19373</v>
      </c>
      <c r="O28" s="40">
        <f t="shared" si="17"/>
        <v>13070</v>
      </c>
      <c r="P28" s="40">
        <f t="shared" si="17"/>
        <v>6303</v>
      </c>
      <c r="Q28" s="40">
        <f t="shared" si="17"/>
        <v>6303</v>
      </c>
    </row>
    <row r="29" spans="1:19" x14ac:dyDescent="0.25">
      <c r="A29" s="179" t="s">
        <v>80</v>
      </c>
      <c r="B29" s="179"/>
      <c r="C29" s="179"/>
      <c r="D29" s="41">
        <f t="shared" si="15"/>
        <v>13102</v>
      </c>
      <c r="E29" s="42">
        <v>12519.47</v>
      </c>
      <c r="F29" s="41">
        <f t="shared" si="16"/>
        <v>13103</v>
      </c>
      <c r="G29" s="41">
        <f t="shared" si="16"/>
        <v>13211.369999999999</v>
      </c>
      <c r="H29" s="41">
        <f t="shared" si="16"/>
        <v>13106</v>
      </c>
      <c r="I29" s="41">
        <f t="shared" si="16"/>
        <v>14076.119999999999</v>
      </c>
      <c r="J29" s="41">
        <f t="shared" si="16"/>
        <v>13070</v>
      </c>
      <c r="K29" s="29"/>
      <c r="L29" s="41">
        <f t="shared" si="17"/>
        <v>19373</v>
      </c>
      <c r="M29" s="41">
        <f t="shared" si="17"/>
        <v>19373</v>
      </c>
      <c r="N29" s="41">
        <f t="shared" si="17"/>
        <v>19373</v>
      </c>
      <c r="O29" s="41">
        <f t="shared" si="17"/>
        <v>13070</v>
      </c>
      <c r="P29" s="41">
        <f t="shared" si="17"/>
        <v>6303</v>
      </c>
      <c r="Q29" s="41">
        <f t="shared" si="17"/>
        <v>6303</v>
      </c>
    </row>
    <row r="30" spans="1:19" ht="6" customHeight="1" x14ac:dyDescent="0.25">
      <c r="D30" s="27"/>
      <c r="E30" s="43"/>
      <c r="F30" s="27"/>
      <c r="G30" s="27"/>
      <c r="H30" s="27"/>
      <c r="I30" s="27"/>
      <c r="J30" s="27"/>
      <c r="K30" s="29"/>
      <c r="L30" s="27"/>
      <c r="M30" s="27"/>
      <c r="N30" s="27"/>
      <c r="O30" s="27"/>
      <c r="P30" s="30"/>
      <c r="Q30" s="30"/>
    </row>
    <row r="31" spans="1:19" x14ac:dyDescent="0.25">
      <c r="A31" s="179" t="s">
        <v>81</v>
      </c>
      <c r="B31" s="179"/>
      <c r="C31" s="179"/>
      <c r="D31" s="41">
        <f t="shared" ref="D31" si="18">D29</f>
        <v>13102</v>
      </c>
      <c r="E31" s="42">
        <v>12519.47</v>
      </c>
      <c r="F31" s="41">
        <f t="shared" ref="F31" si="19">F29</f>
        <v>13103</v>
      </c>
      <c r="G31" s="41">
        <f>G29</f>
        <v>13211.369999999999</v>
      </c>
      <c r="H31" s="41">
        <f>H29</f>
        <v>13106</v>
      </c>
      <c r="I31" s="41">
        <f t="shared" ref="I31:J31" si="20">I29</f>
        <v>14076.119999999999</v>
      </c>
      <c r="J31" s="41">
        <f t="shared" si="20"/>
        <v>13070</v>
      </c>
      <c r="K31" s="29"/>
      <c r="L31" s="41">
        <f t="shared" ref="L31:Q31" si="21">L29</f>
        <v>19373</v>
      </c>
      <c r="M31" s="41">
        <f t="shared" si="21"/>
        <v>19373</v>
      </c>
      <c r="N31" s="41">
        <f t="shared" si="21"/>
        <v>19373</v>
      </c>
      <c r="O31" s="41">
        <f t="shared" si="21"/>
        <v>13070</v>
      </c>
      <c r="P31" s="41">
        <f t="shared" si="21"/>
        <v>6303</v>
      </c>
      <c r="Q31" s="41">
        <f t="shared" si="21"/>
        <v>6303</v>
      </c>
    </row>
    <row r="32" spans="1:19" ht="6" customHeight="1" x14ac:dyDescent="0.25">
      <c r="D32" s="28"/>
      <c r="E32" s="28"/>
      <c r="F32" s="28"/>
      <c r="G32" s="28"/>
      <c r="H32" s="30"/>
      <c r="I32" s="30"/>
      <c r="J32" s="30"/>
      <c r="K32" s="30"/>
      <c r="L32" s="30"/>
      <c r="M32" s="30"/>
      <c r="N32" s="30"/>
      <c r="O32" s="30"/>
    </row>
    <row r="33" spans="4:15" x14ac:dyDescent="0.25">
      <c r="D33" s="21"/>
      <c r="E33" s="21"/>
      <c r="F33" s="21"/>
      <c r="G33" s="21"/>
    </row>
    <row r="34" spans="4:15" ht="15" customHeight="1" x14ac:dyDescent="0.3">
      <c r="G34" s="44"/>
      <c r="L34" s="45"/>
      <c r="O34" s="45"/>
    </row>
    <row r="35" spans="4:15" ht="15" customHeight="1" x14ac:dyDescent="0.25">
      <c r="G35" s="46"/>
    </row>
    <row r="36" spans="4:15" ht="15" customHeight="1" x14ac:dyDescent="0.25">
      <c r="G36" s="47"/>
    </row>
    <row r="37" spans="4:15" x14ac:dyDescent="0.25">
      <c r="G37" s="47"/>
    </row>
    <row r="54" spans="12:15" x14ac:dyDescent="0.25">
      <c r="L54" s="3">
        <f t="shared" ref="L54:O54" si="22">SUM(L47:L53)</f>
        <v>0</v>
      </c>
      <c r="M54" s="3">
        <f t="shared" si="22"/>
        <v>0</v>
      </c>
      <c r="N54" s="3">
        <f t="shared" si="22"/>
        <v>0</v>
      </c>
      <c r="O54" s="3">
        <f t="shared" si="22"/>
        <v>0</v>
      </c>
    </row>
  </sheetData>
  <mergeCells count="17">
    <mergeCell ref="A26:C26"/>
    <mergeCell ref="A27:C27"/>
    <mergeCell ref="A28:C28"/>
    <mergeCell ref="A29:C29"/>
    <mergeCell ref="A31:C31"/>
    <mergeCell ref="A23:C23"/>
    <mergeCell ref="A1:Q1"/>
    <mergeCell ref="A5:C5"/>
    <mergeCell ref="A6:C6"/>
    <mergeCell ref="A7:C7"/>
    <mergeCell ref="A8:C8"/>
    <mergeCell ref="A9:C9"/>
    <mergeCell ref="A11:C11"/>
    <mergeCell ref="A12:C12"/>
    <mergeCell ref="A16:C16"/>
    <mergeCell ref="A17:C17"/>
    <mergeCell ref="A22:C22"/>
  </mergeCells>
  <printOptions horizontalCentered="1" verticalCentered="1"/>
  <pageMargins left="0.7" right="0.7" top="0.75" bottom="0.75" header="0.3" footer="0.3"/>
  <pageSetup scale="59" fitToHeight="0" orientation="landscape" r:id="rId1"/>
  <headerFooter>
    <oddFooter>&amp;RBudget Kick Off - 11.01.25</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EDCA4-A1B9-4585-B18C-461682161457}">
  <sheetPr codeName="Sheet5">
    <tabColor rgb="FF92D050"/>
  </sheetPr>
  <dimension ref="A1:R54"/>
  <sheetViews>
    <sheetView zoomScaleNormal="100" workbookViewId="0">
      <selection activeCell="C15" sqref="C15"/>
    </sheetView>
  </sheetViews>
  <sheetFormatPr defaultColWidth="9.109375" defaultRowHeight="14.4" x14ac:dyDescent="0.3"/>
  <cols>
    <col min="1" max="1" width="9.5546875" style="3" bestFit="1" customWidth="1"/>
    <col min="2" max="2" width="15.33203125" style="10" bestFit="1" customWidth="1"/>
    <col min="3" max="3" width="20.33203125" style="3" bestFit="1" customWidth="1"/>
    <col min="4" max="4" width="11" style="3" bestFit="1" customWidth="1"/>
    <col min="5" max="5" width="10.6640625" style="3" bestFit="1" customWidth="1"/>
    <col min="6" max="6" width="11" style="3" bestFit="1" customWidth="1"/>
    <col min="7" max="7" width="10.6640625" style="3" bestFit="1" customWidth="1"/>
    <col min="8" max="8" width="10.6640625" style="3" customWidth="1"/>
    <col min="9" max="9" width="10.6640625" style="3" bestFit="1" customWidth="1"/>
    <col min="10" max="10" width="11" style="3" bestFit="1" customWidth="1"/>
    <col min="11" max="11" width="1.109375" style="3" customWidth="1"/>
    <col min="12" max="13" width="10.6640625" style="3" bestFit="1" customWidth="1"/>
    <col min="14" max="14" width="14" style="3" bestFit="1" customWidth="1"/>
    <col min="15" max="15" width="11.109375" style="3" customWidth="1"/>
    <col min="16" max="17" width="11.33203125" bestFit="1" customWidth="1"/>
    <col min="18" max="18" width="5" style="3" bestFit="1" customWidth="1"/>
    <col min="19" max="16384" width="9.109375" style="3"/>
  </cols>
  <sheetData>
    <row r="1" spans="1:18" ht="75" customHeight="1" x14ac:dyDescent="0.25">
      <c r="A1" s="170" t="s">
        <v>82</v>
      </c>
      <c r="B1" s="170"/>
      <c r="C1" s="170"/>
      <c r="D1" s="170"/>
      <c r="E1" s="170"/>
      <c r="F1" s="170"/>
      <c r="G1" s="170"/>
      <c r="H1" s="170"/>
      <c r="I1" s="170"/>
      <c r="J1" s="170"/>
      <c r="K1" s="170"/>
      <c r="L1" s="170"/>
      <c r="M1" s="170"/>
      <c r="N1" s="170"/>
      <c r="O1" s="170"/>
      <c r="P1" s="170"/>
      <c r="Q1" s="170"/>
      <c r="R1" s="48"/>
    </row>
    <row r="2" spans="1:18" ht="6" customHeight="1" x14ac:dyDescent="0.3"/>
    <row r="3" spans="1:18" s="49" customFormat="1" ht="52.8" x14ac:dyDescent="0.25">
      <c r="A3" s="7"/>
      <c r="B3" s="7" t="s">
        <v>0</v>
      </c>
      <c r="C3" s="7" t="s">
        <v>1</v>
      </c>
      <c r="D3" s="7" t="s">
        <v>3</v>
      </c>
      <c r="E3" s="7" t="s">
        <v>2</v>
      </c>
      <c r="F3" s="7" t="s">
        <v>4</v>
      </c>
      <c r="G3" s="7" t="s">
        <v>5</v>
      </c>
      <c r="H3" s="7" t="s">
        <v>6</v>
      </c>
      <c r="I3" s="7" t="s">
        <v>7</v>
      </c>
      <c r="J3" s="7" t="s">
        <v>8</v>
      </c>
      <c r="K3" s="8"/>
      <c r="L3" s="9" t="s">
        <v>64</v>
      </c>
      <c r="M3" s="9" t="s">
        <v>65</v>
      </c>
      <c r="N3" s="9" t="s">
        <v>66</v>
      </c>
      <c r="O3" s="9" t="s">
        <v>9</v>
      </c>
      <c r="P3" s="9" t="s">
        <v>67</v>
      </c>
      <c r="Q3" s="7" t="s">
        <v>68</v>
      </c>
      <c r="R3" s="7"/>
    </row>
    <row r="4" spans="1:18" ht="6" customHeight="1" x14ac:dyDescent="0.25">
      <c r="K4" s="11"/>
      <c r="P4" s="3"/>
      <c r="Q4" s="3"/>
    </row>
    <row r="5" spans="1:18" ht="13.8" x14ac:dyDescent="0.25">
      <c r="A5" s="171" t="s">
        <v>69</v>
      </c>
      <c r="B5" s="171"/>
      <c r="C5" s="171"/>
      <c r="D5" s="12"/>
      <c r="E5" s="12"/>
      <c r="F5" s="12"/>
      <c r="G5" s="12"/>
      <c r="H5" s="12"/>
      <c r="I5" s="12"/>
      <c r="K5" s="11"/>
      <c r="P5" s="3"/>
      <c r="Q5" s="3"/>
    </row>
    <row r="6" spans="1:18" ht="13.8" x14ac:dyDescent="0.25">
      <c r="A6" s="172" t="s">
        <v>70</v>
      </c>
      <c r="B6" s="172"/>
      <c r="C6" s="172"/>
      <c r="D6" s="14"/>
      <c r="E6" s="14"/>
      <c r="F6" s="14"/>
      <c r="G6" s="14"/>
      <c r="H6" s="14"/>
      <c r="I6" s="14"/>
      <c r="K6" s="11"/>
      <c r="P6" s="3"/>
      <c r="Q6" s="3"/>
    </row>
    <row r="7" spans="1:18" ht="13.8" x14ac:dyDescent="0.25">
      <c r="A7" s="173" t="s">
        <v>83</v>
      </c>
      <c r="B7" s="173"/>
      <c r="C7" s="173"/>
      <c r="D7" s="15"/>
      <c r="E7" s="15"/>
      <c r="F7" s="15"/>
      <c r="G7" s="15"/>
      <c r="H7" s="15"/>
      <c r="I7" s="15"/>
      <c r="K7" s="11"/>
      <c r="P7" s="3"/>
      <c r="Q7" s="3"/>
    </row>
    <row r="8" spans="1:18" ht="13.8" x14ac:dyDescent="0.25">
      <c r="A8" s="174" t="s">
        <v>72</v>
      </c>
      <c r="B8" s="174"/>
      <c r="C8" s="174"/>
      <c r="D8" s="16"/>
      <c r="E8" s="16"/>
      <c r="F8" s="16"/>
      <c r="G8" s="16"/>
      <c r="H8" s="16"/>
      <c r="I8" s="16"/>
      <c r="K8" s="11"/>
      <c r="P8" s="3"/>
      <c r="Q8" s="3"/>
    </row>
    <row r="9" spans="1:18" ht="13.8" x14ac:dyDescent="0.25">
      <c r="A9" s="175" t="s">
        <v>11</v>
      </c>
      <c r="B9" s="175"/>
      <c r="C9" s="175"/>
      <c r="D9" s="17"/>
      <c r="E9" s="17"/>
      <c r="F9" s="17"/>
      <c r="G9" s="17"/>
      <c r="H9" s="17"/>
      <c r="I9" s="17"/>
      <c r="K9" s="11"/>
      <c r="P9" s="3"/>
      <c r="Q9" s="3"/>
    </row>
    <row r="10" spans="1:18" ht="13.8" x14ac:dyDescent="0.25">
      <c r="A10" s="50" t="s">
        <v>84</v>
      </c>
      <c r="B10" s="19" t="s">
        <v>35</v>
      </c>
      <c r="C10" s="20" t="s">
        <v>36</v>
      </c>
      <c r="D10" s="21">
        <v>290520</v>
      </c>
      <c r="E10" s="21">
        <v>369996.1</v>
      </c>
      <c r="F10" s="21">
        <v>417393</v>
      </c>
      <c r="G10" s="21">
        <v>484970.23</v>
      </c>
      <c r="H10" s="21">
        <v>538153</v>
      </c>
      <c r="I10" s="21">
        <v>518022.65</v>
      </c>
      <c r="J10" s="21">
        <v>598233</v>
      </c>
      <c r="K10" s="23"/>
      <c r="L10" s="21">
        <v>538574</v>
      </c>
      <c r="M10" s="21">
        <v>538574</v>
      </c>
      <c r="N10" s="21">
        <v>538574</v>
      </c>
      <c r="O10" s="21">
        <v>538574</v>
      </c>
      <c r="P10" s="21">
        <f>+N10-J10</f>
        <v>-59659</v>
      </c>
      <c r="Q10" s="21">
        <f>+N10-O10</f>
        <v>0</v>
      </c>
    </row>
    <row r="11" spans="1:18" ht="13.8" x14ac:dyDescent="0.25">
      <c r="A11" s="50" t="s">
        <v>84</v>
      </c>
      <c r="B11" s="19" t="s">
        <v>37</v>
      </c>
      <c r="C11" s="20" t="s">
        <v>38</v>
      </c>
      <c r="D11" s="21">
        <v>0</v>
      </c>
      <c r="E11" s="21">
        <v>0</v>
      </c>
      <c r="F11" s="21">
        <v>0</v>
      </c>
      <c r="G11" s="21">
        <v>0</v>
      </c>
      <c r="H11" s="21">
        <v>0</v>
      </c>
      <c r="I11" s="21">
        <v>0</v>
      </c>
      <c r="J11" s="21">
        <v>0</v>
      </c>
      <c r="K11" s="23"/>
      <c r="L11" s="21">
        <v>0</v>
      </c>
      <c r="M11" s="21">
        <v>0</v>
      </c>
      <c r="N11" s="21">
        <v>0</v>
      </c>
      <c r="O11" s="21">
        <v>0</v>
      </c>
      <c r="P11" s="21">
        <f>+N11-J11</f>
        <v>0</v>
      </c>
      <c r="Q11" s="21">
        <v>0</v>
      </c>
    </row>
    <row r="12" spans="1:18" ht="13.8" x14ac:dyDescent="0.25">
      <c r="A12" s="50" t="s">
        <v>84</v>
      </c>
      <c r="B12" s="19" t="s">
        <v>39</v>
      </c>
      <c r="C12" s="20" t="s">
        <v>40</v>
      </c>
      <c r="D12" s="21">
        <v>6000</v>
      </c>
      <c r="E12" s="21">
        <v>4682.84</v>
      </c>
      <c r="F12" s="21">
        <v>1000</v>
      </c>
      <c r="G12" s="21">
        <v>3676.76</v>
      </c>
      <c r="H12" s="21">
        <v>1000</v>
      </c>
      <c r="I12" s="21">
        <v>1053.3399999999999</v>
      </c>
      <c r="J12" s="21">
        <v>1000</v>
      </c>
      <c r="K12" s="23"/>
      <c r="L12" s="21">
        <v>1000</v>
      </c>
      <c r="M12" s="21">
        <v>1000</v>
      </c>
      <c r="N12" s="21">
        <v>1000</v>
      </c>
      <c r="O12" s="21">
        <v>1000</v>
      </c>
      <c r="P12" s="21">
        <f>+N12-J12</f>
        <v>0</v>
      </c>
      <c r="Q12" s="21">
        <f>+N12-O12</f>
        <v>0</v>
      </c>
      <c r="R12" s="20"/>
    </row>
    <row r="13" spans="1:18" ht="13.8" x14ac:dyDescent="0.25">
      <c r="A13" s="177" t="s">
        <v>74</v>
      </c>
      <c r="B13" s="177"/>
      <c r="C13" s="177"/>
      <c r="D13" s="24">
        <f t="shared" ref="D13" si="0">SUM(D10:D12)</f>
        <v>296520</v>
      </c>
      <c r="E13" s="24">
        <v>304810.15000000002</v>
      </c>
      <c r="F13" s="24">
        <f t="shared" ref="F13" si="1">SUM(F10:F12)</f>
        <v>418393</v>
      </c>
      <c r="G13" s="24">
        <f>SUM(G10:G12)</f>
        <v>488646.99</v>
      </c>
      <c r="H13" s="24">
        <f t="shared" ref="H13" si="2">SUM(H10:H12)</f>
        <v>539153</v>
      </c>
      <c r="I13" s="24">
        <f>SUM(I10:I12)</f>
        <v>519075.99000000005</v>
      </c>
      <c r="J13" s="24">
        <f t="shared" ref="J13" si="3">SUM(J10:J12)</f>
        <v>599233</v>
      </c>
      <c r="K13" s="26"/>
      <c r="L13" s="24">
        <f t="shared" ref="L13:Q13" si="4">SUM(L10:L12)</f>
        <v>539574</v>
      </c>
      <c r="M13" s="24">
        <f t="shared" si="4"/>
        <v>539574</v>
      </c>
      <c r="N13" s="24">
        <f t="shared" si="4"/>
        <v>539574</v>
      </c>
      <c r="O13" s="24">
        <f t="shared" si="4"/>
        <v>539574</v>
      </c>
      <c r="P13" s="24">
        <f t="shared" si="4"/>
        <v>-59659</v>
      </c>
      <c r="Q13" s="24">
        <f t="shared" si="4"/>
        <v>0</v>
      </c>
      <c r="R13" s="20"/>
    </row>
    <row r="14" spans="1:18" ht="13.8" x14ac:dyDescent="0.25">
      <c r="A14" s="175" t="s">
        <v>14</v>
      </c>
      <c r="B14" s="175"/>
      <c r="C14" s="175"/>
      <c r="D14" s="27"/>
      <c r="E14" s="30"/>
      <c r="F14" s="27"/>
      <c r="G14" s="27"/>
      <c r="H14" s="27"/>
      <c r="I14" s="27"/>
      <c r="J14" s="27"/>
      <c r="K14" s="29"/>
      <c r="L14" s="27"/>
      <c r="M14" s="27"/>
      <c r="N14" s="27"/>
      <c r="O14" s="27"/>
      <c r="P14" s="30"/>
      <c r="Q14" s="30"/>
      <c r="R14" s="20"/>
    </row>
    <row r="15" spans="1:18" ht="13.8" x14ac:dyDescent="0.25">
      <c r="A15" s="50" t="s">
        <v>84</v>
      </c>
      <c r="B15" s="19" t="s">
        <v>41</v>
      </c>
      <c r="C15" s="20" t="s">
        <v>42</v>
      </c>
      <c r="D15" s="21">
        <v>3618</v>
      </c>
      <c r="E15" s="21">
        <v>890.71</v>
      </c>
      <c r="F15" s="21">
        <v>4732</v>
      </c>
      <c r="G15" s="21">
        <v>3808.65</v>
      </c>
      <c r="H15" s="21">
        <v>5595</v>
      </c>
      <c r="I15" s="21">
        <v>3241.5</v>
      </c>
      <c r="J15" s="21">
        <v>3800</v>
      </c>
      <c r="K15" s="23"/>
      <c r="L15" s="21">
        <v>3800</v>
      </c>
      <c r="M15" s="21">
        <v>3800</v>
      </c>
      <c r="N15" s="21">
        <v>3800</v>
      </c>
      <c r="O15" s="21">
        <v>3800</v>
      </c>
      <c r="P15" s="21">
        <f>+N15-J15</f>
        <v>0</v>
      </c>
      <c r="Q15" s="21">
        <f>+N15-O15</f>
        <v>0</v>
      </c>
      <c r="R15" s="20"/>
    </row>
    <row r="16" spans="1:18" ht="13.8" x14ac:dyDescent="0.25">
      <c r="A16" s="50" t="s">
        <v>84</v>
      </c>
      <c r="B16" s="19" t="s">
        <v>15</v>
      </c>
      <c r="C16" s="20" t="s">
        <v>16</v>
      </c>
      <c r="D16" s="21">
        <v>18385</v>
      </c>
      <c r="E16" s="21">
        <v>22682.15</v>
      </c>
      <c r="F16" s="21">
        <v>25941</v>
      </c>
      <c r="G16" s="21">
        <v>29049.95</v>
      </c>
      <c r="H16" s="21">
        <v>33428</v>
      </c>
      <c r="I16" s="21">
        <v>30684.86</v>
      </c>
      <c r="J16" s="21">
        <v>36653</v>
      </c>
      <c r="K16" s="23"/>
      <c r="L16" s="21">
        <v>33454</v>
      </c>
      <c r="M16" s="21">
        <v>33454</v>
      </c>
      <c r="N16" s="21">
        <v>33454</v>
      </c>
      <c r="O16" s="21">
        <v>33454</v>
      </c>
      <c r="P16" s="21">
        <f>+N16-J16</f>
        <v>-3199</v>
      </c>
      <c r="Q16" s="21">
        <f>+N16-O16</f>
        <v>0</v>
      </c>
    </row>
    <row r="17" spans="1:18" ht="13.8" x14ac:dyDescent="0.25">
      <c r="A17" s="50" t="s">
        <v>84</v>
      </c>
      <c r="B17" s="19" t="s">
        <v>17</v>
      </c>
      <c r="C17" s="20" t="s">
        <v>18</v>
      </c>
      <c r="D17" s="21">
        <v>4300</v>
      </c>
      <c r="E17" s="21">
        <v>5304.68</v>
      </c>
      <c r="F17" s="21">
        <v>6067</v>
      </c>
      <c r="G17" s="21">
        <v>6793.94</v>
      </c>
      <c r="H17" s="21">
        <v>7818</v>
      </c>
      <c r="I17" s="21">
        <v>7361.08</v>
      </c>
      <c r="J17" s="21">
        <v>8690</v>
      </c>
      <c r="K17" s="23"/>
      <c r="L17" s="21">
        <v>7824</v>
      </c>
      <c r="M17" s="21">
        <v>7824</v>
      </c>
      <c r="N17" s="21">
        <v>7824</v>
      </c>
      <c r="O17" s="21">
        <v>7824</v>
      </c>
      <c r="P17" s="21">
        <f>+N17-J17</f>
        <v>-866</v>
      </c>
      <c r="Q17" s="21">
        <f>+N17-O17</f>
        <v>0</v>
      </c>
    </row>
    <row r="18" spans="1:18" ht="13.8" x14ac:dyDescent="0.25">
      <c r="A18" s="50" t="s">
        <v>84</v>
      </c>
      <c r="B18" s="19" t="s">
        <v>43</v>
      </c>
      <c r="C18" s="20" t="s">
        <v>44</v>
      </c>
      <c r="D18" s="21">
        <v>42816</v>
      </c>
      <c r="E18" s="21">
        <v>46222.53</v>
      </c>
      <c r="F18" s="21">
        <v>56020</v>
      </c>
      <c r="G18" s="21">
        <v>60350.22</v>
      </c>
      <c r="H18" s="21">
        <v>71927</v>
      </c>
      <c r="I18" s="21">
        <v>61531.42</v>
      </c>
      <c r="J18" s="21">
        <v>73726</v>
      </c>
      <c r="K18" s="23"/>
      <c r="L18" s="21">
        <v>64335</v>
      </c>
      <c r="M18" s="21">
        <v>64335</v>
      </c>
      <c r="N18" s="21">
        <v>64335</v>
      </c>
      <c r="O18" s="21">
        <v>64335</v>
      </c>
      <c r="P18" s="21">
        <f>+N18-J18</f>
        <v>-9391</v>
      </c>
      <c r="Q18" s="21">
        <f>+N18-O18</f>
        <v>0</v>
      </c>
    </row>
    <row r="19" spans="1:18" ht="13.8" x14ac:dyDescent="0.25">
      <c r="A19" s="50" t="s">
        <v>84</v>
      </c>
      <c r="B19" s="19" t="s">
        <v>19</v>
      </c>
      <c r="C19" s="20" t="s">
        <v>20</v>
      </c>
      <c r="D19" s="21">
        <v>446</v>
      </c>
      <c r="E19" s="21">
        <v>425.39</v>
      </c>
      <c r="F19" s="21">
        <v>473</v>
      </c>
      <c r="G19" s="21">
        <v>503.58</v>
      </c>
      <c r="H19" s="21">
        <v>564</v>
      </c>
      <c r="I19" s="21">
        <v>564.33000000000004</v>
      </c>
      <c r="J19" s="21">
        <v>667</v>
      </c>
      <c r="K19" s="23"/>
      <c r="L19" s="21">
        <v>525</v>
      </c>
      <c r="M19" s="21">
        <v>525</v>
      </c>
      <c r="N19" s="21">
        <v>525</v>
      </c>
      <c r="O19" s="21">
        <v>525</v>
      </c>
      <c r="P19" s="21">
        <f>+N19-J19</f>
        <v>-142</v>
      </c>
      <c r="Q19" s="21">
        <f>+N19-O19</f>
        <v>0</v>
      </c>
    </row>
    <row r="20" spans="1:18" ht="13.8" x14ac:dyDescent="0.25">
      <c r="A20" s="177" t="s">
        <v>75</v>
      </c>
      <c r="B20" s="177"/>
      <c r="C20" s="177"/>
      <c r="D20" s="24">
        <f t="shared" ref="D20" si="5">SUM(D15:D19)</f>
        <v>69565</v>
      </c>
      <c r="E20" s="24">
        <v>67504.19</v>
      </c>
      <c r="F20" s="24">
        <f t="shared" ref="F20" si="6">SUM(F15:F19)</f>
        <v>93233</v>
      </c>
      <c r="G20" s="24">
        <f>SUM(G15:G19)</f>
        <v>100506.34000000001</v>
      </c>
      <c r="H20" s="24">
        <f t="shared" ref="H20" si="7">SUM(H15:H19)</f>
        <v>119332</v>
      </c>
      <c r="I20" s="24">
        <f>SUM(I15:I19)</f>
        <v>103383.19</v>
      </c>
      <c r="J20" s="24">
        <f t="shared" ref="J20" si="8">SUM(J15:J19)</f>
        <v>123536</v>
      </c>
      <c r="K20" s="26"/>
      <c r="L20" s="24">
        <f t="shared" ref="L20:N20" si="9">SUM(L15:L19)</f>
        <v>109938</v>
      </c>
      <c r="M20" s="24">
        <f t="shared" si="9"/>
        <v>109938</v>
      </c>
      <c r="N20" s="24">
        <f t="shared" si="9"/>
        <v>109938</v>
      </c>
      <c r="O20" s="24">
        <f>SUM(O15:O19)</f>
        <v>109938</v>
      </c>
      <c r="P20" s="24">
        <f>SUM(P15:P19)</f>
        <v>-13598</v>
      </c>
      <c r="Q20" s="24">
        <f>SUM(Q15:Q19)</f>
        <v>0</v>
      </c>
    </row>
    <row r="21" spans="1:18" ht="13.8" x14ac:dyDescent="0.25">
      <c r="A21" s="175" t="s">
        <v>21</v>
      </c>
      <c r="B21" s="175"/>
      <c r="C21" s="175"/>
      <c r="D21" s="27"/>
      <c r="E21" s="30"/>
      <c r="F21" s="27"/>
      <c r="G21" s="27"/>
      <c r="H21" s="27"/>
      <c r="I21" s="27"/>
      <c r="J21" s="27"/>
      <c r="K21" s="29"/>
      <c r="L21" s="27"/>
      <c r="M21" s="27"/>
      <c r="N21" s="27"/>
      <c r="O21" s="27"/>
      <c r="P21" s="30"/>
      <c r="Q21" s="30"/>
      <c r="R21" s="50"/>
    </row>
    <row r="22" spans="1:18" ht="13.8" x14ac:dyDescent="0.25">
      <c r="A22" s="50" t="s">
        <v>84</v>
      </c>
      <c r="B22" s="19" t="s">
        <v>28</v>
      </c>
      <c r="C22" s="20" t="s">
        <v>29</v>
      </c>
      <c r="D22" s="21">
        <v>20390</v>
      </c>
      <c r="E22" s="21">
        <v>13220.41</v>
      </c>
      <c r="F22" s="21">
        <v>21390</v>
      </c>
      <c r="G22" s="21">
        <v>14802.57</v>
      </c>
      <c r="H22" s="21">
        <v>21390</v>
      </c>
      <c r="I22" s="21">
        <v>111143.09</v>
      </c>
      <c r="J22" s="21">
        <v>19390</v>
      </c>
      <c r="K22" s="23"/>
      <c r="L22" s="21">
        <f>14670-5000</f>
        <v>9670</v>
      </c>
      <c r="M22" s="21">
        <f t="shared" ref="M22:N22" si="10">14670-5000</f>
        <v>9670</v>
      </c>
      <c r="N22" s="21">
        <f t="shared" si="10"/>
        <v>9670</v>
      </c>
      <c r="O22" s="21">
        <v>19390</v>
      </c>
      <c r="P22" s="21">
        <f>+N22-J22</f>
        <v>-9720</v>
      </c>
      <c r="Q22" s="21">
        <f>+N22-O22</f>
        <v>-9720</v>
      </c>
    </row>
    <row r="23" spans="1:18" ht="13.8" x14ac:dyDescent="0.25">
      <c r="A23" s="176" t="s">
        <v>76</v>
      </c>
      <c r="B23" s="176"/>
      <c r="C23" s="176"/>
      <c r="D23" s="24">
        <f t="shared" ref="D23" si="11">SUM(D22:D22)</f>
        <v>20390</v>
      </c>
      <c r="E23" s="24">
        <v>44039.94</v>
      </c>
      <c r="F23" s="24">
        <f t="shared" ref="F23" si="12">SUM(F22:F22)</f>
        <v>21390</v>
      </c>
      <c r="G23" s="24">
        <f>SUM(G22:G22)</f>
        <v>14802.57</v>
      </c>
      <c r="H23" s="24">
        <f t="shared" ref="H23" si="13">SUM(H22:H22)</f>
        <v>21390</v>
      </c>
      <c r="I23" s="24">
        <f>SUM(I22:I22)</f>
        <v>111143.09</v>
      </c>
      <c r="J23" s="24">
        <f t="shared" ref="J23" si="14">SUM(J22:J22)</f>
        <v>19390</v>
      </c>
      <c r="K23" s="26"/>
      <c r="L23" s="24">
        <f t="shared" ref="L23:O23" si="15">SUM(L22:L22)</f>
        <v>9670</v>
      </c>
      <c r="M23" s="24">
        <f t="shared" si="15"/>
        <v>9670</v>
      </c>
      <c r="N23" s="24">
        <f t="shared" si="15"/>
        <v>9670</v>
      </c>
      <c r="O23" s="24">
        <f t="shared" si="15"/>
        <v>19390</v>
      </c>
      <c r="P23" s="24">
        <f>SUM(P22:P22)</f>
        <v>-9720</v>
      </c>
      <c r="Q23" s="24">
        <f>SUM(Q22:Q22)</f>
        <v>-9720</v>
      </c>
    </row>
    <row r="24" spans="1:18" ht="13.8" x14ac:dyDescent="0.25">
      <c r="A24" s="175" t="s">
        <v>45</v>
      </c>
      <c r="B24" s="175"/>
      <c r="C24" s="175"/>
      <c r="D24" s="27"/>
      <c r="E24" s="30"/>
      <c r="F24" s="27"/>
      <c r="G24" s="27"/>
      <c r="H24" s="27"/>
      <c r="I24" s="27"/>
      <c r="J24" s="27"/>
      <c r="K24" s="29"/>
      <c r="L24" s="27"/>
      <c r="M24" s="27"/>
      <c r="N24" s="27"/>
      <c r="O24" s="27"/>
      <c r="P24" s="30"/>
      <c r="Q24" s="30"/>
      <c r="R24" s="20"/>
    </row>
    <row r="25" spans="1:18" ht="13.8" x14ac:dyDescent="0.25">
      <c r="A25" s="50" t="s">
        <v>84</v>
      </c>
      <c r="B25" s="19" t="s">
        <v>22</v>
      </c>
      <c r="C25" s="20" t="s">
        <v>23</v>
      </c>
      <c r="D25" s="21">
        <v>12000</v>
      </c>
      <c r="E25" s="21">
        <v>4526.16</v>
      </c>
      <c r="F25" s="21">
        <v>10000</v>
      </c>
      <c r="G25" s="21">
        <v>5910.93</v>
      </c>
      <c r="H25" s="21">
        <v>10000</v>
      </c>
      <c r="I25" s="21">
        <v>4311</v>
      </c>
      <c r="J25" s="21">
        <v>6500</v>
      </c>
      <c r="K25" s="23"/>
      <c r="L25" s="21">
        <v>4600</v>
      </c>
      <c r="M25" s="21">
        <v>4600</v>
      </c>
      <c r="N25" s="21">
        <v>4600</v>
      </c>
      <c r="O25" s="21">
        <f t="shared" ref="O25" si="16">10000-3500</f>
        <v>6500</v>
      </c>
      <c r="P25" s="21">
        <f>+N25-J25</f>
        <v>-1900</v>
      </c>
      <c r="Q25" s="21">
        <f>+N25-O25</f>
        <v>-1900</v>
      </c>
    </row>
    <row r="26" spans="1:18" ht="13.8" x14ac:dyDescent="0.25">
      <c r="A26" s="50" t="s">
        <v>84</v>
      </c>
      <c r="B26" s="19" t="s">
        <v>46</v>
      </c>
      <c r="C26" s="20" t="s">
        <v>47</v>
      </c>
      <c r="D26" s="21">
        <v>57186</v>
      </c>
      <c r="E26" s="21">
        <v>46611.8</v>
      </c>
      <c r="F26" s="21">
        <v>58186</v>
      </c>
      <c r="G26" s="21">
        <v>50475.42</v>
      </c>
      <c r="H26" s="21">
        <v>58186</v>
      </c>
      <c r="I26" s="21">
        <v>49912.4</v>
      </c>
      <c r="J26" s="21">
        <v>55600</v>
      </c>
      <c r="K26" s="23"/>
      <c r="L26" s="21">
        <v>34250</v>
      </c>
      <c r="M26" s="21">
        <v>34250</v>
      </c>
      <c r="N26" s="21">
        <v>34250</v>
      </c>
      <c r="O26" s="21">
        <f>55600-18613-434-264</f>
        <v>36289</v>
      </c>
      <c r="P26" s="21">
        <f>+N26-J26</f>
        <v>-21350</v>
      </c>
      <c r="Q26" s="21">
        <f>+N26-O26</f>
        <v>-2039</v>
      </c>
    </row>
    <row r="27" spans="1:18" ht="13.8" x14ac:dyDescent="0.25">
      <c r="A27" s="50" t="s">
        <v>84</v>
      </c>
      <c r="B27" s="19" t="s">
        <v>24</v>
      </c>
      <c r="C27" s="20" t="s">
        <v>25</v>
      </c>
      <c r="D27" s="21">
        <v>1500</v>
      </c>
      <c r="E27" s="21">
        <v>940</v>
      </c>
      <c r="F27" s="21">
        <v>1500</v>
      </c>
      <c r="G27" s="21">
        <v>3276.8</v>
      </c>
      <c r="H27" s="21">
        <v>2500</v>
      </c>
      <c r="I27" s="21">
        <v>516.5</v>
      </c>
      <c r="J27" s="21">
        <v>2750</v>
      </c>
      <c r="K27" s="23"/>
      <c r="L27" s="21">
        <v>3000</v>
      </c>
      <c r="M27" s="21">
        <v>3000</v>
      </c>
      <c r="N27" s="21">
        <v>3000</v>
      </c>
      <c r="O27" s="21">
        <f t="shared" ref="O27" si="17">2500+250</f>
        <v>2750</v>
      </c>
      <c r="P27" s="21">
        <f>+N27-J27</f>
        <v>250</v>
      </c>
      <c r="Q27" s="21">
        <f>+N27-O27</f>
        <v>250</v>
      </c>
    </row>
    <row r="28" spans="1:18" ht="13.8" x14ac:dyDescent="0.25">
      <c r="A28" s="50" t="s">
        <v>84</v>
      </c>
      <c r="B28" s="19" t="s">
        <v>26</v>
      </c>
      <c r="C28" s="20" t="s">
        <v>27</v>
      </c>
      <c r="D28" s="21">
        <v>2900</v>
      </c>
      <c r="E28" s="21">
        <v>167.49</v>
      </c>
      <c r="F28" s="21">
        <v>2900</v>
      </c>
      <c r="G28" s="21">
        <v>783.47</v>
      </c>
      <c r="H28" s="21">
        <v>2900</v>
      </c>
      <c r="I28" s="21">
        <v>741.76</v>
      </c>
      <c r="J28" s="21">
        <v>1700</v>
      </c>
      <c r="K28" s="23"/>
      <c r="L28" s="21">
        <v>6900</v>
      </c>
      <c r="M28" s="21">
        <v>6900</v>
      </c>
      <c r="N28" s="21">
        <v>6900</v>
      </c>
      <c r="O28" s="21">
        <f t="shared" ref="O28" si="18">2900-1200</f>
        <v>1700</v>
      </c>
      <c r="P28" s="21">
        <f>+N28-J28</f>
        <v>5200</v>
      </c>
      <c r="Q28" s="21">
        <f>+N28-O28</f>
        <v>5200</v>
      </c>
    </row>
    <row r="29" spans="1:18" ht="13.8" x14ac:dyDescent="0.25">
      <c r="A29" s="177" t="s">
        <v>85</v>
      </c>
      <c r="B29" s="177"/>
      <c r="C29" s="177"/>
      <c r="D29" s="24">
        <f t="shared" ref="D29" si="19">SUM(D25:D28)</f>
        <v>73586</v>
      </c>
      <c r="E29" s="24">
        <v>54976.85</v>
      </c>
      <c r="F29" s="24">
        <f t="shared" ref="F29" si="20">SUM(F25:F28)</f>
        <v>72586</v>
      </c>
      <c r="G29" s="24">
        <f>SUM(G25:G28)</f>
        <v>60446.62</v>
      </c>
      <c r="H29" s="24">
        <f t="shared" ref="H29" si="21">SUM(H25:H28)</f>
        <v>73586</v>
      </c>
      <c r="I29" s="24">
        <f>SUM(I25:I28)</f>
        <v>55481.66</v>
      </c>
      <c r="J29" s="24">
        <f t="shared" ref="J29" si="22">SUM(J25:J28)</f>
        <v>66550</v>
      </c>
      <c r="K29" s="26"/>
      <c r="L29" s="24">
        <f t="shared" ref="L29:Q29" si="23">SUM(L25:L28)</f>
        <v>48750</v>
      </c>
      <c r="M29" s="24">
        <f t="shared" si="23"/>
        <v>48750</v>
      </c>
      <c r="N29" s="24">
        <f t="shared" si="23"/>
        <v>48750</v>
      </c>
      <c r="O29" s="24">
        <f t="shared" si="23"/>
        <v>47239</v>
      </c>
      <c r="P29" s="24">
        <f t="shared" si="23"/>
        <v>-17800</v>
      </c>
      <c r="Q29" s="24">
        <f t="shared" si="23"/>
        <v>1511</v>
      </c>
    </row>
    <row r="30" spans="1:18" ht="13.8" x14ac:dyDescent="0.25">
      <c r="A30" s="175" t="s">
        <v>30</v>
      </c>
      <c r="B30" s="175"/>
      <c r="C30" s="175"/>
      <c r="D30" s="27"/>
      <c r="E30" s="30"/>
      <c r="F30" s="27"/>
      <c r="G30" s="27"/>
      <c r="H30" s="27"/>
      <c r="I30" s="27"/>
      <c r="J30" s="27"/>
      <c r="K30" s="29"/>
      <c r="L30" s="27"/>
      <c r="M30" s="27"/>
      <c r="N30" s="27"/>
      <c r="O30" s="27"/>
      <c r="P30" s="30"/>
      <c r="Q30" s="30"/>
    </row>
    <row r="31" spans="1:18" ht="13.8" x14ac:dyDescent="0.25">
      <c r="A31" s="50" t="s">
        <v>84</v>
      </c>
      <c r="B31" s="19" t="s">
        <v>51</v>
      </c>
      <c r="C31" s="20" t="s">
        <v>48</v>
      </c>
      <c r="D31" s="21">
        <v>1575</v>
      </c>
      <c r="E31" s="21">
        <v>2142.84</v>
      </c>
      <c r="F31" s="21">
        <v>1575</v>
      </c>
      <c r="G31" s="21">
        <v>3511.98</v>
      </c>
      <c r="H31" s="21">
        <v>1575</v>
      </c>
      <c r="I31" s="21">
        <v>1848.73</v>
      </c>
      <c r="J31" s="21">
        <v>1575</v>
      </c>
      <c r="K31" s="23"/>
      <c r="L31" s="21">
        <v>2500</v>
      </c>
      <c r="M31" s="21">
        <v>2500</v>
      </c>
      <c r="N31" s="21">
        <v>2500</v>
      </c>
      <c r="O31" s="21">
        <v>1575</v>
      </c>
      <c r="P31" s="21">
        <f>+N31-J31</f>
        <v>925</v>
      </c>
      <c r="Q31" s="21">
        <f>+N31-O31</f>
        <v>925</v>
      </c>
    </row>
    <row r="32" spans="1:18" ht="13.8" x14ac:dyDescent="0.25">
      <c r="A32" s="50" t="s">
        <v>84</v>
      </c>
      <c r="B32" s="19" t="s">
        <v>52</v>
      </c>
      <c r="C32" s="20" t="s">
        <v>49</v>
      </c>
      <c r="D32" s="21">
        <v>750</v>
      </c>
      <c r="E32" s="21">
        <v>2407.98</v>
      </c>
      <c r="F32" s="21">
        <v>750</v>
      </c>
      <c r="G32" s="21">
        <v>745.19</v>
      </c>
      <c r="H32" s="21">
        <v>750</v>
      </c>
      <c r="I32" s="21">
        <v>200.57</v>
      </c>
      <c r="J32" s="21">
        <v>750</v>
      </c>
      <c r="K32" s="23"/>
      <c r="L32" s="21">
        <v>1724</v>
      </c>
      <c r="M32" s="21">
        <v>1724</v>
      </c>
      <c r="N32" s="21">
        <v>1724</v>
      </c>
      <c r="O32" s="21">
        <v>750</v>
      </c>
      <c r="P32" s="21">
        <f>+N32-J32</f>
        <v>974</v>
      </c>
      <c r="Q32" s="21">
        <f>+N32-O32</f>
        <v>974</v>
      </c>
    </row>
    <row r="33" spans="1:17" ht="13.8" x14ac:dyDescent="0.25">
      <c r="A33" s="50" t="s">
        <v>84</v>
      </c>
      <c r="B33" s="19" t="s">
        <v>53</v>
      </c>
      <c r="C33" s="20" t="s">
        <v>50</v>
      </c>
      <c r="D33" s="21">
        <v>250</v>
      </c>
      <c r="E33" s="21">
        <v>0</v>
      </c>
      <c r="F33" s="21">
        <v>250</v>
      </c>
      <c r="G33" s="21">
        <v>425.31</v>
      </c>
      <c r="H33" s="21">
        <v>250</v>
      </c>
      <c r="I33" s="21">
        <v>489.61</v>
      </c>
      <c r="J33" s="21">
        <v>250</v>
      </c>
      <c r="K33" s="23"/>
      <c r="L33" s="21">
        <v>75</v>
      </c>
      <c r="M33" s="21">
        <v>75</v>
      </c>
      <c r="N33" s="21">
        <v>75</v>
      </c>
      <c r="O33" s="21">
        <v>250</v>
      </c>
      <c r="P33" s="21">
        <f>+N33-J33</f>
        <v>-175</v>
      </c>
      <c r="Q33" s="21">
        <f>+N33-O33</f>
        <v>-175</v>
      </c>
    </row>
    <row r="34" spans="1:17" ht="13.8" x14ac:dyDescent="0.25">
      <c r="A34" s="177" t="s">
        <v>77</v>
      </c>
      <c r="B34" s="177"/>
      <c r="C34" s="177"/>
      <c r="D34" s="24">
        <f t="shared" ref="D34" si="24">SUM(D31:D33)</f>
        <v>2575</v>
      </c>
      <c r="E34" s="24">
        <v>2386.31</v>
      </c>
      <c r="F34" s="24">
        <f t="shared" ref="F34" si="25">SUM(F31:F33)</f>
        <v>2575</v>
      </c>
      <c r="G34" s="24">
        <f>SUM(G31:G33)</f>
        <v>4682.4800000000005</v>
      </c>
      <c r="H34" s="24">
        <f t="shared" ref="H34" si="26">SUM(H31:H33)</f>
        <v>2575</v>
      </c>
      <c r="I34" s="24">
        <f>SUM(I31:I33)</f>
        <v>2538.9100000000003</v>
      </c>
      <c r="J34" s="24">
        <f t="shared" ref="J34" si="27">SUM(J31:J33)</f>
        <v>2575</v>
      </c>
      <c r="K34" s="26"/>
      <c r="L34" s="24">
        <f t="shared" ref="L34:O34" si="28">SUM(L31:L33)</f>
        <v>4299</v>
      </c>
      <c r="M34" s="24">
        <f t="shared" si="28"/>
        <v>4299</v>
      </c>
      <c r="N34" s="24">
        <f t="shared" si="28"/>
        <v>4299</v>
      </c>
      <c r="O34" s="24">
        <f t="shared" si="28"/>
        <v>2575</v>
      </c>
      <c r="P34" s="24">
        <f>SUM(P31:P33)</f>
        <v>1724</v>
      </c>
      <c r="Q34" s="24">
        <f>SUM(Q31:Q33)</f>
        <v>1724</v>
      </c>
    </row>
    <row r="35" spans="1:17" ht="13.8" x14ac:dyDescent="0.25">
      <c r="A35" s="175" t="s">
        <v>54</v>
      </c>
      <c r="B35" s="175"/>
      <c r="C35" s="175"/>
      <c r="D35" s="51"/>
      <c r="E35" s="27"/>
      <c r="F35" s="51"/>
      <c r="G35" s="27"/>
      <c r="H35" s="51"/>
      <c r="I35" s="51"/>
      <c r="J35" s="51"/>
      <c r="K35" s="29"/>
      <c r="L35" s="51"/>
      <c r="M35" s="51"/>
      <c r="N35" s="51"/>
      <c r="O35" s="51"/>
      <c r="P35" s="27"/>
      <c r="Q35" s="27"/>
    </row>
    <row r="36" spans="1:17" ht="13.8" x14ac:dyDescent="0.25">
      <c r="A36" s="50" t="s">
        <v>84</v>
      </c>
      <c r="B36" s="20" t="s">
        <v>55</v>
      </c>
      <c r="C36" s="20" t="s">
        <v>56</v>
      </c>
      <c r="D36" s="21">
        <v>0</v>
      </c>
      <c r="E36" s="21">
        <v>2257.39</v>
      </c>
      <c r="F36" s="21">
        <v>0</v>
      </c>
      <c r="G36" s="21">
        <v>0</v>
      </c>
      <c r="H36" s="21">
        <v>0</v>
      </c>
      <c r="I36" s="21">
        <v>0</v>
      </c>
      <c r="J36" s="21">
        <v>0</v>
      </c>
      <c r="K36" s="23"/>
      <c r="L36" s="21">
        <v>0</v>
      </c>
      <c r="M36" s="21">
        <v>0</v>
      </c>
      <c r="N36" s="21">
        <v>0</v>
      </c>
      <c r="O36" s="21">
        <v>0</v>
      </c>
      <c r="P36" s="21">
        <v>0</v>
      </c>
      <c r="Q36" s="21">
        <v>0</v>
      </c>
    </row>
    <row r="37" spans="1:17" ht="13.8" x14ac:dyDescent="0.25">
      <c r="A37" s="177" t="s">
        <v>86</v>
      </c>
      <c r="B37" s="177"/>
      <c r="C37" s="177"/>
      <c r="D37" s="24">
        <f t="shared" ref="D37:F37" si="29">SUM(D36:D36)</f>
        <v>0</v>
      </c>
      <c r="E37" s="24">
        <f t="shared" si="29"/>
        <v>2257.39</v>
      </c>
      <c r="F37" s="24">
        <f t="shared" si="29"/>
        <v>0</v>
      </c>
      <c r="G37" s="24">
        <f>SUM(G36:G36)</f>
        <v>0</v>
      </c>
      <c r="H37" s="24">
        <f t="shared" ref="H37" si="30">SUM(H36:H36)</f>
        <v>0</v>
      </c>
      <c r="I37" s="24">
        <f>SUM(I36:I36)</f>
        <v>0</v>
      </c>
      <c r="J37" s="24">
        <f t="shared" ref="J37" si="31">SUM(J36:J36)</f>
        <v>0</v>
      </c>
      <c r="K37" s="26"/>
      <c r="L37" s="24">
        <f>SUM(L36:L36)</f>
        <v>0</v>
      </c>
      <c r="M37" s="24">
        <f>SUM(M36:M36)</f>
        <v>0</v>
      </c>
      <c r="N37" s="24">
        <f>SUM(N36:N36)</f>
        <v>0</v>
      </c>
      <c r="O37" s="24">
        <f>SUM(O36:O36)</f>
        <v>0</v>
      </c>
      <c r="P37" s="24">
        <f t="shared" ref="P37:Q37" si="32">SUM(P36:P36)</f>
        <v>0</v>
      </c>
      <c r="Q37" s="24">
        <f t="shared" si="32"/>
        <v>0</v>
      </c>
    </row>
    <row r="38" spans="1:17" ht="13.8" x14ac:dyDescent="0.25">
      <c r="A38" s="178" t="s">
        <v>78</v>
      </c>
      <c r="B38" s="178"/>
      <c r="C38" s="178"/>
      <c r="D38" s="40">
        <f t="shared" ref="D38" si="33">D13+D20+D23+D29+D34+D37</f>
        <v>462636</v>
      </c>
      <c r="E38" s="40">
        <f>E13+E20+E23+E29+E34+E37</f>
        <v>475974.83</v>
      </c>
      <c r="F38" s="40">
        <f t="shared" ref="F38" si="34">F13+F20+F23+F29+F34+F37</f>
        <v>608177</v>
      </c>
      <c r="G38" s="40">
        <f>G13+G20+G23+G29+G34+G37</f>
        <v>669084.99999999988</v>
      </c>
      <c r="H38" s="40">
        <f t="shared" ref="H38" si="35">H13+H20+H23+H29+H34+H37</f>
        <v>756036</v>
      </c>
      <c r="I38" s="40">
        <f>I13+I20+I23+I29+I34+I37</f>
        <v>791622.84000000008</v>
      </c>
      <c r="J38" s="40">
        <f t="shared" ref="J38" si="36">J13+J20+J23+J29+J34+J37</f>
        <v>811284</v>
      </c>
      <c r="K38" s="26"/>
      <c r="L38" s="40">
        <f t="shared" ref="L38:N38" si="37">L13+L20+L23+L29+L34+L37</f>
        <v>712231</v>
      </c>
      <c r="M38" s="40">
        <f t="shared" si="37"/>
        <v>712231</v>
      </c>
      <c r="N38" s="40">
        <f t="shared" si="37"/>
        <v>712231</v>
      </c>
      <c r="O38" s="40">
        <f>O13+O20+O23+O29+O34+O37</f>
        <v>718716</v>
      </c>
      <c r="P38" s="40">
        <f t="shared" ref="P38:Q38" si="38">P13+P20+P23+P29+P34+P37</f>
        <v>-99053</v>
      </c>
      <c r="Q38" s="40">
        <f t="shared" si="38"/>
        <v>-6485</v>
      </c>
    </row>
    <row r="39" spans="1:17" ht="13.8" x14ac:dyDescent="0.25">
      <c r="A39" s="178" t="s">
        <v>87</v>
      </c>
      <c r="B39" s="178"/>
      <c r="C39" s="178"/>
      <c r="D39" s="40">
        <f>D38</f>
        <v>462636</v>
      </c>
      <c r="E39" s="40">
        <f t="shared" ref="E39:J40" si="39">E38</f>
        <v>475974.83</v>
      </c>
      <c r="F39" s="40">
        <f>F38</f>
        <v>608177</v>
      </c>
      <c r="G39" s="40">
        <f t="shared" si="39"/>
        <v>669084.99999999988</v>
      </c>
      <c r="H39" s="40">
        <f t="shared" si="39"/>
        <v>756036</v>
      </c>
      <c r="I39" s="40">
        <f t="shared" si="39"/>
        <v>791622.84000000008</v>
      </c>
      <c r="J39" s="40">
        <f t="shared" si="39"/>
        <v>811284</v>
      </c>
      <c r="K39" s="26"/>
      <c r="L39" s="40">
        <f t="shared" ref="L39:Q40" si="40">L38</f>
        <v>712231</v>
      </c>
      <c r="M39" s="40">
        <f t="shared" si="40"/>
        <v>712231</v>
      </c>
      <c r="N39" s="40">
        <f t="shared" si="40"/>
        <v>712231</v>
      </c>
      <c r="O39" s="40">
        <f t="shared" si="40"/>
        <v>718716</v>
      </c>
      <c r="P39" s="40">
        <f t="shared" si="40"/>
        <v>-99053</v>
      </c>
      <c r="Q39" s="40">
        <f t="shared" si="40"/>
        <v>-6485</v>
      </c>
    </row>
    <row r="40" spans="1:17" ht="13.8" x14ac:dyDescent="0.25">
      <c r="A40" s="179" t="s">
        <v>80</v>
      </c>
      <c r="B40" s="179"/>
      <c r="C40" s="179"/>
      <c r="D40" s="41">
        <f>D39</f>
        <v>462636</v>
      </c>
      <c r="E40" s="41">
        <f t="shared" si="39"/>
        <v>475974.83</v>
      </c>
      <c r="F40" s="41">
        <f>F39</f>
        <v>608177</v>
      </c>
      <c r="G40" s="41">
        <f t="shared" si="39"/>
        <v>669084.99999999988</v>
      </c>
      <c r="H40" s="41">
        <f t="shared" si="39"/>
        <v>756036</v>
      </c>
      <c r="I40" s="41">
        <f t="shared" si="39"/>
        <v>791622.84000000008</v>
      </c>
      <c r="J40" s="41">
        <f t="shared" si="39"/>
        <v>811284</v>
      </c>
      <c r="K40" s="26"/>
      <c r="L40" s="41">
        <f t="shared" si="40"/>
        <v>712231</v>
      </c>
      <c r="M40" s="41">
        <f t="shared" si="40"/>
        <v>712231</v>
      </c>
      <c r="N40" s="41">
        <f t="shared" si="40"/>
        <v>712231</v>
      </c>
      <c r="O40" s="41">
        <f t="shared" si="40"/>
        <v>718716</v>
      </c>
      <c r="P40" s="41">
        <f t="shared" si="40"/>
        <v>-99053</v>
      </c>
      <c r="Q40" s="41">
        <f t="shared" si="40"/>
        <v>-6485</v>
      </c>
    </row>
    <row r="41" spans="1:17" ht="13.8" x14ac:dyDescent="0.25">
      <c r="D41" s="27"/>
      <c r="E41" s="30"/>
      <c r="F41" s="27"/>
      <c r="G41" s="27"/>
      <c r="H41" s="27"/>
      <c r="I41" s="27"/>
      <c r="J41" s="27"/>
      <c r="K41" s="29"/>
      <c r="L41" s="27"/>
      <c r="M41" s="27"/>
      <c r="N41" s="27"/>
      <c r="O41" s="27"/>
      <c r="P41" s="30"/>
      <c r="Q41" s="30"/>
    </row>
    <row r="42" spans="1:17" ht="13.8" x14ac:dyDescent="0.25">
      <c r="A42" s="179" t="s">
        <v>81</v>
      </c>
      <c r="B42" s="179"/>
      <c r="C42" s="179"/>
      <c r="D42" s="41">
        <f>D40</f>
        <v>462636</v>
      </c>
      <c r="E42" s="41">
        <f t="shared" ref="E42" si="41">E40</f>
        <v>475974.83</v>
      </c>
      <c r="F42" s="41">
        <f>F40</f>
        <v>608177</v>
      </c>
      <c r="G42" s="41">
        <f>G40</f>
        <v>669084.99999999988</v>
      </c>
      <c r="H42" s="41">
        <f>H40</f>
        <v>756036</v>
      </c>
      <c r="I42" s="41">
        <f>I40</f>
        <v>791622.84000000008</v>
      </c>
      <c r="J42" s="41">
        <f>J40</f>
        <v>811284</v>
      </c>
      <c r="K42" s="26"/>
      <c r="L42" s="41">
        <f t="shared" ref="L42:N42" si="42">L40</f>
        <v>712231</v>
      </c>
      <c r="M42" s="41">
        <f t="shared" si="42"/>
        <v>712231</v>
      </c>
      <c r="N42" s="41">
        <f t="shared" si="42"/>
        <v>712231</v>
      </c>
      <c r="O42" s="41">
        <f>O40</f>
        <v>718716</v>
      </c>
      <c r="P42" s="41">
        <f t="shared" ref="P42:Q42" si="43">P40</f>
        <v>-99053</v>
      </c>
      <c r="Q42" s="41">
        <f t="shared" si="43"/>
        <v>-6485</v>
      </c>
    </row>
    <row r="43" spans="1:17" x14ac:dyDescent="0.3">
      <c r="J43" s="30"/>
      <c r="K43" s="30"/>
      <c r="L43" s="30"/>
      <c r="M43" s="30"/>
      <c r="N43" s="30"/>
      <c r="O43" s="30"/>
    </row>
    <row r="54" spans="12:15" x14ac:dyDescent="0.3">
      <c r="L54" s="3">
        <f t="shared" ref="L54:O54" si="44">SUM(L47:L53)</f>
        <v>0</v>
      </c>
      <c r="M54" s="3">
        <f t="shared" si="44"/>
        <v>0</v>
      </c>
      <c r="N54" s="3">
        <f t="shared" si="44"/>
        <v>0</v>
      </c>
      <c r="O54" s="3">
        <f t="shared" si="44"/>
        <v>0</v>
      </c>
    </row>
  </sheetData>
  <mergeCells count="21">
    <mergeCell ref="A39:C39"/>
    <mergeCell ref="A40:C40"/>
    <mergeCell ref="A42:C42"/>
    <mergeCell ref="A29:C29"/>
    <mergeCell ref="A30:C30"/>
    <mergeCell ref="A34:C34"/>
    <mergeCell ref="A35:C35"/>
    <mergeCell ref="A37:C37"/>
    <mergeCell ref="A38:C38"/>
    <mergeCell ref="A24:C24"/>
    <mergeCell ref="A1:Q1"/>
    <mergeCell ref="A5:C5"/>
    <mergeCell ref="A6:C6"/>
    <mergeCell ref="A7:C7"/>
    <mergeCell ref="A8:C8"/>
    <mergeCell ref="A9:C9"/>
    <mergeCell ref="A13:C13"/>
    <mergeCell ref="A14:C14"/>
    <mergeCell ref="A20:C20"/>
    <mergeCell ref="A21:C21"/>
    <mergeCell ref="A23:C23"/>
  </mergeCells>
  <printOptions horizontalCentered="1" verticalCentered="1"/>
  <pageMargins left="0.7" right="0.7" top="0.75" bottom="0.75" header="0.3" footer="0.3"/>
  <pageSetup scale="60" fitToHeight="0" orientation="landscape" r:id="rId1"/>
  <headerFooter>
    <oddFooter>&amp;RBudget Kick Off - 11.01.25</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08C61-FF91-42F7-B95F-4F9A087DCB41}">
  <sheetPr codeName="Sheet6">
    <tabColor rgb="FF92D050"/>
    <pageSetUpPr fitToPage="1"/>
  </sheetPr>
  <dimension ref="A1:Q54"/>
  <sheetViews>
    <sheetView zoomScaleNormal="100" workbookViewId="0">
      <selection activeCell="C15" sqref="C15"/>
    </sheetView>
  </sheetViews>
  <sheetFormatPr defaultColWidth="9.109375" defaultRowHeight="14.4" x14ac:dyDescent="0.3"/>
  <cols>
    <col min="1" max="1" width="9.5546875" style="3" bestFit="1" customWidth="1"/>
    <col min="2" max="2" width="15.33203125" style="10" bestFit="1" customWidth="1"/>
    <col min="3" max="3" width="22.44140625" style="3" bestFit="1" customWidth="1"/>
    <col min="4" max="4" width="11" style="3" customWidth="1"/>
    <col min="5" max="5" width="7" style="3" bestFit="1" customWidth="1"/>
    <col min="6" max="6" width="11" style="3" customWidth="1"/>
    <col min="7" max="7" width="7" style="3" bestFit="1" customWidth="1"/>
    <col min="8" max="8" width="6.5546875" style="3" bestFit="1" customWidth="1"/>
    <col min="9" max="9" width="7" style="3" bestFit="1" customWidth="1"/>
    <col min="10" max="10" width="11" style="3" bestFit="1" customWidth="1"/>
    <col min="11" max="11" width="1.109375" style="3" customWidth="1"/>
    <col min="12" max="14" width="14" style="3" bestFit="1" customWidth="1"/>
    <col min="15" max="15" width="12.44140625" style="3" bestFit="1" customWidth="1"/>
    <col min="16" max="16" width="14" bestFit="1" customWidth="1"/>
    <col min="17" max="17" width="11.44140625" customWidth="1"/>
    <col min="18" max="16384" width="9.109375" style="3"/>
  </cols>
  <sheetData>
    <row r="1" spans="1:17" ht="75" customHeight="1" x14ac:dyDescent="0.25">
      <c r="A1" s="170" t="s">
        <v>88</v>
      </c>
      <c r="B1" s="170"/>
      <c r="C1" s="170"/>
      <c r="D1" s="170"/>
      <c r="E1" s="170"/>
      <c r="F1" s="170"/>
      <c r="G1" s="170"/>
      <c r="H1" s="170"/>
      <c r="I1" s="170"/>
      <c r="J1" s="170"/>
      <c r="K1" s="170"/>
      <c r="L1" s="170"/>
      <c r="M1" s="170"/>
      <c r="N1" s="170"/>
      <c r="O1" s="170"/>
      <c r="P1" s="170"/>
      <c r="Q1" s="170"/>
    </row>
    <row r="2" spans="1:17" ht="6" customHeight="1" x14ac:dyDescent="0.3"/>
    <row r="3" spans="1:17" s="49" customFormat="1" ht="52.8" x14ac:dyDescent="0.25">
      <c r="A3" s="7"/>
      <c r="B3" s="7" t="s">
        <v>0</v>
      </c>
      <c r="C3" s="7" t="s">
        <v>1</v>
      </c>
      <c r="D3" s="7" t="s">
        <v>3</v>
      </c>
      <c r="E3" s="7" t="s">
        <v>2</v>
      </c>
      <c r="F3" s="7" t="s">
        <v>4</v>
      </c>
      <c r="G3" s="7" t="s">
        <v>5</v>
      </c>
      <c r="H3" s="7" t="s">
        <v>6</v>
      </c>
      <c r="I3" s="7" t="s">
        <v>7</v>
      </c>
      <c r="J3" s="7" t="s">
        <v>8</v>
      </c>
      <c r="K3" s="8"/>
      <c r="L3" s="9" t="s">
        <v>64</v>
      </c>
      <c r="M3" s="9" t="s">
        <v>65</v>
      </c>
      <c r="N3" s="9" t="s">
        <v>66</v>
      </c>
      <c r="O3" s="9" t="s">
        <v>9</v>
      </c>
      <c r="P3" s="9" t="s">
        <v>67</v>
      </c>
      <c r="Q3" s="7" t="s">
        <v>68</v>
      </c>
    </row>
    <row r="4" spans="1:17" ht="6" customHeight="1" x14ac:dyDescent="0.25">
      <c r="K4" s="11"/>
      <c r="P4" s="3"/>
      <c r="Q4" s="3"/>
    </row>
    <row r="5" spans="1:17" ht="13.8" x14ac:dyDescent="0.25">
      <c r="A5" s="171" t="s">
        <v>69</v>
      </c>
      <c r="B5" s="171"/>
      <c r="C5" s="171"/>
      <c r="D5" s="12"/>
      <c r="E5" s="12"/>
      <c r="F5" s="12"/>
      <c r="G5" s="12"/>
      <c r="H5" s="12"/>
      <c r="I5" s="12"/>
      <c r="K5" s="11"/>
      <c r="P5" s="3"/>
      <c r="Q5" s="3"/>
    </row>
    <row r="6" spans="1:17" ht="13.8" x14ac:dyDescent="0.25">
      <c r="A6" s="172" t="s">
        <v>70</v>
      </c>
      <c r="B6" s="172"/>
      <c r="C6" s="172"/>
      <c r="D6" s="14"/>
      <c r="E6" s="14"/>
      <c r="F6" s="14"/>
      <c r="G6" s="14"/>
      <c r="H6" s="14"/>
      <c r="I6" s="14"/>
      <c r="K6" s="11"/>
      <c r="P6" s="3"/>
      <c r="Q6" s="3"/>
    </row>
    <row r="7" spans="1:17" ht="13.8" x14ac:dyDescent="0.25">
      <c r="A7" s="173" t="s">
        <v>89</v>
      </c>
      <c r="B7" s="173"/>
      <c r="C7" s="173"/>
      <c r="D7" s="15"/>
      <c r="E7" s="15"/>
      <c r="F7" s="15"/>
      <c r="G7" s="15"/>
      <c r="H7" s="15"/>
      <c r="I7" s="15"/>
      <c r="K7" s="11"/>
      <c r="P7" s="3"/>
      <c r="Q7" s="3"/>
    </row>
    <row r="8" spans="1:17" ht="13.8" x14ac:dyDescent="0.25">
      <c r="A8" s="174" t="s">
        <v>72</v>
      </c>
      <c r="B8" s="174"/>
      <c r="C8" s="174"/>
      <c r="D8" s="16"/>
      <c r="E8" s="16"/>
      <c r="F8" s="16"/>
      <c r="G8" s="16"/>
      <c r="H8" s="16"/>
      <c r="I8" s="16"/>
      <c r="K8" s="11"/>
      <c r="P8" s="3"/>
      <c r="Q8" s="3"/>
    </row>
    <row r="9" spans="1:17" ht="13.8" x14ac:dyDescent="0.25">
      <c r="A9" s="175" t="s">
        <v>11</v>
      </c>
      <c r="B9" s="175"/>
      <c r="C9" s="175"/>
      <c r="D9" s="17"/>
      <c r="E9" s="17"/>
      <c r="F9" s="17"/>
      <c r="G9" s="17"/>
      <c r="H9" s="17"/>
      <c r="I9" s="17"/>
      <c r="K9" s="11"/>
      <c r="P9" s="3"/>
      <c r="Q9" s="3"/>
    </row>
    <row r="10" spans="1:17" ht="13.8" x14ac:dyDescent="0.25">
      <c r="A10" s="50" t="s">
        <v>90</v>
      </c>
      <c r="B10" s="19" t="s">
        <v>35</v>
      </c>
      <c r="C10" s="20" t="s">
        <v>36</v>
      </c>
      <c r="D10" s="21">
        <v>0</v>
      </c>
      <c r="E10" s="21">
        <v>0</v>
      </c>
      <c r="F10" s="21">
        <v>0</v>
      </c>
      <c r="G10" s="21">
        <v>0</v>
      </c>
      <c r="H10" s="21">
        <v>0</v>
      </c>
      <c r="I10" s="21">
        <v>0</v>
      </c>
      <c r="J10" s="21">
        <v>0</v>
      </c>
      <c r="K10" s="23"/>
      <c r="L10" s="21">
        <v>243403</v>
      </c>
      <c r="M10" s="21">
        <v>243403</v>
      </c>
      <c r="N10" s="21">
        <v>243403</v>
      </c>
      <c r="O10" s="21">
        <v>243403</v>
      </c>
      <c r="P10" s="21">
        <f>+L10-J10</f>
        <v>243403</v>
      </c>
      <c r="Q10" s="21">
        <f>+N10-O10</f>
        <v>0</v>
      </c>
    </row>
    <row r="11" spans="1:17" ht="13.8" x14ac:dyDescent="0.25">
      <c r="A11" s="50" t="s">
        <v>90</v>
      </c>
      <c r="B11" s="19" t="s">
        <v>37</v>
      </c>
      <c r="C11" s="20" t="s">
        <v>38</v>
      </c>
      <c r="D11" s="21">
        <v>0</v>
      </c>
      <c r="E11" s="21">
        <v>0</v>
      </c>
      <c r="F11" s="21">
        <v>0</v>
      </c>
      <c r="G11" s="21">
        <v>0</v>
      </c>
      <c r="H11" s="21">
        <v>0</v>
      </c>
      <c r="I11" s="21">
        <v>0</v>
      </c>
      <c r="J11" s="21">
        <v>0</v>
      </c>
      <c r="K11" s="23"/>
      <c r="L11" s="21">
        <v>95708</v>
      </c>
      <c r="M11" s="21">
        <v>95708</v>
      </c>
      <c r="N11" s="21">
        <v>95708</v>
      </c>
      <c r="O11" s="21">
        <v>0</v>
      </c>
      <c r="P11" s="21">
        <f>+L11-J11</f>
        <v>95708</v>
      </c>
      <c r="Q11" s="21">
        <f>+N11-O11</f>
        <v>95708</v>
      </c>
    </row>
    <row r="12" spans="1:17" ht="13.8" x14ac:dyDescent="0.25">
      <c r="A12" s="50" t="s">
        <v>90</v>
      </c>
      <c r="B12" s="19" t="s">
        <v>39</v>
      </c>
      <c r="C12" s="20" t="s">
        <v>40</v>
      </c>
      <c r="D12" s="21">
        <v>0</v>
      </c>
      <c r="E12" s="21">
        <v>0</v>
      </c>
      <c r="F12" s="21">
        <v>0</v>
      </c>
      <c r="G12" s="21">
        <v>0</v>
      </c>
      <c r="H12" s="21">
        <v>0</v>
      </c>
      <c r="I12" s="21">
        <v>0</v>
      </c>
      <c r="J12" s="21">
        <v>0</v>
      </c>
      <c r="K12" s="23"/>
      <c r="L12" s="21">
        <v>0</v>
      </c>
      <c r="M12" s="21">
        <v>0</v>
      </c>
      <c r="N12" s="21">
        <v>0</v>
      </c>
      <c r="O12" s="21">
        <v>0</v>
      </c>
      <c r="P12" s="21">
        <f>+L12-J12</f>
        <v>0</v>
      </c>
      <c r="Q12" s="21">
        <f>+N12-O12</f>
        <v>0</v>
      </c>
    </row>
    <row r="13" spans="1:17" ht="13.8" x14ac:dyDescent="0.25">
      <c r="A13" s="177" t="s">
        <v>74</v>
      </c>
      <c r="B13" s="177"/>
      <c r="C13" s="177"/>
      <c r="D13" s="24">
        <f t="shared" ref="D13:F13" si="0">SUM(D10:D12)</f>
        <v>0</v>
      </c>
      <c r="E13" s="24">
        <f t="shared" si="0"/>
        <v>0</v>
      </c>
      <c r="F13" s="24">
        <f t="shared" si="0"/>
        <v>0</v>
      </c>
      <c r="G13" s="24">
        <f>SUM(G10:G12)</f>
        <v>0</v>
      </c>
      <c r="H13" s="24">
        <f t="shared" ref="H13" si="1">SUM(H10:H12)</f>
        <v>0</v>
      </c>
      <c r="I13" s="24">
        <f>SUM(I10:I12)</f>
        <v>0</v>
      </c>
      <c r="J13" s="24">
        <f t="shared" ref="J13" si="2">SUM(J10:J12)</f>
        <v>0</v>
      </c>
      <c r="K13" s="26"/>
      <c r="L13" s="24">
        <f t="shared" ref="L13:N13" si="3">SUM(L10:L12)</f>
        <v>339111</v>
      </c>
      <c r="M13" s="24">
        <f t="shared" si="3"/>
        <v>339111</v>
      </c>
      <c r="N13" s="24">
        <f t="shared" si="3"/>
        <v>339111</v>
      </c>
      <c r="O13" s="24">
        <f>SUM(O10:O12)</f>
        <v>243403</v>
      </c>
      <c r="P13" s="24">
        <f t="shared" ref="P13:Q13" si="4">SUM(P10:P12)</f>
        <v>339111</v>
      </c>
      <c r="Q13" s="24">
        <f t="shared" si="4"/>
        <v>95708</v>
      </c>
    </row>
    <row r="14" spans="1:17" ht="13.8" x14ac:dyDescent="0.25">
      <c r="A14" s="175" t="s">
        <v>14</v>
      </c>
      <c r="B14" s="175"/>
      <c r="C14" s="175"/>
      <c r="D14" s="27"/>
      <c r="E14" s="30"/>
      <c r="F14" s="27"/>
      <c r="G14" s="27"/>
      <c r="H14" s="27"/>
      <c r="I14" s="27"/>
      <c r="J14" s="27"/>
      <c r="K14" s="29"/>
      <c r="L14" s="27"/>
      <c r="M14" s="27"/>
      <c r="N14" s="27"/>
      <c r="O14" s="27"/>
      <c r="P14" s="30"/>
      <c r="Q14" s="30"/>
    </row>
    <row r="15" spans="1:17" ht="13.8" x14ac:dyDescent="0.25">
      <c r="A15" s="50" t="s">
        <v>90</v>
      </c>
      <c r="B15" s="19" t="s">
        <v>41</v>
      </c>
      <c r="C15" s="20" t="s">
        <v>42</v>
      </c>
      <c r="D15" s="21">
        <v>0</v>
      </c>
      <c r="E15" s="21">
        <v>0</v>
      </c>
      <c r="F15" s="21">
        <v>0</v>
      </c>
      <c r="G15" s="21">
        <v>0</v>
      </c>
      <c r="H15" s="21">
        <v>0</v>
      </c>
      <c r="I15" s="21">
        <v>0</v>
      </c>
      <c r="J15" s="21">
        <v>0</v>
      </c>
      <c r="K15" s="23"/>
      <c r="L15" s="21">
        <v>2004</v>
      </c>
      <c r="M15" s="21">
        <v>2004</v>
      </c>
      <c r="N15" s="21">
        <v>2004</v>
      </c>
      <c r="O15" s="21">
        <v>2004</v>
      </c>
      <c r="P15" s="21">
        <f>+L15-J15</f>
        <v>2004</v>
      </c>
      <c r="Q15" s="21">
        <f>+N15-O15</f>
        <v>0</v>
      </c>
    </row>
    <row r="16" spans="1:17" ht="13.8" x14ac:dyDescent="0.25">
      <c r="A16" s="50" t="s">
        <v>90</v>
      </c>
      <c r="B16" s="19" t="s">
        <v>15</v>
      </c>
      <c r="C16" s="20" t="s">
        <v>16</v>
      </c>
      <c r="D16" s="21">
        <v>0</v>
      </c>
      <c r="E16" s="21">
        <v>0</v>
      </c>
      <c r="F16" s="21">
        <v>0</v>
      </c>
      <c r="G16" s="21">
        <v>0</v>
      </c>
      <c r="H16" s="21">
        <v>0</v>
      </c>
      <c r="I16" s="21">
        <v>0</v>
      </c>
      <c r="J16" s="21">
        <v>0</v>
      </c>
      <c r="K16" s="23"/>
      <c r="L16" s="21">
        <v>21025</v>
      </c>
      <c r="M16" s="21">
        <v>21025</v>
      </c>
      <c r="N16" s="21">
        <v>21025</v>
      </c>
      <c r="O16" s="21">
        <v>15091</v>
      </c>
      <c r="P16" s="21">
        <f>+L16-J16</f>
        <v>21025</v>
      </c>
      <c r="Q16" s="21">
        <f>+N16-O16</f>
        <v>5934</v>
      </c>
    </row>
    <row r="17" spans="1:17" ht="13.8" x14ac:dyDescent="0.25">
      <c r="A17" s="50" t="s">
        <v>90</v>
      </c>
      <c r="B17" s="19" t="s">
        <v>17</v>
      </c>
      <c r="C17" s="20" t="s">
        <v>18</v>
      </c>
      <c r="D17" s="21">
        <v>0</v>
      </c>
      <c r="E17" s="21">
        <v>0</v>
      </c>
      <c r="F17" s="21">
        <v>0</v>
      </c>
      <c r="G17" s="21">
        <v>0</v>
      </c>
      <c r="H17" s="21">
        <v>0</v>
      </c>
      <c r="I17" s="21">
        <v>0</v>
      </c>
      <c r="J17" s="21">
        <v>0</v>
      </c>
      <c r="K17" s="23"/>
      <c r="L17" s="21">
        <v>4918</v>
      </c>
      <c r="M17" s="21">
        <v>4918</v>
      </c>
      <c r="N17" s="21">
        <v>4918</v>
      </c>
      <c r="O17" s="21">
        <v>3530</v>
      </c>
      <c r="P17" s="21">
        <f>+L17-J17</f>
        <v>4918</v>
      </c>
      <c r="Q17" s="21">
        <f>+N17-O17</f>
        <v>1388</v>
      </c>
    </row>
    <row r="18" spans="1:17" ht="13.8" x14ac:dyDescent="0.25">
      <c r="A18" s="50" t="s">
        <v>90</v>
      </c>
      <c r="B18" s="19" t="s">
        <v>43</v>
      </c>
      <c r="C18" s="20" t="s">
        <v>44</v>
      </c>
      <c r="D18" s="21">
        <v>0</v>
      </c>
      <c r="E18" s="21">
        <v>0</v>
      </c>
      <c r="F18" s="21">
        <v>0</v>
      </c>
      <c r="G18" s="21">
        <v>0</v>
      </c>
      <c r="H18" s="21">
        <v>0</v>
      </c>
      <c r="I18" s="21">
        <v>0</v>
      </c>
      <c r="J18" s="21">
        <v>0</v>
      </c>
      <c r="K18" s="23"/>
      <c r="L18" s="21">
        <v>31034</v>
      </c>
      <c r="M18" s="21">
        <v>31034</v>
      </c>
      <c r="N18" s="21">
        <v>31034</v>
      </c>
      <c r="O18" s="21">
        <v>31034</v>
      </c>
      <c r="P18" s="21">
        <f>+L18-J18</f>
        <v>31034</v>
      </c>
      <c r="Q18" s="21">
        <f>+N18-O18</f>
        <v>0</v>
      </c>
    </row>
    <row r="19" spans="1:17" ht="13.8" x14ac:dyDescent="0.25">
      <c r="A19" s="50" t="s">
        <v>90</v>
      </c>
      <c r="B19" s="19" t="s">
        <v>19</v>
      </c>
      <c r="C19" s="20" t="s">
        <v>20</v>
      </c>
      <c r="D19" s="21">
        <v>0</v>
      </c>
      <c r="E19" s="21">
        <v>0</v>
      </c>
      <c r="F19" s="21">
        <v>0</v>
      </c>
      <c r="G19" s="21">
        <v>0</v>
      </c>
      <c r="H19" s="21">
        <v>0</v>
      </c>
      <c r="I19" s="21">
        <v>0</v>
      </c>
      <c r="J19" s="21">
        <v>0</v>
      </c>
      <c r="K19" s="23"/>
      <c r="L19" s="21">
        <v>298</v>
      </c>
      <c r="M19" s="21">
        <v>298</v>
      </c>
      <c r="N19" s="21">
        <v>298</v>
      </c>
      <c r="O19" s="21">
        <v>298</v>
      </c>
      <c r="P19" s="21">
        <f>+L19-J19</f>
        <v>298</v>
      </c>
      <c r="Q19" s="21">
        <f>+N19-O19</f>
        <v>0</v>
      </c>
    </row>
    <row r="20" spans="1:17" ht="13.8" x14ac:dyDescent="0.25">
      <c r="A20" s="177"/>
      <c r="B20" s="177"/>
      <c r="C20" s="177"/>
      <c r="D20" s="24">
        <f t="shared" ref="D20:J20" si="5">SUM(D15:D19)</f>
        <v>0</v>
      </c>
      <c r="E20" s="24">
        <f t="shared" si="5"/>
        <v>0</v>
      </c>
      <c r="F20" s="24">
        <f t="shared" si="5"/>
        <v>0</v>
      </c>
      <c r="G20" s="24">
        <f t="shared" si="5"/>
        <v>0</v>
      </c>
      <c r="H20" s="24">
        <f t="shared" si="5"/>
        <v>0</v>
      </c>
      <c r="I20" s="24">
        <f t="shared" si="5"/>
        <v>0</v>
      </c>
      <c r="J20" s="24">
        <f t="shared" si="5"/>
        <v>0</v>
      </c>
      <c r="K20" s="26"/>
      <c r="L20" s="24">
        <f t="shared" ref="L20:Q20" si="6">SUM(L15:L19)</f>
        <v>59279</v>
      </c>
      <c r="M20" s="24">
        <f t="shared" si="6"/>
        <v>59279</v>
      </c>
      <c r="N20" s="24">
        <f t="shared" si="6"/>
        <v>59279</v>
      </c>
      <c r="O20" s="24">
        <f t="shared" si="6"/>
        <v>51957</v>
      </c>
      <c r="P20" s="24">
        <f t="shared" si="6"/>
        <v>59279</v>
      </c>
      <c r="Q20" s="24">
        <f t="shared" si="6"/>
        <v>7322</v>
      </c>
    </row>
    <row r="21" spans="1:17" ht="13.8" x14ac:dyDescent="0.25">
      <c r="A21" s="175" t="s">
        <v>21</v>
      </c>
      <c r="B21" s="175"/>
      <c r="C21" s="175"/>
      <c r="D21" s="27"/>
      <c r="E21" s="30"/>
      <c r="F21" s="27"/>
      <c r="G21" s="27"/>
      <c r="H21" s="27"/>
      <c r="I21" s="27"/>
      <c r="J21" s="27"/>
      <c r="K21" s="29"/>
      <c r="L21" s="27"/>
      <c r="M21" s="27"/>
      <c r="N21" s="27"/>
      <c r="O21" s="27"/>
      <c r="P21" s="30"/>
      <c r="Q21" s="30"/>
    </row>
    <row r="22" spans="1:17" ht="13.8" x14ac:dyDescent="0.25">
      <c r="A22" s="50" t="s">
        <v>90</v>
      </c>
      <c r="B22" s="19" t="s">
        <v>28</v>
      </c>
      <c r="C22" s="20" t="s">
        <v>29</v>
      </c>
      <c r="D22" s="21">
        <v>0</v>
      </c>
      <c r="E22" s="21">
        <v>0</v>
      </c>
      <c r="F22" s="21">
        <v>0</v>
      </c>
      <c r="G22" s="21">
        <v>0</v>
      </c>
      <c r="H22" s="21">
        <v>0</v>
      </c>
      <c r="I22" s="21">
        <v>0</v>
      </c>
      <c r="J22" s="21">
        <v>0</v>
      </c>
      <c r="K22" s="23"/>
      <c r="L22" s="21">
        <v>1100</v>
      </c>
      <c r="M22" s="21">
        <v>1100</v>
      </c>
      <c r="N22" s="21">
        <v>1100</v>
      </c>
      <c r="O22" s="21">
        <v>0</v>
      </c>
      <c r="P22" s="21">
        <f>+L22-J22</f>
        <v>1100</v>
      </c>
      <c r="Q22" s="21">
        <f>+N22-O22</f>
        <v>1100</v>
      </c>
    </row>
    <row r="23" spans="1:17" ht="13.8" x14ac:dyDescent="0.25">
      <c r="A23" s="176" t="s">
        <v>76</v>
      </c>
      <c r="B23" s="176"/>
      <c r="C23" s="176"/>
      <c r="D23" s="24">
        <f t="shared" ref="D23:J23" si="7">SUM(D22:D22)</f>
        <v>0</v>
      </c>
      <c r="E23" s="24">
        <f t="shared" si="7"/>
        <v>0</v>
      </c>
      <c r="F23" s="24">
        <f t="shared" si="7"/>
        <v>0</v>
      </c>
      <c r="G23" s="24">
        <f t="shared" si="7"/>
        <v>0</v>
      </c>
      <c r="H23" s="24">
        <f t="shared" si="7"/>
        <v>0</v>
      </c>
      <c r="I23" s="24">
        <f t="shared" si="7"/>
        <v>0</v>
      </c>
      <c r="J23" s="24">
        <f t="shared" si="7"/>
        <v>0</v>
      </c>
      <c r="K23" s="26"/>
      <c r="L23" s="24">
        <f t="shared" ref="L23:Q23" si="8">SUM(L22:L22)</f>
        <v>1100</v>
      </c>
      <c r="M23" s="24">
        <f t="shared" si="8"/>
        <v>1100</v>
      </c>
      <c r="N23" s="24">
        <f t="shared" si="8"/>
        <v>1100</v>
      </c>
      <c r="O23" s="24">
        <f t="shared" si="8"/>
        <v>0</v>
      </c>
      <c r="P23" s="24">
        <f t="shared" si="8"/>
        <v>1100</v>
      </c>
      <c r="Q23" s="24">
        <f t="shared" si="8"/>
        <v>1100</v>
      </c>
    </row>
    <row r="24" spans="1:17" ht="13.8" x14ac:dyDescent="0.25">
      <c r="A24" s="175" t="s">
        <v>45</v>
      </c>
      <c r="B24" s="175"/>
      <c r="C24" s="175"/>
      <c r="D24" s="27"/>
      <c r="E24" s="30"/>
      <c r="F24" s="27"/>
      <c r="G24" s="27"/>
      <c r="H24" s="27"/>
      <c r="I24" s="27"/>
      <c r="J24" s="27"/>
      <c r="K24" s="29"/>
      <c r="L24" s="27"/>
      <c r="M24" s="27"/>
      <c r="N24" s="27"/>
      <c r="O24" s="27"/>
      <c r="P24" s="30"/>
      <c r="Q24" s="30"/>
    </row>
    <row r="25" spans="1:17" ht="13.8" x14ac:dyDescent="0.25">
      <c r="A25" s="50" t="s">
        <v>90</v>
      </c>
      <c r="B25" s="19" t="s">
        <v>22</v>
      </c>
      <c r="C25" s="20" t="s">
        <v>23</v>
      </c>
      <c r="D25" s="21">
        <v>0</v>
      </c>
      <c r="E25" s="21">
        <v>0</v>
      </c>
      <c r="F25" s="21">
        <v>0</v>
      </c>
      <c r="G25" s="21">
        <v>0</v>
      </c>
      <c r="H25" s="21">
        <v>0</v>
      </c>
      <c r="I25" s="21">
        <v>0</v>
      </c>
      <c r="J25" s="21">
        <v>0</v>
      </c>
      <c r="K25" s="23"/>
      <c r="L25" s="21">
        <v>200</v>
      </c>
      <c r="M25" s="21">
        <v>200</v>
      </c>
      <c r="N25" s="21">
        <v>200</v>
      </c>
      <c r="O25" s="21">
        <v>0</v>
      </c>
      <c r="P25" s="21">
        <f>+L25-J25</f>
        <v>200</v>
      </c>
      <c r="Q25" s="21">
        <f>+N25-O25</f>
        <v>200</v>
      </c>
    </row>
    <row r="26" spans="1:17" ht="13.8" x14ac:dyDescent="0.25">
      <c r="A26" s="50" t="s">
        <v>90</v>
      </c>
      <c r="B26" s="19" t="s">
        <v>46</v>
      </c>
      <c r="C26" s="20" t="s">
        <v>47</v>
      </c>
      <c r="D26" s="21">
        <v>0</v>
      </c>
      <c r="E26" s="21">
        <v>0</v>
      </c>
      <c r="F26" s="21">
        <v>0</v>
      </c>
      <c r="G26" s="21">
        <v>0</v>
      </c>
      <c r="H26" s="21">
        <v>0</v>
      </c>
      <c r="I26" s="21">
        <v>0</v>
      </c>
      <c r="J26" s="21">
        <v>0</v>
      </c>
      <c r="K26" s="23"/>
      <c r="L26" s="21">
        <v>650</v>
      </c>
      <c r="M26" s="21">
        <v>650</v>
      </c>
      <c r="N26" s="21">
        <v>650</v>
      </c>
      <c r="O26" s="21">
        <v>264</v>
      </c>
      <c r="P26" s="21">
        <f>+L26-J26</f>
        <v>650</v>
      </c>
      <c r="Q26" s="21">
        <f>+N26-O26</f>
        <v>386</v>
      </c>
    </row>
    <row r="27" spans="1:17" ht="13.8" x14ac:dyDescent="0.25">
      <c r="A27" s="50" t="s">
        <v>90</v>
      </c>
      <c r="B27" s="19" t="s">
        <v>24</v>
      </c>
      <c r="C27" s="20" t="s">
        <v>25</v>
      </c>
      <c r="D27" s="21">
        <v>0</v>
      </c>
      <c r="E27" s="21">
        <v>0</v>
      </c>
      <c r="F27" s="21">
        <v>0</v>
      </c>
      <c r="G27" s="21">
        <v>0</v>
      </c>
      <c r="H27" s="21">
        <v>0</v>
      </c>
      <c r="I27" s="21">
        <v>0</v>
      </c>
      <c r="J27" s="21">
        <v>0</v>
      </c>
      <c r="K27" s="23"/>
      <c r="L27" s="21">
        <v>400</v>
      </c>
      <c r="M27" s="21">
        <v>400</v>
      </c>
      <c r="N27" s="21">
        <v>400</v>
      </c>
      <c r="O27" s="21">
        <v>0</v>
      </c>
      <c r="P27" s="21">
        <f>+L27-J27</f>
        <v>400</v>
      </c>
      <c r="Q27" s="21">
        <f>+N27-O27</f>
        <v>400</v>
      </c>
    </row>
    <row r="28" spans="1:17" ht="13.8" x14ac:dyDescent="0.25">
      <c r="A28" s="50" t="s">
        <v>90</v>
      </c>
      <c r="B28" s="19" t="s">
        <v>26</v>
      </c>
      <c r="C28" s="20" t="s">
        <v>27</v>
      </c>
      <c r="D28" s="21">
        <v>0</v>
      </c>
      <c r="E28" s="21">
        <v>0</v>
      </c>
      <c r="F28" s="21">
        <v>0</v>
      </c>
      <c r="G28" s="21">
        <v>0</v>
      </c>
      <c r="H28" s="21">
        <v>0</v>
      </c>
      <c r="I28" s="21">
        <v>0</v>
      </c>
      <c r="J28" s="21">
        <v>0</v>
      </c>
      <c r="K28" s="23"/>
      <c r="L28" s="21">
        <v>200</v>
      </c>
      <c r="M28" s="21">
        <v>200</v>
      </c>
      <c r="N28" s="21">
        <v>200</v>
      </c>
      <c r="O28" s="21">
        <v>0</v>
      </c>
      <c r="P28" s="21">
        <f>+L28-J28</f>
        <v>200</v>
      </c>
      <c r="Q28" s="21">
        <f>+N28-O28</f>
        <v>200</v>
      </c>
    </row>
    <row r="29" spans="1:17" ht="13.8" x14ac:dyDescent="0.25">
      <c r="A29" s="177" t="s">
        <v>85</v>
      </c>
      <c r="B29" s="177"/>
      <c r="C29" s="177"/>
      <c r="D29" s="24">
        <f t="shared" ref="D29:F29" si="9">SUM(D25:D28)</f>
        <v>0</v>
      </c>
      <c r="E29" s="24">
        <f t="shared" si="9"/>
        <v>0</v>
      </c>
      <c r="F29" s="24">
        <f t="shared" si="9"/>
        <v>0</v>
      </c>
      <c r="G29" s="24">
        <f>SUM(G25:G28)</f>
        <v>0</v>
      </c>
      <c r="H29" s="24">
        <f t="shared" ref="H29" si="10">SUM(H25:H28)</f>
        <v>0</v>
      </c>
      <c r="I29" s="24">
        <f>SUM(I25:I28)</f>
        <v>0</v>
      </c>
      <c r="J29" s="24">
        <f t="shared" ref="J29:Q29" si="11">SUM(J25:J28)</f>
        <v>0</v>
      </c>
      <c r="K29" s="26"/>
      <c r="L29" s="24">
        <f t="shared" ref="L29:O29" si="12">SUM(L25:L28)</f>
        <v>1450</v>
      </c>
      <c r="M29" s="24">
        <f t="shared" si="12"/>
        <v>1450</v>
      </c>
      <c r="N29" s="24">
        <f t="shared" si="12"/>
        <v>1450</v>
      </c>
      <c r="O29" s="24">
        <f t="shared" si="12"/>
        <v>264</v>
      </c>
      <c r="P29" s="24">
        <f t="shared" si="11"/>
        <v>1450</v>
      </c>
      <c r="Q29" s="24">
        <f t="shared" si="11"/>
        <v>1186</v>
      </c>
    </row>
    <row r="30" spans="1:17" ht="13.8" x14ac:dyDescent="0.25">
      <c r="A30" s="175" t="s">
        <v>30</v>
      </c>
      <c r="B30" s="175"/>
      <c r="C30" s="175"/>
      <c r="D30" s="27"/>
      <c r="E30" s="30"/>
      <c r="F30" s="27"/>
      <c r="G30" s="27"/>
      <c r="H30" s="27"/>
      <c r="I30" s="27"/>
      <c r="J30" s="27"/>
      <c r="K30" s="29"/>
      <c r="L30" s="27"/>
      <c r="M30" s="27"/>
      <c r="N30" s="27"/>
      <c r="O30" s="27"/>
      <c r="P30" s="30"/>
      <c r="Q30" s="30"/>
    </row>
    <row r="31" spans="1:17" ht="13.8" x14ac:dyDescent="0.25">
      <c r="A31" s="50" t="s">
        <v>90</v>
      </c>
      <c r="B31" s="19" t="s">
        <v>51</v>
      </c>
      <c r="C31" s="20" t="s">
        <v>48</v>
      </c>
      <c r="D31" s="21">
        <v>0</v>
      </c>
      <c r="E31" s="21">
        <v>0</v>
      </c>
      <c r="F31" s="21">
        <v>0</v>
      </c>
      <c r="G31" s="21">
        <v>0</v>
      </c>
      <c r="H31" s="21">
        <v>0</v>
      </c>
      <c r="I31" s="21">
        <v>0</v>
      </c>
      <c r="J31" s="21">
        <v>0</v>
      </c>
      <c r="K31" s="23"/>
      <c r="L31" s="21">
        <v>500</v>
      </c>
      <c r="M31" s="21">
        <v>500</v>
      </c>
      <c r="N31" s="21">
        <v>500</v>
      </c>
      <c r="O31" s="21">
        <v>0</v>
      </c>
      <c r="P31" s="21">
        <f>+L31-J31</f>
        <v>500</v>
      </c>
      <c r="Q31" s="21">
        <f>+N31-O31</f>
        <v>500</v>
      </c>
    </row>
    <row r="32" spans="1:17" ht="13.8" x14ac:dyDescent="0.25">
      <c r="A32" s="50" t="s">
        <v>90</v>
      </c>
      <c r="B32" s="19" t="s">
        <v>52</v>
      </c>
      <c r="C32" s="20" t="s">
        <v>49</v>
      </c>
      <c r="D32" s="21">
        <v>0</v>
      </c>
      <c r="E32" s="21">
        <v>0</v>
      </c>
      <c r="F32" s="21">
        <v>0</v>
      </c>
      <c r="G32" s="21">
        <v>0</v>
      </c>
      <c r="H32" s="21">
        <v>0</v>
      </c>
      <c r="I32" s="21">
        <v>0</v>
      </c>
      <c r="J32" s="21">
        <v>0</v>
      </c>
      <c r="K32" s="23"/>
      <c r="L32" s="21">
        <v>0</v>
      </c>
      <c r="M32" s="21">
        <v>0</v>
      </c>
      <c r="N32" s="21">
        <v>0</v>
      </c>
      <c r="O32" s="21">
        <v>0</v>
      </c>
      <c r="P32" s="21">
        <f>+L32-J32</f>
        <v>0</v>
      </c>
      <c r="Q32" s="21">
        <f>+N32-O32</f>
        <v>0</v>
      </c>
    </row>
    <row r="33" spans="1:17" ht="13.8" x14ac:dyDescent="0.25">
      <c r="A33" s="50" t="s">
        <v>90</v>
      </c>
      <c r="B33" s="19" t="s">
        <v>53</v>
      </c>
      <c r="C33" s="20" t="s">
        <v>50</v>
      </c>
      <c r="D33" s="21">
        <v>0</v>
      </c>
      <c r="E33" s="21">
        <v>0</v>
      </c>
      <c r="F33" s="21">
        <v>0</v>
      </c>
      <c r="G33" s="21">
        <v>0</v>
      </c>
      <c r="H33" s="21">
        <v>0</v>
      </c>
      <c r="I33" s="21">
        <v>0</v>
      </c>
      <c r="J33" s="21">
        <v>0</v>
      </c>
      <c r="K33" s="23"/>
      <c r="L33" s="21">
        <v>0</v>
      </c>
      <c r="M33" s="21">
        <v>0</v>
      </c>
      <c r="N33" s="21">
        <v>0</v>
      </c>
      <c r="O33" s="21">
        <v>0</v>
      </c>
      <c r="P33" s="21">
        <f>+L33-J33</f>
        <v>0</v>
      </c>
      <c r="Q33" s="21">
        <f>+N33-O33</f>
        <v>0</v>
      </c>
    </row>
    <row r="34" spans="1:17" ht="13.8" x14ac:dyDescent="0.25">
      <c r="A34" s="180" t="s">
        <v>77</v>
      </c>
      <c r="B34" s="177"/>
      <c r="C34" s="177"/>
      <c r="D34" s="24">
        <f t="shared" ref="D34:F34" si="13">SUM(D31:D33)</f>
        <v>0</v>
      </c>
      <c r="E34" s="24">
        <f t="shared" si="13"/>
        <v>0</v>
      </c>
      <c r="F34" s="24">
        <f t="shared" si="13"/>
        <v>0</v>
      </c>
      <c r="G34" s="24">
        <f>SUM(G31:G33)</f>
        <v>0</v>
      </c>
      <c r="H34" s="24">
        <f t="shared" ref="H34" si="14">SUM(H31:H33)</f>
        <v>0</v>
      </c>
      <c r="I34" s="24">
        <f>SUM(I31:I33)</f>
        <v>0</v>
      </c>
      <c r="J34" s="24">
        <f t="shared" ref="J34" si="15">SUM(J31:J33)</f>
        <v>0</v>
      </c>
      <c r="K34" s="26"/>
      <c r="L34" s="24">
        <f t="shared" ref="L34:O34" si="16">SUM(L31:L33)</f>
        <v>500</v>
      </c>
      <c r="M34" s="24">
        <f t="shared" si="16"/>
        <v>500</v>
      </c>
      <c r="N34" s="24">
        <f t="shared" si="16"/>
        <v>500</v>
      </c>
      <c r="O34" s="24">
        <f t="shared" si="16"/>
        <v>0</v>
      </c>
      <c r="P34" s="24">
        <f>SUM(P31:P33)</f>
        <v>500</v>
      </c>
      <c r="Q34" s="24">
        <f>SUM(Q31:Q33)</f>
        <v>500</v>
      </c>
    </row>
    <row r="35" spans="1:17" ht="13.8" x14ac:dyDescent="0.25">
      <c r="A35" s="175" t="s">
        <v>54</v>
      </c>
      <c r="B35" s="175"/>
      <c r="C35" s="175"/>
      <c r="D35" s="51"/>
      <c r="E35" s="27"/>
      <c r="F35" s="51"/>
      <c r="G35" s="27"/>
      <c r="H35" s="51"/>
      <c r="I35" s="51"/>
      <c r="J35" s="51"/>
      <c r="K35" s="29"/>
      <c r="L35" s="51"/>
      <c r="M35" s="51"/>
      <c r="N35" s="51"/>
      <c r="O35" s="51"/>
      <c r="P35" s="27"/>
      <c r="Q35" s="27"/>
    </row>
    <row r="36" spans="1:17" ht="13.8" x14ac:dyDescent="0.25">
      <c r="A36" s="50" t="s">
        <v>90</v>
      </c>
      <c r="B36" s="19" t="s">
        <v>55</v>
      </c>
      <c r="C36" s="20" t="s">
        <v>56</v>
      </c>
      <c r="D36" s="21">
        <v>0</v>
      </c>
      <c r="E36" s="21">
        <v>0</v>
      </c>
      <c r="F36" s="21">
        <v>0</v>
      </c>
      <c r="G36" s="21">
        <v>0</v>
      </c>
      <c r="H36" s="21">
        <v>0</v>
      </c>
      <c r="I36" s="21">
        <v>0</v>
      </c>
      <c r="J36" s="21">
        <v>0</v>
      </c>
      <c r="K36" s="23"/>
      <c r="L36" s="21">
        <v>0</v>
      </c>
      <c r="M36" s="21">
        <v>0</v>
      </c>
      <c r="N36" s="21">
        <v>0</v>
      </c>
      <c r="O36" s="21">
        <v>0</v>
      </c>
      <c r="P36" s="21">
        <f>+L36-J36</f>
        <v>0</v>
      </c>
      <c r="Q36" s="21">
        <v>0</v>
      </c>
    </row>
    <row r="37" spans="1:17" ht="13.8" x14ac:dyDescent="0.25">
      <c r="A37" s="177" t="s">
        <v>86</v>
      </c>
      <c r="B37" s="177"/>
      <c r="C37" s="177"/>
      <c r="D37" s="24">
        <f t="shared" ref="D37:F37" si="17">SUM(D36:D36)</f>
        <v>0</v>
      </c>
      <c r="E37" s="24">
        <f t="shared" si="17"/>
        <v>0</v>
      </c>
      <c r="F37" s="24">
        <f t="shared" si="17"/>
        <v>0</v>
      </c>
      <c r="G37" s="24">
        <f>SUM(G36:G36)</f>
        <v>0</v>
      </c>
      <c r="H37" s="24">
        <f t="shared" ref="H37" si="18">SUM(H36:H36)</f>
        <v>0</v>
      </c>
      <c r="I37" s="24">
        <f>SUM(I36:I36)</f>
        <v>0</v>
      </c>
      <c r="J37" s="24">
        <f t="shared" ref="J37" si="19">SUM(J36:J36)</f>
        <v>0</v>
      </c>
      <c r="K37" s="26"/>
      <c r="L37" s="24">
        <f>SUM(L36:L36)</f>
        <v>0</v>
      </c>
      <c r="M37" s="24">
        <f>SUM(M36:M36)</f>
        <v>0</v>
      </c>
      <c r="N37" s="24">
        <f>SUM(N36:N36)</f>
        <v>0</v>
      </c>
      <c r="O37" s="24">
        <f>SUM(O36:O36)</f>
        <v>0</v>
      </c>
      <c r="P37" s="24">
        <f t="shared" ref="P37:Q37" si="20">SUM(P36:P36)</f>
        <v>0</v>
      </c>
      <c r="Q37" s="24">
        <f t="shared" si="20"/>
        <v>0</v>
      </c>
    </row>
    <row r="38" spans="1:17" ht="13.8" x14ac:dyDescent="0.25">
      <c r="A38" s="178" t="s">
        <v>78</v>
      </c>
      <c r="B38" s="178"/>
      <c r="C38" s="178"/>
      <c r="D38" s="40">
        <f t="shared" ref="D38:J38" si="21">D13+D20+D23+D29+D34+D37</f>
        <v>0</v>
      </c>
      <c r="E38" s="40">
        <f t="shared" si="21"/>
        <v>0</v>
      </c>
      <c r="F38" s="40">
        <f t="shared" si="21"/>
        <v>0</v>
      </c>
      <c r="G38" s="40">
        <f t="shared" si="21"/>
        <v>0</v>
      </c>
      <c r="H38" s="40">
        <f t="shared" si="21"/>
        <v>0</v>
      </c>
      <c r="I38" s="40">
        <f t="shared" si="21"/>
        <v>0</v>
      </c>
      <c r="J38" s="40">
        <f t="shared" si="21"/>
        <v>0</v>
      </c>
      <c r="K38" s="26"/>
      <c r="L38" s="40">
        <f t="shared" ref="L38:Q38" si="22">L13+L20+L23+L29+L34+L37</f>
        <v>401440</v>
      </c>
      <c r="M38" s="40">
        <f t="shared" si="22"/>
        <v>401440</v>
      </c>
      <c r="N38" s="40">
        <f t="shared" si="22"/>
        <v>401440</v>
      </c>
      <c r="O38" s="40">
        <f t="shared" si="22"/>
        <v>295624</v>
      </c>
      <c r="P38" s="40">
        <f t="shared" si="22"/>
        <v>401440</v>
      </c>
      <c r="Q38" s="40">
        <f t="shared" si="22"/>
        <v>105816</v>
      </c>
    </row>
    <row r="39" spans="1:17" ht="13.8" x14ac:dyDescent="0.25">
      <c r="A39" s="174" t="s">
        <v>91</v>
      </c>
      <c r="B39" s="174"/>
      <c r="C39" s="174"/>
      <c r="D39" s="27"/>
      <c r="E39" s="30"/>
      <c r="F39" s="27"/>
      <c r="G39" s="27"/>
      <c r="H39" s="27"/>
      <c r="I39" s="27"/>
      <c r="J39" s="27"/>
      <c r="K39" s="29"/>
      <c r="L39" s="27"/>
      <c r="M39" s="27"/>
      <c r="N39" s="27"/>
      <c r="O39" s="27"/>
      <c r="P39" s="30"/>
      <c r="Q39" s="30"/>
    </row>
    <row r="40" spans="1:17" ht="13.8" x14ac:dyDescent="0.25">
      <c r="A40" s="175" t="s">
        <v>14</v>
      </c>
      <c r="B40" s="175"/>
      <c r="C40" s="175"/>
      <c r="D40" s="27"/>
      <c r="E40" s="30"/>
      <c r="F40" s="27"/>
      <c r="G40" s="27"/>
      <c r="H40" s="27"/>
      <c r="I40" s="27"/>
      <c r="J40" s="27"/>
      <c r="K40" s="29"/>
      <c r="L40" s="27"/>
      <c r="M40" s="27"/>
      <c r="N40" s="27"/>
      <c r="O40" s="27"/>
      <c r="P40" s="30"/>
      <c r="Q40" s="30"/>
    </row>
    <row r="41" spans="1:17" ht="13.8" x14ac:dyDescent="0.25">
      <c r="A41" s="50" t="s">
        <v>92</v>
      </c>
      <c r="B41" s="19" t="s">
        <v>57</v>
      </c>
      <c r="C41" s="20" t="s">
        <v>58</v>
      </c>
      <c r="D41" s="21">
        <v>0</v>
      </c>
      <c r="E41" s="21">
        <v>0</v>
      </c>
      <c r="F41" s="21">
        <v>0</v>
      </c>
      <c r="G41" s="21">
        <v>0</v>
      </c>
      <c r="H41" s="21">
        <v>0</v>
      </c>
      <c r="I41" s="21">
        <v>0</v>
      </c>
      <c r="J41" s="21">
        <v>0</v>
      </c>
      <c r="K41" s="23"/>
      <c r="L41" s="21">
        <v>0</v>
      </c>
      <c r="M41" s="21">
        <v>0</v>
      </c>
      <c r="N41" s="21">
        <v>0</v>
      </c>
      <c r="O41" s="21">
        <v>0</v>
      </c>
      <c r="P41" s="21">
        <f>+L41-J41</f>
        <v>0</v>
      </c>
      <c r="Q41" s="21">
        <f>+N41-O41</f>
        <v>0</v>
      </c>
    </row>
    <row r="42" spans="1:17" ht="13.8" x14ac:dyDescent="0.25">
      <c r="A42" s="50" t="s">
        <v>92</v>
      </c>
      <c r="B42" s="19" t="s">
        <v>59</v>
      </c>
      <c r="C42" s="20" t="s">
        <v>60</v>
      </c>
      <c r="D42" s="21">
        <v>0</v>
      </c>
      <c r="E42" s="21">
        <v>0</v>
      </c>
      <c r="F42" s="21">
        <v>0</v>
      </c>
      <c r="G42" s="21">
        <v>0</v>
      </c>
      <c r="H42" s="21">
        <v>0</v>
      </c>
      <c r="I42" s="21">
        <v>0</v>
      </c>
      <c r="J42" s="21">
        <v>0</v>
      </c>
      <c r="K42" s="23"/>
      <c r="L42" s="21">
        <v>21500</v>
      </c>
      <c r="M42" s="21">
        <v>21500</v>
      </c>
      <c r="N42" s="21">
        <v>21500</v>
      </c>
      <c r="O42" s="21">
        <v>21500</v>
      </c>
      <c r="P42" s="21">
        <f>+L42-J42</f>
        <v>21500</v>
      </c>
      <c r="Q42" s="21">
        <f>+N42-O42</f>
        <v>0</v>
      </c>
    </row>
    <row r="43" spans="1:17" ht="13.8" x14ac:dyDescent="0.25">
      <c r="A43" s="182" t="s">
        <v>75</v>
      </c>
      <c r="B43" s="182"/>
      <c r="C43" s="182"/>
      <c r="D43" s="24">
        <f t="shared" ref="D43:J43" si="23">SUM(D41:D42)</f>
        <v>0</v>
      </c>
      <c r="E43" s="24">
        <f t="shared" si="23"/>
        <v>0</v>
      </c>
      <c r="F43" s="24">
        <f t="shared" si="23"/>
        <v>0</v>
      </c>
      <c r="G43" s="24">
        <f t="shared" si="23"/>
        <v>0</v>
      </c>
      <c r="H43" s="24">
        <f t="shared" si="23"/>
        <v>0</v>
      </c>
      <c r="I43" s="24">
        <f t="shared" si="23"/>
        <v>0</v>
      </c>
      <c r="J43" s="24">
        <f t="shared" si="23"/>
        <v>0</v>
      </c>
      <c r="K43" s="26"/>
      <c r="L43" s="24">
        <f t="shared" ref="L43:Q43" si="24">SUM(L41:L42)</f>
        <v>21500</v>
      </c>
      <c r="M43" s="24">
        <f t="shared" si="24"/>
        <v>21500</v>
      </c>
      <c r="N43" s="24">
        <f t="shared" si="24"/>
        <v>21500</v>
      </c>
      <c r="O43" s="24">
        <f t="shared" si="24"/>
        <v>21500</v>
      </c>
      <c r="P43" s="24">
        <f t="shared" si="24"/>
        <v>21500</v>
      </c>
      <c r="Q43" s="24">
        <f t="shared" si="24"/>
        <v>0</v>
      </c>
    </row>
    <row r="44" spans="1:17" ht="13.8" x14ac:dyDescent="0.25">
      <c r="A44" s="175" t="s">
        <v>21</v>
      </c>
      <c r="B44" s="175"/>
      <c r="C44" s="175"/>
      <c r="D44" s="27"/>
      <c r="E44" s="30"/>
      <c r="F44" s="27"/>
      <c r="G44" s="27"/>
      <c r="H44" s="27"/>
      <c r="I44" s="27"/>
      <c r="J44" s="27"/>
      <c r="K44" s="26"/>
      <c r="L44" s="27"/>
      <c r="M44" s="27"/>
      <c r="N44" s="27"/>
      <c r="O44" s="27"/>
      <c r="P44" s="30"/>
      <c r="Q44" s="30"/>
    </row>
    <row r="45" spans="1:17" ht="13.8" x14ac:dyDescent="0.25">
      <c r="A45" s="52" t="s">
        <v>92</v>
      </c>
      <c r="B45" s="32" t="s">
        <v>61</v>
      </c>
      <c r="C45" s="33" t="s">
        <v>62</v>
      </c>
      <c r="D45" s="21">
        <v>0</v>
      </c>
      <c r="E45" s="21">
        <v>0</v>
      </c>
      <c r="F45" s="21">
        <v>0</v>
      </c>
      <c r="G45" s="21">
        <v>0</v>
      </c>
      <c r="H45" s="21">
        <v>0</v>
      </c>
      <c r="I45" s="21">
        <v>0</v>
      </c>
      <c r="J45" s="21">
        <v>0</v>
      </c>
      <c r="K45" s="26"/>
      <c r="L45" s="34">
        <v>7500</v>
      </c>
      <c r="M45" s="34">
        <v>7500</v>
      </c>
      <c r="N45" s="34">
        <v>7500</v>
      </c>
      <c r="O45" s="34">
        <v>0</v>
      </c>
      <c r="P45" s="34">
        <f>+L45-J45</f>
        <v>7500</v>
      </c>
      <c r="Q45" s="34">
        <f>+N45-O45</f>
        <v>7500</v>
      </c>
    </row>
    <row r="46" spans="1:17" ht="13.8" x14ac:dyDescent="0.25">
      <c r="A46" s="183" t="s">
        <v>76</v>
      </c>
      <c r="B46" s="183"/>
      <c r="C46" s="183"/>
      <c r="D46" s="24">
        <f t="shared" ref="D46:J46" si="25">SUM(D45:D45)</f>
        <v>0</v>
      </c>
      <c r="E46" s="24">
        <f t="shared" si="25"/>
        <v>0</v>
      </c>
      <c r="F46" s="24">
        <f t="shared" si="25"/>
        <v>0</v>
      </c>
      <c r="G46" s="24">
        <f t="shared" si="25"/>
        <v>0</v>
      </c>
      <c r="H46" s="24">
        <f t="shared" si="25"/>
        <v>0</v>
      </c>
      <c r="I46" s="24">
        <f t="shared" si="25"/>
        <v>0</v>
      </c>
      <c r="J46" s="24">
        <f t="shared" si="25"/>
        <v>0</v>
      </c>
      <c r="K46" s="26"/>
      <c r="L46" s="24">
        <f t="shared" ref="L46:Q46" si="26">SUM(L45:L45)</f>
        <v>7500</v>
      </c>
      <c r="M46" s="24">
        <f t="shared" si="26"/>
        <v>7500</v>
      </c>
      <c r="N46" s="24">
        <f t="shared" si="26"/>
        <v>7500</v>
      </c>
      <c r="O46" s="24">
        <f t="shared" si="26"/>
        <v>0</v>
      </c>
      <c r="P46" s="24">
        <f t="shared" si="26"/>
        <v>7500</v>
      </c>
      <c r="Q46" s="24">
        <f t="shared" si="26"/>
        <v>7500</v>
      </c>
    </row>
    <row r="47" spans="1:17" ht="13.8" x14ac:dyDescent="0.25">
      <c r="A47" s="178" t="s">
        <v>93</v>
      </c>
      <c r="B47" s="178"/>
      <c r="C47" s="178"/>
      <c r="D47" s="40">
        <f t="shared" ref="D47:J47" si="27">D43</f>
        <v>0</v>
      </c>
      <c r="E47" s="40">
        <f t="shared" si="27"/>
        <v>0</v>
      </c>
      <c r="F47" s="40">
        <f t="shared" si="27"/>
        <v>0</v>
      </c>
      <c r="G47" s="40">
        <f t="shared" si="27"/>
        <v>0</v>
      </c>
      <c r="H47" s="40">
        <f t="shared" si="27"/>
        <v>0</v>
      </c>
      <c r="I47" s="40">
        <f t="shared" si="27"/>
        <v>0</v>
      </c>
      <c r="J47" s="40">
        <f t="shared" si="27"/>
        <v>0</v>
      </c>
      <c r="K47" s="26"/>
      <c r="L47" s="40">
        <f>L43+L46</f>
        <v>29000</v>
      </c>
      <c r="M47" s="40">
        <f t="shared" ref="M47:Q47" si="28">M43+M46</f>
        <v>29000</v>
      </c>
      <c r="N47" s="40">
        <f t="shared" si="28"/>
        <v>29000</v>
      </c>
      <c r="O47" s="40">
        <f t="shared" si="28"/>
        <v>21500</v>
      </c>
      <c r="P47" s="40">
        <f t="shared" si="28"/>
        <v>29000</v>
      </c>
      <c r="Q47" s="40">
        <f t="shared" si="28"/>
        <v>7500</v>
      </c>
    </row>
    <row r="48" spans="1:17" ht="13.8" x14ac:dyDescent="0.25">
      <c r="A48" s="178" t="s">
        <v>94</v>
      </c>
      <c r="B48" s="178"/>
      <c r="C48" s="178"/>
      <c r="D48" s="40">
        <f t="shared" ref="D48:J48" si="29">D47+D38</f>
        <v>0</v>
      </c>
      <c r="E48" s="40">
        <f t="shared" si="29"/>
        <v>0</v>
      </c>
      <c r="F48" s="40">
        <f t="shared" si="29"/>
        <v>0</v>
      </c>
      <c r="G48" s="40">
        <f t="shared" si="29"/>
        <v>0</v>
      </c>
      <c r="H48" s="40">
        <f t="shared" si="29"/>
        <v>0</v>
      </c>
      <c r="I48" s="40">
        <f t="shared" si="29"/>
        <v>0</v>
      </c>
      <c r="J48" s="40">
        <f t="shared" si="29"/>
        <v>0</v>
      </c>
      <c r="K48" s="26"/>
      <c r="L48" s="40">
        <f t="shared" ref="L48:N48" si="30">L47+L38</f>
        <v>430440</v>
      </c>
      <c r="M48" s="40">
        <f t="shared" si="30"/>
        <v>430440</v>
      </c>
      <c r="N48" s="40">
        <f t="shared" si="30"/>
        <v>430440</v>
      </c>
      <c r="O48" s="40">
        <f>O47+O38</f>
        <v>317124</v>
      </c>
      <c r="P48" s="40">
        <f t="shared" ref="P48:Q48" si="31">P47+P38</f>
        <v>430440</v>
      </c>
      <c r="Q48" s="40">
        <f t="shared" si="31"/>
        <v>113316</v>
      </c>
    </row>
    <row r="49" spans="1:17" ht="13.8" x14ac:dyDescent="0.25">
      <c r="A49" s="179" t="s">
        <v>80</v>
      </c>
      <c r="B49" s="179"/>
      <c r="C49" s="179"/>
      <c r="D49" s="41">
        <f>D48</f>
        <v>0</v>
      </c>
      <c r="E49" s="41">
        <f t="shared" ref="E49:J49" si="32">E48</f>
        <v>0</v>
      </c>
      <c r="F49" s="41">
        <f>F48</f>
        <v>0</v>
      </c>
      <c r="G49" s="41">
        <f t="shared" si="32"/>
        <v>0</v>
      </c>
      <c r="H49" s="41">
        <f t="shared" si="32"/>
        <v>0</v>
      </c>
      <c r="I49" s="41">
        <f t="shared" si="32"/>
        <v>0</v>
      </c>
      <c r="J49" s="41">
        <f t="shared" si="32"/>
        <v>0</v>
      </c>
      <c r="K49" s="26"/>
      <c r="L49" s="41">
        <f t="shared" ref="L49:N49" si="33">L48</f>
        <v>430440</v>
      </c>
      <c r="M49" s="41">
        <f t="shared" si="33"/>
        <v>430440</v>
      </c>
      <c r="N49" s="41">
        <f t="shared" si="33"/>
        <v>430440</v>
      </c>
      <c r="O49" s="41">
        <f>O48</f>
        <v>317124</v>
      </c>
      <c r="P49" s="41">
        <f t="shared" ref="P49:Q49" si="34">P48</f>
        <v>430440</v>
      </c>
      <c r="Q49" s="41">
        <f t="shared" si="34"/>
        <v>113316</v>
      </c>
    </row>
    <row r="50" spans="1:17" ht="7.5" customHeight="1" x14ac:dyDescent="0.25">
      <c r="D50" s="27"/>
      <c r="E50" s="30"/>
      <c r="F50" s="27"/>
      <c r="G50" s="27"/>
      <c r="H50" s="27"/>
      <c r="I50" s="27"/>
      <c r="J50" s="27"/>
      <c r="K50" s="29"/>
      <c r="L50" s="27"/>
      <c r="M50" s="27"/>
      <c r="N50" s="27"/>
      <c r="O50" s="27"/>
      <c r="P50" s="30"/>
      <c r="Q50" s="30"/>
    </row>
    <row r="51" spans="1:17" ht="13.8" x14ac:dyDescent="0.25">
      <c r="A51" s="181" t="s">
        <v>81</v>
      </c>
      <c r="B51" s="179"/>
      <c r="C51" s="179"/>
      <c r="D51" s="41">
        <f>D49</f>
        <v>0</v>
      </c>
      <c r="E51" s="41">
        <f t="shared" ref="E51" si="35">E49</f>
        <v>0</v>
      </c>
      <c r="F51" s="41">
        <f>F49</f>
        <v>0</v>
      </c>
      <c r="G51" s="41">
        <f>G49</f>
        <v>0</v>
      </c>
      <c r="H51" s="41">
        <f>H49</f>
        <v>0</v>
      </c>
      <c r="I51" s="41">
        <f>I49</f>
        <v>0</v>
      </c>
      <c r="J51" s="41">
        <f>J49</f>
        <v>0</v>
      </c>
      <c r="K51" s="26"/>
      <c r="L51" s="41">
        <f t="shared" ref="L51:N51" si="36">L49</f>
        <v>430440</v>
      </c>
      <c r="M51" s="41">
        <f t="shared" si="36"/>
        <v>430440</v>
      </c>
      <c r="N51" s="41">
        <f t="shared" si="36"/>
        <v>430440</v>
      </c>
      <c r="O51" s="41">
        <f>O49</f>
        <v>317124</v>
      </c>
      <c r="P51" s="41">
        <f t="shared" ref="P51:Q51" si="37">P49</f>
        <v>430440</v>
      </c>
      <c r="Q51" s="41">
        <f t="shared" si="37"/>
        <v>113316</v>
      </c>
    </row>
    <row r="52" spans="1:17" x14ac:dyDescent="0.3">
      <c r="A52" s="4"/>
      <c r="J52" s="30"/>
      <c r="K52" s="30"/>
      <c r="L52" s="30"/>
      <c r="M52" s="30"/>
      <c r="N52" s="30"/>
      <c r="O52" s="30"/>
    </row>
    <row r="54" spans="1:17" x14ac:dyDescent="0.3">
      <c r="L54" s="97">
        <f t="shared" ref="L54:O54" si="38">SUM(L47:L53)</f>
        <v>1320320</v>
      </c>
      <c r="M54" s="97">
        <f t="shared" si="38"/>
        <v>1320320</v>
      </c>
      <c r="N54" s="97">
        <f t="shared" si="38"/>
        <v>1320320</v>
      </c>
      <c r="O54" s="97">
        <f t="shared" si="38"/>
        <v>972872</v>
      </c>
    </row>
  </sheetData>
  <mergeCells count="27">
    <mergeCell ref="A48:C48"/>
    <mergeCell ref="A49:C49"/>
    <mergeCell ref="A51:C51"/>
    <mergeCell ref="A39:C39"/>
    <mergeCell ref="A40:C40"/>
    <mergeCell ref="A43:C43"/>
    <mergeCell ref="A44:C44"/>
    <mergeCell ref="A46:C46"/>
    <mergeCell ref="A47:C47"/>
    <mergeCell ref="A38:C38"/>
    <mergeCell ref="A13:C13"/>
    <mergeCell ref="A14:C14"/>
    <mergeCell ref="A20:C20"/>
    <mergeCell ref="A21:C21"/>
    <mergeCell ref="A23:C23"/>
    <mergeCell ref="A24:C24"/>
    <mergeCell ref="A29:C29"/>
    <mergeCell ref="A30:C30"/>
    <mergeCell ref="A34:C34"/>
    <mergeCell ref="A35:C35"/>
    <mergeCell ref="A37:C37"/>
    <mergeCell ref="A9:C9"/>
    <mergeCell ref="A1:Q1"/>
    <mergeCell ref="A5:C5"/>
    <mergeCell ref="A6:C6"/>
    <mergeCell ref="A7:C7"/>
    <mergeCell ref="A8:C8"/>
  </mergeCells>
  <printOptions horizontalCentered="1" verticalCentered="1"/>
  <pageMargins left="0.7" right="0.7" top="0.75" bottom="0.75" header="0.3" footer="0.3"/>
  <pageSetup scale="56" fitToWidth="0" orientation="landscape" verticalDpi="0" r:id="rId1"/>
  <headerFooter scaleWithDoc="0">
    <oddFooter>&amp;RBudget Kick Off - 11.01.25</oddFooter>
  </headerFooter>
  <rowBreaks count="1" manualBreakCount="1">
    <brk id="48" max="18"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415CA-36A8-44F8-AEB0-4EF6F8FB5122}">
  <sheetPr codeName="Sheet7">
    <tabColor rgb="FF92D050"/>
    <pageSetUpPr fitToPage="1"/>
  </sheetPr>
  <dimension ref="A1:Q17"/>
  <sheetViews>
    <sheetView topLeftCell="C1" zoomScaleNormal="100" workbookViewId="0">
      <selection activeCell="K3" sqref="K3"/>
    </sheetView>
  </sheetViews>
  <sheetFormatPr defaultColWidth="9.109375" defaultRowHeight="13.8" x14ac:dyDescent="0.25"/>
  <cols>
    <col min="1" max="1" width="9.5546875" style="3" bestFit="1" customWidth="1"/>
    <col min="2" max="2" width="15.33203125" style="3" bestFit="1" customWidth="1"/>
    <col min="3" max="3" width="34.33203125" style="3" bestFit="1" customWidth="1"/>
    <col min="4" max="4" width="11" style="3" bestFit="1" customWidth="1"/>
    <col min="5" max="5" width="11.44140625" style="3" bestFit="1" customWidth="1"/>
    <col min="6" max="6" width="11" style="3" bestFit="1" customWidth="1"/>
    <col min="7" max="7" width="11.44140625" style="3" customWidth="1"/>
    <col min="8" max="8" width="11" style="3" bestFit="1" customWidth="1"/>
    <col min="9" max="9" width="11.44140625" style="3" customWidth="1"/>
    <col min="10" max="10" width="11" style="3" bestFit="1" customWidth="1"/>
    <col min="11" max="11" width="0.88671875" style="3" customWidth="1"/>
    <col min="12" max="12" width="10.109375" style="3" bestFit="1" customWidth="1"/>
    <col min="13" max="13" width="8.109375" style="3" bestFit="1" customWidth="1"/>
    <col min="14" max="14" width="14.33203125" style="3" bestFit="1" customWidth="1"/>
    <col min="15" max="15" width="7.6640625" style="3" bestFit="1" customWidth="1"/>
    <col min="16" max="16" width="11.109375" style="3" bestFit="1" customWidth="1"/>
    <col min="17" max="17" width="11.33203125" style="3" bestFit="1" customWidth="1"/>
    <col min="18" max="16384" width="9.109375" style="3"/>
  </cols>
  <sheetData>
    <row r="1" spans="1:17" ht="75" customHeight="1" x14ac:dyDescent="0.25">
      <c r="A1" s="170" t="s">
        <v>95</v>
      </c>
      <c r="B1" s="170"/>
      <c r="C1" s="170"/>
      <c r="D1" s="170"/>
      <c r="E1" s="170"/>
      <c r="F1" s="170"/>
      <c r="G1" s="170"/>
      <c r="H1" s="170"/>
      <c r="I1" s="170"/>
      <c r="J1" s="170"/>
      <c r="K1" s="170"/>
      <c r="L1" s="170"/>
      <c r="M1" s="170"/>
      <c r="N1" s="170"/>
      <c r="O1" s="170"/>
      <c r="P1" s="170"/>
      <c r="Q1" s="170"/>
    </row>
    <row r="2" spans="1:17" ht="6" customHeight="1" x14ac:dyDescent="0.25">
      <c r="A2" s="4"/>
      <c r="B2" s="4"/>
      <c r="C2" s="4"/>
      <c r="D2" s="4"/>
      <c r="E2" s="4"/>
      <c r="F2" s="4"/>
      <c r="G2" s="4"/>
      <c r="H2" s="4"/>
      <c r="I2" s="4"/>
      <c r="J2" s="4"/>
      <c r="K2" s="4"/>
      <c r="L2" s="4"/>
      <c r="M2" s="4"/>
      <c r="N2" s="4"/>
      <c r="O2" s="4"/>
      <c r="P2" s="4"/>
    </row>
    <row r="3" spans="1:17" ht="66"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row>
    <row r="5" spans="1:17" x14ac:dyDescent="0.25">
      <c r="A5" s="171" t="s">
        <v>69</v>
      </c>
      <c r="B5" s="171"/>
      <c r="C5" s="171"/>
      <c r="D5" s="12"/>
      <c r="E5" s="12"/>
      <c r="F5" s="12"/>
      <c r="G5" s="12"/>
      <c r="H5" s="12"/>
      <c r="I5" s="12"/>
      <c r="K5" s="8"/>
    </row>
    <row r="6" spans="1:17" x14ac:dyDescent="0.25">
      <c r="A6" s="172" t="s">
        <v>70</v>
      </c>
      <c r="B6" s="172"/>
      <c r="C6" s="172"/>
      <c r="D6" s="14"/>
      <c r="E6" s="14"/>
      <c r="F6" s="14"/>
      <c r="G6" s="14"/>
      <c r="H6" s="14"/>
      <c r="I6" s="14"/>
      <c r="K6" s="8"/>
    </row>
    <row r="7" spans="1:17" x14ac:dyDescent="0.25">
      <c r="A7" s="173" t="s">
        <v>96</v>
      </c>
      <c r="B7" s="173"/>
      <c r="C7" s="173"/>
      <c r="D7" s="15"/>
      <c r="E7" s="15"/>
      <c r="F7" s="15"/>
      <c r="G7" s="15"/>
      <c r="H7" s="15"/>
      <c r="I7" s="15"/>
      <c r="K7" s="8"/>
    </row>
    <row r="8" spans="1:17" x14ac:dyDescent="0.25">
      <c r="A8" s="174" t="s">
        <v>72</v>
      </c>
      <c r="B8" s="174"/>
      <c r="C8" s="174"/>
      <c r="D8" s="16"/>
      <c r="E8" s="16"/>
      <c r="F8" s="16"/>
      <c r="G8" s="16"/>
      <c r="H8" s="16"/>
      <c r="I8" s="16"/>
      <c r="K8" s="8"/>
    </row>
    <row r="9" spans="1:17" x14ac:dyDescent="0.25">
      <c r="A9" s="175" t="s">
        <v>30</v>
      </c>
      <c r="B9" s="175"/>
      <c r="C9" s="175"/>
      <c r="D9" s="17"/>
      <c r="E9" s="17"/>
      <c r="F9" s="17"/>
      <c r="G9" s="17"/>
      <c r="H9" s="17"/>
      <c r="I9" s="17"/>
      <c r="K9" s="8"/>
    </row>
    <row r="10" spans="1:17" x14ac:dyDescent="0.25">
      <c r="A10" s="50" t="s">
        <v>97</v>
      </c>
      <c r="B10" s="20" t="s">
        <v>31</v>
      </c>
      <c r="C10" s="20" t="s">
        <v>32</v>
      </c>
      <c r="D10" s="21">
        <v>1</v>
      </c>
      <c r="E10" s="21">
        <v>0</v>
      </c>
      <c r="F10" s="21">
        <v>1</v>
      </c>
      <c r="G10" s="21">
        <v>0</v>
      </c>
      <c r="H10" s="21">
        <v>100</v>
      </c>
      <c r="I10" s="21">
        <v>0</v>
      </c>
      <c r="J10" s="21">
        <v>1</v>
      </c>
      <c r="K10" s="8"/>
      <c r="L10" s="21">
        <v>1</v>
      </c>
      <c r="M10" s="21">
        <v>1</v>
      </c>
      <c r="N10" s="21">
        <v>1</v>
      </c>
      <c r="O10" s="21">
        <v>1</v>
      </c>
      <c r="P10" s="21">
        <f>+N10-J10</f>
        <v>0</v>
      </c>
      <c r="Q10" s="21">
        <f>+N10-O10</f>
        <v>0</v>
      </c>
    </row>
    <row r="11" spans="1:17" x14ac:dyDescent="0.25">
      <c r="A11" s="177" t="s">
        <v>77</v>
      </c>
      <c r="B11" s="177"/>
      <c r="C11" s="177"/>
      <c r="D11" s="24">
        <f t="shared" ref="D11:I11" si="0">SUM(D10:D10)</f>
        <v>1</v>
      </c>
      <c r="E11" s="24">
        <f t="shared" si="0"/>
        <v>0</v>
      </c>
      <c r="F11" s="24">
        <f t="shared" si="0"/>
        <v>1</v>
      </c>
      <c r="G11" s="24">
        <f t="shared" si="0"/>
        <v>0</v>
      </c>
      <c r="H11" s="24">
        <f t="shared" si="0"/>
        <v>100</v>
      </c>
      <c r="I11" s="24">
        <f t="shared" si="0"/>
        <v>0</v>
      </c>
      <c r="J11" s="24">
        <f>SUM(J10:J10)</f>
        <v>1</v>
      </c>
      <c r="K11" s="8"/>
      <c r="L11" s="24">
        <f t="shared" ref="L11:Q11" si="1">SUM(L10:L10)</f>
        <v>1</v>
      </c>
      <c r="M11" s="24">
        <f t="shared" si="1"/>
        <v>1</v>
      </c>
      <c r="N11" s="24">
        <f t="shared" si="1"/>
        <v>1</v>
      </c>
      <c r="O11" s="24">
        <f t="shared" si="1"/>
        <v>1</v>
      </c>
      <c r="P11" s="24">
        <f t="shared" si="1"/>
        <v>0</v>
      </c>
      <c r="Q11" s="24">
        <f t="shared" si="1"/>
        <v>0</v>
      </c>
    </row>
    <row r="12" spans="1:17" x14ac:dyDescent="0.25">
      <c r="A12" s="178" t="s">
        <v>78</v>
      </c>
      <c r="B12" s="178"/>
      <c r="C12" s="178"/>
      <c r="D12" s="40">
        <f t="shared" ref="D12:J14" si="2">D11</f>
        <v>1</v>
      </c>
      <c r="E12" s="40">
        <f t="shared" si="2"/>
        <v>0</v>
      </c>
      <c r="F12" s="40">
        <f t="shared" si="2"/>
        <v>1</v>
      </c>
      <c r="G12" s="40">
        <f t="shared" si="2"/>
        <v>0</v>
      </c>
      <c r="H12" s="40">
        <f t="shared" si="2"/>
        <v>100</v>
      </c>
      <c r="I12" s="40">
        <f t="shared" si="2"/>
        <v>0</v>
      </c>
      <c r="J12" s="40">
        <f t="shared" si="2"/>
        <v>1</v>
      </c>
      <c r="K12" s="8"/>
      <c r="L12" s="40">
        <f t="shared" ref="L12:Q14" si="3">L11</f>
        <v>1</v>
      </c>
      <c r="M12" s="40">
        <f t="shared" si="3"/>
        <v>1</v>
      </c>
      <c r="N12" s="40">
        <f t="shared" si="3"/>
        <v>1</v>
      </c>
      <c r="O12" s="40">
        <f t="shared" si="3"/>
        <v>1</v>
      </c>
      <c r="P12" s="40">
        <f t="shared" si="3"/>
        <v>0</v>
      </c>
      <c r="Q12" s="40">
        <f t="shared" si="3"/>
        <v>0</v>
      </c>
    </row>
    <row r="13" spans="1:17" x14ac:dyDescent="0.25">
      <c r="A13" s="178" t="s">
        <v>98</v>
      </c>
      <c r="B13" s="178"/>
      <c r="C13" s="178"/>
      <c r="D13" s="40">
        <f t="shared" si="2"/>
        <v>1</v>
      </c>
      <c r="E13" s="40">
        <f t="shared" si="2"/>
        <v>0</v>
      </c>
      <c r="F13" s="40">
        <f t="shared" si="2"/>
        <v>1</v>
      </c>
      <c r="G13" s="40">
        <f t="shared" si="2"/>
        <v>0</v>
      </c>
      <c r="H13" s="40">
        <f t="shared" si="2"/>
        <v>100</v>
      </c>
      <c r="I13" s="40">
        <f t="shared" si="2"/>
        <v>0</v>
      </c>
      <c r="J13" s="40">
        <f t="shared" si="2"/>
        <v>1</v>
      </c>
      <c r="K13" s="8"/>
      <c r="L13" s="40">
        <f t="shared" si="3"/>
        <v>1</v>
      </c>
      <c r="M13" s="40">
        <f t="shared" si="3"/>
        <v>1</v>
      </c>
      <c r="N13" s="40">
        <f t="shared" si="3"/>
        <v>1</v>
      </c>
      <c r="O13" s="40">
        <f t="shared" si="3"/>
        <v>1</v>
      </c>
      <c r="P13" s="40">
        <f t="shared" si="3"/>
        <v>0</v>
      </c>
      <c r="Q13" s="40">
        <f t="shared" si="3"/>
        <v>0</v>
      </c>
    </row>
    <row r="14" spans="1:17" x14ac:dyDescent="0.25">
      <c r="A14" s="179" t="s">
        <v>80</v>
      </c>
      <c r="B14" s="179"/>
      <c r="C14" s="179"/>
      <c r="D14" s="41">
        <f t="shared" si="2"/>
        <v>1</v>
      </c>
      <c r="E14" s="41">
        <f t="shared" si="2"/>
        <v>0</v>
      </c>
      <c r="F14" s="41">
        <f t="shared" si="2"/>
        <v>1</v>
      </c>
      <c r="G14" s="41">
        <f t="shared" si="2"/>
        <v>0</v>
      </c>
      <c r="H14" s="41">
        <f t="shared" si="2"/>
        <v>100</v>
      </c>
      <c r="I14" s="41">
        <f t="shared" si="2"/>
        <v>0</v>
      </c>
      <c r="J14" s="41">
        <f t="shared" si="2"/>
        <v>1</v>
      </c>
      <c r="K14" s="8"/>
      <c r="L14" s="41">
        <f t="shared" si="3"/>
        <v>1</v>
      </c>
      <c r="M14" s="41">
        <f t="shared" si="3"/>
        <v>1</v>
      </c>
      <c r="N14" s="41">
        <f t="shared" si="3"/>
        <v>1</v>
      </c>
      <c r="O14" s="41">
        <f t="shared" si="3"/>
        <v>1</v>
      </c>
      <c r="P14" s="41">
        <f t="shared" si="3"/>
        <v>0</v>
      </c>
      <c r="Q14" s="41">
        <f t="shared" si="3"/>
        <v>0</v>
      </c>
    </row>
    <row r="15" spans="1:17" ht="6" customHeight="1" x14ac:dyDescent="0.25">
      <c r="D15" s="30"/>
      <c r="E15" s="30"/>
      <c r="F15" s="30"/>
      <c r="G15" s="30"/>
      <c r="H15" s="30"/>
      <c r="I15" s="30"/>
      <c r="J15" s="30"/>
      <c r="K15" s="8"/>
      <c r="L15" s="30"/>
      <c r="M15" s="30"/>
      <c r="N15" s="30"/>
      <c r="O15" s="30"/>
      <c r="P15" s="30"/>
      <c r="Q15" s="30"/>
    </row>
    <row r="16" spans="1:17" x14ac:dyDescent="0.25">
      <c r="A16" s="179" t="s">
        <v>81</v>
      </c>
      <c r="B16" s="179"/>
      <c r="C16" s="179"/>
      <c r="D16" s="41">
        <f t="shared" ref="D16:I16" si="4">D14</f>
        <v>1</v>
      </c>
      <c r="E16" s="41">
        <f t="shared" si="4"/>
        <v>0</v>
      </c>
      <c r="F16" s="41">
        <f t="shared" si="4"/>
        <v>1</v>
      </c>
      <c r="G16" s="41">
        <f t="shared" si="4"/>
        <v>0</v>
      </c>
      <c r="H16" s="41">
        <f t="shared" si="4"/>
        <v>100</v>
      </c>
      <c r="I16" s="41">
        <f t="shared" si="4"/>
        <v>0</v>
      </c>
      <c r="J16" s="41">
        <f>J14</f>
        <v>1</v>
      </c>
      <c r="K16" s="8"/>
      <c r="L16" s="41">
        <f t="shared" ref="L16:Q16" si="5">L14</f>
        <v>1</v>
      </c>
      <c r="M16" s="41">
        <f t="shared" si="5"/>
        <v>1</v>
      </c>
      <c r="N16" s="41">
        <f t="shared" si="5"/>
        <v>1</v>
      </c>
      <c r="O16" s="41">
        <f t="shared" si="5"/>
        <v>1</v>
      </c>
      <c r="P16" s="41">
        <f t="shared" si="5"/>
        <v>0</v>
      </c>
      <c r="Q16" s="41">
        <f t="shared" si="5"/>
        <v>0</v>
      </c>
    </row>
    <row r="17" spans="10:16" ht="6" customHeight="1" x14ac:dyDescent="0.25">
      <c r="J17" s="30"/>
      <c r="K17" s="30"/>
      <c r="L17" s="30"/>
      <c r="M17" s="30"/>
      <c r="N17" s="30"/>
      <c r="O17" s="30"/>
      <c r="P17" s="53"/>
    </row>
  </sheetData>
  <mergeCells count="11">
    <mergeCell ref="A11:C11"/>
    <mergeCell ref="A12:C12"/>
    <mergeCell ref="A13:C13"/>
    <mergeCell ref="A14:C14"/>
    <mergeCell ref="A16:C16"/>
    <mergeCell ref="A9:C9"/>
    <mergeCell ref="A1:Q1"/>
    <mergeCell ref="A5:C5"/>
    <mergeCell ref="A6:C6"/>
    <mergeCell ref="A7:C7"/>
    <mergeCell ref="A8:C8"/>
  </mergeCells>
  <printOptions horizontalCentered="1" verticalCentered="1"/>
  <pageMargins left="0.7" right="0.7" top="0.75" bottom="0.75" header="0.3" footer="0.3"/>
  <pageSetup scale="56" fitToHeight="0" orientation="landscape" r:id="rId1"/>
  <headerFooter>
    <oddFooter>&amp;RBudget Kick Off - 11.01.25</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0B29-E8BF-4984-86AD-CCF854325185}">
  <sheetPr codeName="Sheet8">
    <tabColor rgb="FF92D050"/>
    <pageSetUpPr fitToPage="1"/>
  </sheetPr>
  <dimension ref="A1:R82"/>
  <sheetViews>
    <sheetView view="pageBreakPreview" zoomScale="145" zoomScaleNormal="80" zoomScaleSheetLayoutView="145" workbookViewId="0">
      <pane ySplit="4" topLeftCell="A26" activePane="bottomLeft" state="frozen"/>
      <selection activeCell="L26" sqref="L26"/>
      <selection pane="bottomLeft" activeCell="A39" sqref="A39:C39"/>
    </sheetView>
  </sheetViews>
  <sheetFormatPr defaultColWidth="9.109375" defaultRowHeight="14.4" x14ac:dyDescent="0.3"/>
  <cols>
    <col min="1" max="1" width="20.44140625" style="64" customWidth="1"/>
    <col min="2" max="2" width="14.33203125" style="10" bestFit="1" customWidth="1"/>
    <col min="3" max="3" width="20.88671875" style="3" bestFit="1" customWidth="1"/>
    <col min="4" max="4" width="11" style="3" customWidth="1"/>
    <col min="5" max="5" width="11.44140625" style="3" customWidth="1"/>
    <col min="6" max="6" width="11" style="3" customWidth="1"/>
    <col min="7" max="7" width="11.44140625" style="3" customWidth="1"/>
    <col min="8" max="8" width="11.33203125" style="3" bestFit="1" customWidth="1"/>
    <col min="9" max="10" width="11.5546875" style="3" bestFit="1" customWidth="1"/>
    <col min="11" max="11" width="1" style="3" customWidth="1"/>
    <col min="12" max="12" width="13.44140625" style="3" customWidth="1"/>
    <col min="13" max="13" width="12.5546875" style="3" customWidth="1"/>
    <col min="14" max="14" width="14.5546875" style="3" customWidth="1"/>
    <col min="15" max="15" width="11.5546875" style="3" bestFit="1" customWidth="1"/>
    <col min="16" max="16" width="11.33203125" style="3" bestFit="1" customWidth="1"/>
    <col min="17" max="17" width="13.6640625" style="3" customWidth="1"/>
    <col min="19" max="16384" width="9.109375" style="3"/>
  </cols>
  <sheetData>
    <row r="1" spans="1:17" ht="75" customHeight="1" x14ac:dyDescent="0.3">
      <c r="A1" s="170" t="s">
        <v>99</v>
      </c>
      <c r="B1" s="170"/>
      <c r="C1" s="170"/>
      <c r="D1" s="170"/>
      <c r="E1" s="170"/>
      <c r="F1" s="170"/>
      <c r="G1" s="170"/>
      <c r="H1" s="170"/>
      <c r="I1" s="170"/>
      <c r="J1" s="170"/>
      <c r="K1" s="170"/>
      <c r="L1" s="170"/>
      <c r="M1" s="170"/>
      <c r="N1" s="170"/>
      <c r="O1" s="170"/>
      <c r="P1" s="170"/>
      <c r="Q1" s="170"/>
    </row>
    <row r="2" spans="1:17" ht="6" customHeight="1" x14ac:dyDescent="0.3">
      <c r="A2" s="54"/>
      <c r="B2" s="5"/>
      <c r="C2" s="4"/>
      <c r="D2" s="4"/>
      <c r="E2" s="4"/>
      <c r="F2" s="4"/>
      <c r="G2" s="4"/>
      <c r="L2" s="4"/>
      <c r="M2" s="4"/>
      <c r="N2" s="4"/>
      <c r="O2" s="4"/>
    </row>
    <row r="3" spans="1:17" s="13" customFormat="1" ht="52.8" x14ac:dyDescent="0.3">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3">
      <c r="A4" s="54"/>
      <c r="B4" s="5"/>
      <c r="C4" s="4"/>
      <c r="D4" s="4"/>
      <c r="E4" s="4"/>
      <c r="F4" s="4"/>
      <c r="G4" s="4"/>
      <c r="K4" s="11"/>
      <c r="L4" s="4"/>
      <c r="M4" s="4"/>
      <c r="N4" s="4"/>
      <c r="O4" s="4"/>
    </row>
    <row r="5" spans="1:17" x14ac:dyDescent="0.3">
      <c r="A5" s="171" t="s">
        <v>69</v>
      </c>
      <c r="B5" s="171"/>
      <c r="C5" s="171"/>
      <c r="D5" s="12"/>
      <c r="E5" s="12"/>
      <c r="F5" s="12"/>
      <c r="G5" s="12"/>
      <c r="K5" s="11"/>
      <c r="L5" s="4"/>
      <c r="M5" s="4"/>
      <c r="N5" s="4"/>
      <c r="O5" s="4"/>
    </row>
    <row r="6" spans="1:17" x14ac:dyDescent="0.3">
      <c r="A6" s="184" t="s">
        <v>70</v>
      </c>
      <c r="B6" s="184"/>
      <c r="C6" s="184"/>
      <c r="D6" s="55"/>
      <c r="E6" s="55"/>
      <c r="F6" s="55"/>
      <c r="G6" s="55"/>
      <c r="K6" s="11"/>
      <c r="L6" s="4"/>
      <c r="M6" s="4"/>
      <c r="N6" s="4"/>
      <c r="O6" s="4"/>
    </row>
    <row r="7" spans="1:17" x14ac:dyDescent="0.3">
      <c r="A7" s="173" t="s">
        <v>100</v>
      </c>
      <c r="B7" s="173"/>
      <c r="C7" s="173"/>
      <c r="D7" s="15"/>
      <c r="E7" s="15"/>
      <c r="F7" s="15"/>
      <c r="G7" s="15"/>
      <c r="K7" s="11"/>
      <c r="L7" s="4"/>
      <c r="M7" s="4"/>
      <c r="N7" s="4"/>
      <c r="O7" s="4"/>
    </row>
    <row r="8" spans="1:17" x14ac:dyDescent="0.3">
      <c r="A8" s="174" t="s">
        <v>72</v>
      </c>
      <c r="B8" s="174"/>
      <c r="C8" s="174"/>
      <c r="D8" s="16"/>
      <c r="E8" s="16"/>
      <c r="F8" s="16"/>
      <c r="G8" s="16"/>
      <c r="K8" s="11"/>
      <c r="L8" s="4"/>
      <c r="M8" s="4"/>
      <c r="N8" s="4"/>
      <c r="O8" s="4"/>
    </row>
    <row r="9" spans="1:17" x14ac:dyDescent="0.3">
      <c r="A9" s="175" t="s">
        <v>11</v>
      </c>
      <c r="B9" s="175"/>
      <c r="C9" s="175"/>
      <c r="D9" s="17"/>
      <c r="E9" s="17"/>
      <c r="F9" s="17"/>
      <c r="G9" s="17"/>
      <c r="K9" s="11"/>
      <c r="L9" s="4"/>
      <c r="M9" s="4"/>
      <c r="N9" s="4"/>
      <c r="O9" s="4"/>
    </row>
    <row r="10" spans="1:17" x14ac:dyDescent="0.3">
      <c r="A10" s="31" t="s">
        <v>101</v>
      </c>
      <c r="B10" s="32" t="s">
        <v>35</v>
      </c>
      <c r="C10" s="33" t="s">
        <v>36</v>
      </c>
      <c r="D10" s="34">
        <v>213289</v>
      </c>
      <c r="E10" s="21">
        <v>213415.39</v>
      </c>
      <c r="F10" s="21">
        <v>228883</v>
      </c>
      <c r="G10" s="34">
        <v>268865.45</v>
      </c>
      <c r="H10" s="34">
        <v>287491</v>
      </c>
      <c r="I10" s="34">
        <v>286475.01</v>
      </c>
      <c r="J10" s="34">
        <v>303205</v>
      </c>
      <c r="K10" s="56"/>
      <c r="L10" s="34">
        <v>324085</v>
      </c>
      <c r="M10" s="34">
        <v>324085</v>
      </c>
      <c r="N10" s="34">
        <v>324085</v>
      </c>
      <c r="O10" s="34">
        <v>324085</v>
      </c>
      <c r="P10" s="21">
        <f>+N10-J10</f>
        <v>20880</v>
      </c>
      <c r="Q10" s="21">
        <f>+N10-O10</f>
        <v>0</v>
      </c>
    </row>
    <row r="11" spans="1:17" x14ac:dyDescent="0.3">
      <c r="A11" s="31" t="s">
        <v>101</v>
      </c>
      <c r="B11" s="32" t="s">
        <v>37</v>
      </c>
      <c r="C11" s="33" t="s">
        <v>38</v>
      </c>
      <c r="D11" s="34">
        <v>65660</v>
      </c>
      <c r="E11" s="21">
        <v>65994.070000000007</v>
      </c>
      <c r="F11" s="21">
        <v>64976</v>
      </c>
      <c r="G11" s="34">
        <v>44881.8</v>
      </c>
      <c r="H11" s="34">
        <v>36579</v>
      </c>
      <c r="I11" s="34">
        <v>35740.15</v>
      </c>
      <c r="J11" s="34">
        <v>38109</v>
      </c>
      <c r="K11" s="56"/>
      <c r="L11" s="34">
        <v>40365</v>
      </c>
      <c r="M11" s="34">
        <v>40365</v>
      </c>
      <c r="N11" s="34">
        <v>40365</v>
      </c>
      <c r="O11" s="34">
        <v>40365</v>
      </c>
      <c r="P11" s="21">
        <f>+N11-J11</f>
        <v>2256</v>
      </c>
      <c r="Q11" s="21">
        <f>+N11-O11</f>
        <v>0</v>
      </c>
    </row>
    <row r="12" spans="1:17" x14ac:dyDescent="0.3">
      <c r="A12" s="31" t="s">
        <v>101</v>
      </c>
      <c r="B12" s="32" t="s">
        <v>12</v>
      </c>
      <c r="C12" s="33" t="s">
        <v>13</v>
      </c>
      <c r="D12" s="34">
        <v>71764</v>
      </c>
      <c r="E12" s="21">
        <v>71880.08</v>
      </c>
      <c r="F12" s="21">
        <v>73576</v>
      </c>
      <c r="G12" s="34">
        <v>71780.800000000003</v>
      </c>
      <c r="H12" s="34">
        <v>71781</v>
      </c>
      <c r="I12" s="34">
        <v>72056.88</v>
      </c>
      <c r="J12" s="34">
        <v>71781</v>
      </c>
      <c r="K12" s="56"/>
      <c r="L12" s="34">
        <v>0</v>
      </c>
      <c r="M12" s="34">
        <v>0</v>
      </c>
      <c r="N12" s="34">
        <v>0</v>
      </c>
      <c r="O12" s="34">
        <v>0</v>
      </c>
      <c r="P12" s="21">
        <f>+N12-J12</f>
        <v>-71781</v>
      </c>
      <c r="Q12" s="21">
        <f>+N12-O12</f>
        <v>0</v>
      </c>
    </row>
    <row r="13" spans="1:17" x14ac:dyDescent="0.3">
      <c r="A13" s="31" t="s">
        <v>101</v>
      </c>
      <c r="B13" s="32" t="s">
        <v>39</v>
      </c>
      <c r="C13" s="33" t="s">
        <v>40</v>
      </c>
      <c r="D13" s="34">
        <v>1600</v>
      </c>
      <c r="E13" s="21">
        <v>4383.45</v>
      </c>
      <c r="F13" s="21">
        <v>1600</v>
      </c>
      <c r="G13" s="34">
        <v>6038.84</v>
      </c>
      <c r="H13" s="34">
        <v>4100</v>
      </c>
      <c r="I13" s="34">
        <v>6292.94</v>
      </c>
      <c r="J13" s="34">
        <v>6500</v>
      </c>
      <c r="K13" s="56"/>
      <c r="L13" s="34">
        <v>6500</v>
      </c>
      <c r="M13" s="34">
        <v>6500</v>
      </c>
      <c r="N13" s="34">
        <v>6500</v>
      </c>
      <c r="O13" s="34">
        <v>6500</v>
      </c>
      <c r="P13" s="21">
        <f>+N13-J13</f>
        <v>0</v>
      </c>
      <c r="Q13" s="21">
        <f>+N13-O13</f>
        <v>0</v>
      </c>
    </row>
    <row r="14" spans="1:17" x14ac:dyDescent="0.3">
      <c r="A14" s="177" t="s">
        <v>74</v>
      </c>
      <c r="B14" s="177"/>
      <c r="C14" s="177"/>
      <c r="D14" s="57">
        <f t="shared" ref="D14:J14" si="0">SUM(D10:D13)</f>
        <v>352313</v>
      </c>
      <c r="E14" s="24">
        <f t="shared" si="0"/>
        <v>355672.99000000005</v>
      </c>
      <c r="F14" s="57">
        <f t="shared" si="0"/>
        <v>369035</v>
      </c>
      <c r="G14" s="24">
        <f t="shared" si="0"/>
        <v>391566.89</v>
      </c>
      <c r="H14" s="24">
        <f t="shared" si="0"/>
        <v>399951</v>
      </c>
      <c r="I14" s="57">
        <f t="shared" si="0"/>
        <v>400564.98000000004</v>
      </c>
      <c r="J14" s="57">
        <f t="shared" si="0"/>
        <v>419595</v>
      </c>
      <c r="K14" s="58"/>
      <c r="L14" s="57">
        <f t="shared" ref="L14:Q14" si="1">SUM(L10:L13)</f>
        <v>370950</v>
      </c>
      <c r="M14" s="57">
        <f t="shared" si="1"/>
        <v>370950</v>
      </c>
      <c r="N14" s="57">
        <f t="shared" si="1"/>
        <v>370950</v>
      </c>
      <c r="O14" s="57">
        <f t="shared" si="1"/>
        <v>370950</v>
      </c>
      <c r="P14" s="57">
        <f t="shared" si="1"/>
        <v>-48645</v>
      </c>
      <c r="Q14" s="57">
        <f t="shared" si="1"/>
        <v>0</v>
      </c>
    </row>
    <row r="15" spans="1:17" x14ac:dyDescent="0.3">
      <c r="A15" s="175" t="s">
        <v>14</v>
      </c>
      <c r="B15" s="175"/>
      <c r="C15" s="175"/>
      <c r="D15" s="59"/>
      <c r="E15" s="27"/>
      <c r="F15" s="59"/>
      <c r="G15" s="27"/>
      <c r="H15" s="27"/>
      <c r="I15" s="59"/>
      <c r="J15" s="59"/>
      <c r="K15" s="60"/>
      <c r="L15" s="59"/>
      <c r="M15" s="59"/>
      <c r="N15" s="59"/>
      <c r="O15" s="59"/>
      <c r="P15" s="59"/>
      <c r="Q15" s="59"/>
    </row>
    <row r="16" spans="1:17" x14ac:dyDescent="0.3">
      <c r="A16" s="31" t="s">
        <v>101</v>
      </c>
      <c r="B16" s="32" t="s">
        <v>41</v>
      </c>
      <c r="C16" s="20" t="s">
        <v>42</v>
      </c>
      <c r="D16" s="34">
        <v>2855</v>
      </c>
      <c r="E16" s="21">
        <v>3314.68</v>
      </c>
      <c r="F16" s="21">
        <v>3162</v>
      </c>
      <c r="G16" s="34">
        <v>3640.16</v>
      </c>
      <c r="H16" s="34">
        <v>4892</v>
      </c>
      <c r="I16" s="34">
        <v>3155.52</v>
      </c>
      <c r="J16" s="34">
        <v>2900</v>
      </c>
      <c r="K16" s="56"/>
      <c r="L16" s="34">
        <v>3093</v>
      </c>
      <c r="M16" s="34">
        <v>3093</v>
      </c>
      <c r="N16" s="34">
        <v>3093</v>
      </c>
      <c r="O16" s="34">
        <v>3093</v>
      </c>
      <c r="P16" s="21">
        <f>+N16-J16</f>
        <v>193</v>
      </c>
      <c r="Q16" s="21">
        <f>+N16-O16</f>
        <v>0</v>
      </c>
    </row>
    <row r="17" spans="1:17" x14ac:dyDescent="0.3">
      <c r="A17" s="31" t="s">
        <v>101</v>
      </c>
      <c r="B17" s="32" t="s">
        <v>15</v>
      </c>
      <c r="C17" s="33" t="s">
        <v>16</v>
      </c>
      <c r="D17" s="34">
        <v>21828</v>
      </c>
      <c r="E17" s="21">
        <v>21781.77</v>
      </c>
      <c r="F17" s="21">
        <v>22569</v>
      </c>
      <c r="G17" s="34">
        <v>23744.32</v>
      </c>
      <c r="H17" s="34">
        <v>24909</v>
      </c>
      <c r="I17" s="34">
        <v>24392.34</v>
      </c>
      <c r="J17" s="34">
        <v>26052</v>
      </c>
      <c r="K17" s="56"/>
      <c r="L17" s="34">
        <v>22999</v>
      </c>
      <c r="M17" s="34">
        <v>22999</v>
      </c>
      <c r="N17" s="34">
        <v>22999</v>
      </c>
      <c r="O17" s="34">
        <v>22999</v>
      </c>
      <c r="P17" s="21">
        <f>+N17-J17</f>
        <v>-3053</v>
      </c>
      <c r="Q17" s="21">
        <f>+N17-O17</f>
        <v>0</v>
      </c>
    </row>
    <row r="18" spans="1:17" x14ac:dyDescent="0.3">
      <c r="A18" s="31" t="s">
        <v>101</v>
      </c>
      <c r="B18" s="32" t="s">
        <v>17</v>
      </c>
      <c r="C18" s="33" t="s">
        <v>18</v>
      </c>
      <c r="D18" s="34">
        <v>5105</v>
      </c>
      <c r="E18" s="21">
        <v>5094.17</v>
      </c>
      <c r="F18" s="21">
        <v>5279</v>
      </c>
      <c r="G18" s="34">
        <v>5553.08</v>
      </c>
      <c r="H18" s="34">
        <v>5827</v>
      </c>
      <c r="I18" s="34">
        <v>5704.64</v>
      </c>
      <c r="J18" s="34">
        <v>6086</v>
      </c>
      <c r="K18" s="56"/>
      <c r="L18" s="34">
        <v>5379</v>
      </c>
      <c r="M18" s="34">
        <v>5379</v>
      </c>
      <c r="N18" s="34">
        <v>5379</v>
      </c>
      <c r="O18" s="34">
        <v>5379</v>
      </c>
      <c r="P18" s="21">
        <f>+N18-J18</f>
        <v>-707</v>
      </c>
      <c r="Q18" s="21">
        <f>+N18-O18</f>
        <v>0</v>
      </c>
    </row>
    <row r="19" spans="1:17" x14ac:dyDescent="0.3">
      <c r="A19" s="31" t="s">
        <v>101</v>
      </c>
      <c r="B19" s="32" t="s">
        <v>43</v>
      </c>
      <c r="C19" s="33" t="s">
        <v>44</v>
      </c>
      <c r="D19" s="34">
        <v>30213</v>
      </c>
      <c r="E19" s="21">
        <v>30552.12</v>
      </c>
      <c r="F19" s="21">
        <v>30504</v>
      </c>
      <c r="G19" s="34">
        <v>36374.129999999997</v>
      </c>
      <c r="H19" s="34">
        <v>39453</v>
      </c>
      <c r="I19" s="34">
        <v>39850.339999999997</v>
      </c>
      <c r="J19" s="34">
        <v>39539</v>
      </c>
      <c r="K19" s="56"/>
      <c r="L19" s="34">
        <v>42201</v>
      </c>
      <c r="M19" s="34">
        <v>42201</v>
      </c>
      <c r="N19" s="34">
        <v>42201</v>
      </c>
      <c r="O19" s="34">
        <v>42201</v>
      </c>
      <c r="P19" s="21">
        <f>+N19-J19</f>
        <v>2662</v>
      </c>
      <c r="Q19" s="21">
        <f>+N19-O19</f>
        <v>0</v>
      </c>
    </row>
    <row r="20" spans="1:17" x14ac:dyDescent="0.3">
      <c r="A20" s="31" t="s">
        <v>101</v>
      </c>
      <c r="B20" s="32" t="s">
        <v>19</v>
      </c>
      <c r="C20" s="33" t="s">
        <v>20</v>
      </c>
      <c r="D20" s="34">
        <v>556</v>
      </c>
      <c r="E20" s="21">
        <v>528.61</v>
      </c>
      <c r="F20" s="21">
        <v>586</v>
      </c>
      <c r="G20" s="34">
        <v>625.78</v>
      </c>
      <c r="H20" s="34">
        <v>701</v>
      </c>
      <c r="I20" s="34">
        <v>701.27</v>
      </c>
      <c r="J20" s="34">
        <v>829</v>
      </c>
      <c r="K20" s="56"/>
      <c r="L20" s="34">
        <f>816-117</f>
        <v>699</v>
      </c>
      <c r="M20" s="34">
        <f>816-117</f>
        <v>699</v>
      </c>
      <c r="N20" s="34">
        <f>816-117</f>
        <v>699</v>
      </c>
      <c r="O20" s="34">
        <f>816-117</f>
        <v>699</v>
      </c>
      <c r="P20" s="21">
        <f>+N20-J20</f>
        <v>-130</v>
      </c>
      <c r="Q20" s="21">
        <f>+N20-O20</f>
        <v>0</v>
      </c>
    </row>
    <row r="21" spans="1:17" x14ac:dyDescent="0.3">
      <c r="A21" s="177" t="s">
        <v>75</v>
      </c>
      <c r="B21" s="177"/>
      <c r="C21" s="177"/>
      <c r="D21" s="57">
        <f t="shared" ref="D21:F21" si="2">SUM(D16:D20)</f>
        <v>60557</v>
      </c>
      <c r="E21" s="24">
        <f t="shared" si="2"/>
        <v>61271.350000000006</v>
      </c>
      <c r="F21" s="57">
        <f t="shared" si="2"/>
        <v>62100</v>
      </c>
      <c r="G21" s="24">
        <f>SUM(G16:G20)</f>
        <v>69937.47</v>
      </c>
      <c r="H21" s="24">
        <f>SUM(H16:H20)</f>
        <v>75782</v>
      </c>
      <c r="I21" s="57">
        <f t="shared" ref="I21:J21" si="3">SUM(I16:I20)</f>
        <v>73804.11</v>
      </c>
      <c r="J21" s="57">
        <f t="shared" si="3"/>
        <v>75406</v>
      </c>
      <c r="K21" s="58"/>
      <c r="L21" s="57">
        <f t="shared" ref="L21:Q21" si="4">SUM(L16:L20)</f>
        <v>74371</v>
      </c>
      <c r="M21" s="57">
        <f t="shared" si="4"/>
        <v>74371</v>
      </c>
      <c r="N21" s="57">
        <f t="shared" si="4"/>
        <v>74371</v>
      </c>
      <c r="O21" s="57">
        <f t="shared" si="4"/>
        <v>74371</v>
      </c>
      <c r="P21" s="57">
        <f t="shared" si="4"/>
        <v>-1035</v>
      </c>
      <c r="Q21" s="57">
        <f t="shared" si="4"/>
        <v>0</v>
      </c>
    </row>
    <row r="22" spans="1:17" x14ac:dyDescent="0.3">
      <c r="A22" s="175" t="s">
        <v>21</v>
      </c>
      <c r="B22" s="175"/>
      <c r="C22" s="175"/>
      <c r="D22" s="59"/>
      <c r="E22" s="27"/>
      <c r="F22" s="59"/>
      <c r="G22" s="27"/>
      <c r="H22" s="27"/>
      <c r="I22" s="59"/>
      <c r="J22" s="59"/>
      <c r="K22" s="60"/>
      <c r="L22" s="59"/>
      <c r="M22" s="59"/>
      <c r="N22" s="59"/>
      <c r="O22" s="59"/>
      <c r="P22" s="59"/>
      <c r="Q22" s="59"/>
    </row>
    <row r="23" spans="1:17" x14ac:dyDescent="0.3">
      <c r="A23" s="31" t="s">
        <v>101</v>
      </c>
      <c r="B23" s="32" t="s">
        <v>102</v>
      </c>
      <c r="C23" s="33" t="s">
        <v>103</v>
      </c>
      <c r="D23" s="34">
        <v>748</v>
      </c>
      <c r="E23" s="21">
        <v>2.6</v>
      </c>
      <c r="F23" s="21">
        <v>748</v>
      </c>
      <c r="G23" s="34">
        <v>0</v>
      </c>
      <c r="H23" s="34">
        <v>748</v>
      </c>
      <c r="I23" s="34">
        <v>1570.51</v>
      </c>
      <c r="J23" s="34">
        <v>748</v>
      </c>
      <c r="K23" s="56"/>
      <c r="L23" s="34">
        <v>1500</v>
      </c>
      <c r="M23" s="34">
        <v>1500</v>
      </c>
      <c r="N23" s="34">
        <v>1500</v>
      </c>
      <c r="O23" s="34">
        <v>748</v>
      </c>
      <c r="P23" s="21">
        <f>+N23-J23</f>
        <v>752</v>
      </c>
      <c r="Q23" s="21">
        <f>+N23-O23</f>
        <v>752</v>
      </c>
    </row>
    <row r="24" spans="1:17" x14ac:dyDescent="0.3">
      <c r="A24" s="31" t="s">
        <v>101</v>
      </c>
      <c r="B24" s="32" t="s">
        <v>28</v>
      </c>
      <c r="C24" s="33" t="s">
        <v>29</v>
      </c>
      <c r="D24" s="34">
        <v>19671</v>
      </c>
      <c r="E24" s="21">
        <v>24394.79</v>
      </c>
      <c r="F24" s="21">
        <v>19671</v>
      </c>
      <c r="G24" s="34">
        <v>23609.3</v>
      </c>
      <c r="H24" s="34">
        <v>19671</v>
      </c>
      <c r="I24" s="34">
        <v>23567.79</v>
      </c>
      <c r="J24" s="34">
        <v>6695</v>
      </c>
      <c r="K24" s="56"/>
      <c r="L24" s="34">
        <v>4000</v>
      </c>
      <c r="M24" s="34">
        <v>4000</v>
      </c>
      <c r="N24" s="34">
        <v>4000</v>
      </c>
      <c r="O24" s="34">
        <v>6695</v>
      </c>
      <c r="P24" s="21">
        <f>+N24-J24</f>
        <v>-2695</v>
      </c>
      <c r="Q24" s="21">
        <f>+N24-O24</f>
        <v>-2695</v>
      </c>
    </row>
    <row r="25" spans="1:17" x14ac:dyDescent="0.3">
      <c r="A25" s="176" t="s">
        <v>76</v>
      </c>
      <c r="B25" s="176"/>
      <c r="C25" s="176"/>
      <c r="D25" s="57">
        <f t="shared" ref="D25:F25" si="5">SUM(D23:D24)</f>
        <v>20419</v>
      </c>
      <c r="E25" s="24">
        <f t="shared" si="5"/>
        <v>24397.39</v>
      </c>
      <c r="F25" s="57">
        <f t="shared" si="5"/>
        <v>20419</v>
      </c>
      <c r="G25" s="24">
        <f>SUM(G23:G24)</f>
        <v>23609.3</v>
      </c>
      <c r="H25" s="24">
        <f>SUM(H23:H24)</f>
        <v>20419</v>
      </c>
      <c r="I25" s="57">
        <f t="shared" ref="I25:J25" si="6">SUM(I23:I24)</f>
        <v>25138.3</v>
      </c>
      <c r="J25" s="57">
        <f t="shared" si="6"/>
        <v>7443</v>
      </c>
      <c r="K25" s="58"/>
      <c r="L25" s="57">
        <f t="shared" ref="L25:Q25" si="7">SUM(L23:L24)</f>
        <v>5500</v>
      </c>
      <c r="M25" s="57">
        <f t="shared" si="7"/>
        <v>5500</v>
      </c>
      <c r="N25" s="57">
        <f t="shared" si="7"/>
        <v>5500</v>
      </c>
      <c r="O25" s="57">
        <f t="shared" si="7"/>
        <v>7443</v>
      </c>
      <c r="P25" s="57">
        <f t="shared" si="7"/>
        <v>-1943</v>
      </c>
      <c r="Q25" s="57">
        <f t="shared" si="7"/>
        <v>-1943</v>
      </c>
    </row>
    <row r="26" spans="1:17" x14ac:dyDescent="0.3">
      <c r="A26" s="175" t="s">
        <v>45</v>
      </c>
      <c r="B26" s="175"/>
      <c r="C26" s="175"/>
      <c r="D26" s="59"/>
      <c r="E26" s="27"/>
      <c r="F26" s="59"/>
      <c r="G26" s="27"/>
      <c r="H26" s="27"/>
      <c r="I26" s="59"/>
      <c r="J26" s="59"/>
      <c r="K26" s="60"/>
      <c r="L26" s="59"/>
      <c r="M26" s="59"/>
      <c r="N26" s="59"/>
      <c r="O26" s="59"/>
      <c r="P26" s="59"/>
      <c r="Q26" s="59"/>
    </row>
    <row r="27" spans="1:17" x14ac:dyDescent="0.3">
      <c r="A27" s="31" t="s">
        <v>101</v>
      </c>
      <c r="B27" s="19" t="s">
        <v>22</v>
      </c>
      <c r="C27" s="20" t="s">
        <v>23</v>
      </c>
      <c r="D27" s="34">
        <v>0</v>
      </c>
      <c r="E27" s="21">
        <v>0</v>
      </c>
      <c r="F27" s="21">
        <v>0</v>
      </c>
      <c r="G27" s="34">
        <v>0</v>
      </c>
      <c r="H27" s="34">
        <v>0</v>
      </c>
      <c r="I27" s="34">
        <v>0</v>
      </c>
      <c r="J27" s="34">
        <v>0</v>
      </c>
      <c r="K27" s="56"/>
      <c r="L27" s="34">
        <v>18416</v>
      </c>
      <c r="M27" s="34">
        <v>18416</v>
      </c>
      <c r="N27" s="34">
        <v>18416</v>
      </c>
      <c r="O27" s="34">
        <v>0</v>
      </c>
      <c r="P27" s="21">
        <f>+N27-J27</f>
        <v>18416</v>
      </c>
      <c r="Q27" s="21">
        <f>+N27-O27</f>
        <v>18416</v>
      </c>
    </row>
    <row r="28" spans="1:17" x14ac:dyDescent="0.3">
      <c r="A28" s="31" t="s">
        <v>101</v>
      </c>
      <c r="B28" s="32" t="s">
        <v>46</v>
      </c>
      <c r="C28" s="33" t="s">
        <v>47</v>
      </c>
      <c r="D28" s="34">
        <v>595</v>
      </c>
      <c r="E28" s="21">
        <v>20</v>
      </c>
      <c r="F28" s="21">
        <v>595</v>
      </c>
      <c r="G28" s="34">
        <v>0</v>
      </c>
      <c r="H28" s="34">
        <v>595</v>
      </c>
      <c r="I28" s="34">
        <v>140</v>
      </c>
      <c r="J28" s="34">
        <v>350</v>
      </c>
      <c r="K28" s="56"/>
      <c r="L28" s="34">
        <v>250</v>
      </c>
      <c r="M28" s="34">
        <v>250</v>
      </c>
      <c r="N28" s="34">
        <v>250</v>
      </c>
      <c r="O28" s="34">
        <f>595-245</f>
        <v>350</v>
      </c>
      <c r="P28" s="21">
        <f>+N28-J28</f>
        <v>-100</v>
      </c>
      <c r="Q28" s="21">
        <f>+N28-O28</f>
        <v>-100</v>
      </c>
    </row>
    <row r="29" spans="1:17" ht="21" customHeight="1" x14ac:dyDescent="0.3">
      <c r="A29" s="31" t="s">
        <v>101</v>
      </c>
      <c r="B29" s="32" t="s">
        <v>24</v>
      </c>
      <c r="C29" s="33" t="s">
        <v>25</v>
      </c>
      <c r="D29" s="34">
        <v>1285</v>
      </c>
      <c r="E29" s="21">
        <v>1147.1099999999999</v>
      </c>
      <c r="F29" s="21">
        <v>1285</v>
      </c>
      <c r="G29" s="34">
        <v>1896</v>
      </c>
      <c r="H29" s="34">
        <v>1285</v>
      </c>
      <c r="I29" s="34">
        <v>1533</v>
      </c>
      <c r="J29" s="34">
        <v>1585</v>
      </c>
      <c r="K29" s="56"/>
      <c r="L29" s="34">
        <v>4165</v>
      </c>
      <c r="M29" s="34">
        <v>4165</v>
      </c>
      <c r="N29" s="34">
        <v>4165</v>
      </c>
      <c r="O29" s="34">
        <v>1585</v>
      </c>
      <c r="P29" s="21">
        <f>+N29-J29</f>
        <v>2580</v>
      </c>
      <c r="Q29" s="21">
        <f>+N29-O29</f>
        <v>2580</v>
      </c>
    </row>
    <row r="30" spans="1:17" x14ac:dyDescent="0.3">
      <c r="A30" s="31" t="s">
        <v>101</v>
      </c>
      <c r="B30" s="32" t="s">
        <v>26</v>
      </c>
      <c r="C30" s="33" t="s">
        <v>27</v>
      </c>
      <c r="D30" s="34">
        <v>3066</v>
      </c>
      <c r="E30" s="21">
        <v>884.74</v>
      </c>
      <c r="F30" s="21">
        <v>3066</v>
      </c>
      <c r="G30" s="34">
        <v>1759.52</v>
      </c>
      <c r="H30" s="34">
        <v>3066</v>
      </c>
      <c r="I30" s="34">
        <v>1033.0999999999999</v>
      </c>
      <c r="J30" s="34">
        <v>2316</v>
      </c>
      <c r="K30" s="56"/>
      <c r="L30" s="34">
        <v>1725</v>
      </c>
      <c r="M30" s="34">
        <v>1725</v>
      </c>
      <c r="N30" s="34">
        <v>1725</v>
      </c>
      <c r="O30" s="34">
        <f>3066-750</f>
        <v>2316</v>
      </c>
      <c r="P30" s="21">
        <f>+N30-J30</f>
        <v>-591</v>
      </c>
      <c r="Q30" s="21">
        <f>+N30-O30</f>
        <v>-591</v>
      </c>
    </row>
    <row r="31" spans="1:17" x14ac:dyDescent="0.3">
      <c r="A31" s="177" t="s">
        <v>85</v>
      </c>
      <c r="B31" s="177"/>
      <c r="C31" s="177"/>
      <c r="D31" s="57">
        <f t="shared" ref="D31:F31" si="8">SUM(D27:D30)</f>
        <v>4946</v>
      </c>
      <c r="E31" s="24">
        <f t="shared" si="8"/>
        <v>2051.85</v>
      </c>
      <c r="F31" s="57">
        <f t="shared" si="8"/>
        <v>4946</v>
      </c>
      <c r="G31" s="24">
        <f>SUM(G27:G30)</f>
        <v>3655.52</v>
      </c>
      <c r="H31" s="24">
        <f>SUM(H27:H30)</f>
        <v>4946</v>
      </c>
      <c r="I31" s="57">
        <f t="shared" ref="I31:J31" si="9">SUM(I27:I30)</f>
        <v>2706.1</v>
      </c>
      <c r="J31" s="57">
        <f t="shared" si="9"/>
        <v>4251</v>
      </c>
      <c r="K31" s="58"/>
      <c r="L31" s="57">
        <f t="shared" ref="L31:Q31" si="10">SUM(L27:L30)</f>
        <v>24556</v>
      </c>
      <c r="M31" s="57">
        <f t="shared" si="10"/>
        <v>24556</v>
      </c>
      <c r="N31" s="57">
        <f t="shared" si="10"/>
        <v>24556</v>
      </c>
      <c r="O31" s="57">
        <f t="shared" si="10"/>
        <v>4251</v>
      </c>
      <c r="P31" s="57">
        <f t="shared" si="10"/>
        <v>20305</v>
      </c>
      <c r="Q31" s="57">
        <f t="shared" si="10"/>
        <v>20305</v>
      </c>
    </row>
    <row r="32" spans="1:17" x14ac:dyDescent="0.3">
      <c r="A32" s="175" t="s">
        <v>30</v>
      </c>
      <c r="B32" s="175"/>
      <c r="C32" s="175"/>
      <c r="D32" s="59"/>
      <c r="E32" s="27"/>
      <c r="F32" s="59"/>
      <c r="G32" s="27"/>
      <c r="H32" s="27"/>
      <c r="I32" s="59"/>
      <c r="J32" s="59"/>
      <c r="K32" s="60"/>
      <c r="L32" s="59"/>
      <c r="M32" s="59"/>
      <c r="N32" s="59"/>
      <c r="O32" s="59"/>
      <c r="P32" s="59"/>
      <c r="Q32" s="59"/>
    </row>
    <row r="33" spans="1:17" x14ac:dyDescent="0.3">
      <c r="A33" s="31" t="s">
        <v>101</v>
      </c>
      <c r="B33" s="32" t="s">
        <v>51</v>
      </c>
      <c r="C33" s="33" t="s">
        <v>48</v>
      </c>
      <c r="D33" s="34">
        <v>7727</v>
      </c>
      <c r="E33" s="21">
        <v>5766.14</v>
      </c>
      <c r="F33" s="21">
        <v>7000</v>
      </c>
      <c r="G33" s="34">
        <v>5850.16</v>
      </c>
      <c r="H33" s="34">
        <v>7000</v>
      </c>
      <c r="I33" s="34">
        <v>5313.11</v>
      </c>
      <c r="J33" s="34">
        <v>7000</v>
      </c>
      <c r="K33" s="56"/>
      <c r="L33" s="34">
        <v>9864</v>
      </c>
      <c r="M33" s="34">
        <v>9864</v>
      </c>
      <c r="N33" s="34">
        <v>9864</v>
      </c>
      <c r="O33" s="34">
        <v>7000</v>
      </c>
      <c r="P33" s="21">
        <f>+N33-J33</f>
        <v>2864</v>
      </c>
      <c r="Q33" s="21">
        <f>+N33-O33</f>
        <v>2864</v>
      </c>
    </row>
    <row r="34" spans="1:17" x14ac:dyDescent="0.3">
      <c r="A34" s="31" t="s">
        <v>101</v>
      </c>
      <c r="B34" s="32" t="s">
        <v>52</v>
      </c>
      <c r="C34" s="33" t="s">
        <v>49</v>
      </c>
      <c r="D34" s="34">
        <v>31460</v>
      </c>
      <c r="E34" s="21">
        <v>29811.65</v>
      </c>
      <c r="F34" s="21">
        <v>31460</v>
      </c>
      <c r="G34" s="34">
        <v>30731.94</v>
      </c>
      <c r="H34" s="34">
        <v>31460</v>
      </c>
      <c r="I34" s="34">
        <v>32340.36</v>
      </c>
      <c r="J34" s="34">
        <v>50028</v>
      </c>
      <c r="K34" s="56"/>
      <c r="L34" s="34">
        <v>40144</v>
      </c>
      <c r="M34" s="34">
        <v>40144</v>
      </c>
      <c r="N34" s="34">
        <v>40144</v>
      </c>
      <c r="O34" s="34">
        <f>31460+18523+45</f>
        <v>50028</v>
      </c>
      <c r="P34" s="21">
        <f>+N34-J34</f>
        <v>-9884</v>
      </c>
      <c r="Q34" s="21">
        <f>+N34-O34</f>
        <v>-9884</v>
      </c>
    </row>
    <row r="35" spans="1:17" ht="21" customHeight="1" x14ac:dyDescent="0.3">
      <c r="A35" s="31" t="s">
        <v>101</v>
      </c>
      <c r="B35" s="32" t="s">
        <v>53</v>
      </c>
      <c r="C35" s="33" t="s">
        <v>50</v>
      </c>
      <c r="D35" s="34">
        <v>100</v>
      </c>
      <c r="E35" s="21">
        <v>0</v>
      </c>
      <c r="F35" s="21">
        <v>100</v>
      </c>
      <c r="G35" s="34">
        <v>0</v>
      </c>
      <c r="H35" s="34">
        <v>100</v>
      </c>
      <c r="I35" s="34">
        <v>0</v>
      </c>
      <c r="J35" s="34">
        <v>50</v>
      </c>
      <c r="K35" s="56"/>
      <c r="L35" s="34">
        <f>100-50</f>
        <v>50</v>
      </c>
      <c r="M35" s="34">
        <f>100-50</f>
        <v>50</v>
      </c>
      <c r="N35" s="34">
        <f>100-50</f>
        <v>50</v>
      </c>
      <c r="O35" s="34">
        <f>100-50</f>
        <v>50</v>
      </c>
      <c r="P35" s="21">
        <f>+N35-J35</f>
        <v>0</v>
      </c>
      <c r="Q35" s="21">
        <f>+N35-O35</f>
        <v>0</v>
      </c>
    </row>
    <row r="36" spans="1:17" x14ac:dyDescent="0.3">
      <c r="A36" s="177" t="s">
        <v>77</v>
      </c>
      <c r="B36" s="177"/>
      <c r="C36" s="177"/>
      <c r="D36" s="57">
        <f t="shared" ref="D36:F36" si="11">SUM(D33:D35)</f>
        <v>39287</v>
      </c>
      <c r="E36" s="24">
        <f t="shared" si="11"/>
        <v>35577.79</v>
      </c>
      <c r="F36" s="57">
        <f t="shared" si="11"/>
        <v>38560</v>
      </c>
      <c r="G36" s="24">
        <f>SUM(G33:G35)</f>
        <v>36582.1</v>
      </c>
      <c r="H36" s="24">
        <f>SUM(H33:H35)</f>
        <v>38560</v>
      </c>
      <c r="I36" s="57">
        <f t="shared" ref="I36:J36" si="12">SUM(I33:I35)</f>
        <v>37653.47</v>
      </c>
      <c r="J36" s="57">
        <f t="shared" si="12"/>
        <v>57078</v>
      </c>
      <c r="K36" s="58"/>
      <c r="L36" s="57">
        <f t="shared" ref="L36:Q36" si="13">SUM(L33:L35)</f>
        <v>50058</v>
      </c>
      <c r="M36" s="57">
        <f t="shared" si="13"/>
        <v>50058</v>
      </c>
      <c r="N36" s="57">
        <f t="shared" si="13"/>
        <v>50058</v>
      </c>
      <c r="O36" s="57">
        <f t="shared" si="13"/>
        <v>57078</v>
      </c>
      <c r="P36" s="57">
        <f t="shared" si="13"/>
        <v>-7020</v>
      </c>
      <c r="Q36" s="57">
        <f t="shared" si="13"/>
        <v>-7020</v>
      </c>
    </row>
    <row r="37" spans="1:17" x14ac:dyDescent="0.3">
      <c r="A37" s="175" t="s">
        <v>54</v>
      </c>
      <c r="B37" s="175"/>
      <c r="C37" s="175"/>
      <c r="D37" s="59"/>
      <c r="E37" s="27"/>
      <c r="F37" s="59"/>
      <c r="G37" s="27"/>
      <c r="H37" s="27"/>
      <c r="I37" s="59"/>
      <c r="J37" s="59"/>
      <c r="K37" s="60"/>
      <c r="L37" s="59"/>
      <c r="M37" s="59"/>
      <c r="N37" s="59"/>
      <c r="O37" s="59"/>
      <c r="P37" s="59"/>
      <c r="Q37" s="59"/>
    </row>
    <row r="38" spans="1:17" ht="21.75" customHeight="1" x14ac:dyDescent="0.3">
      <c r="A38" s="31" t="s">
        <v>101</v>
      </c>
      <c r="B38" s="32" t="s">
        <v>55</v>
      </c>
      <c r="C38" s="33" t="s">
        <v>56</v>
      </c>
      <c r="D38" s="34">
        <v>1600</v>
      </c>
      <c r="E38" s="21">
        <v>0</v>
      </c>
      <c r="F38" s="34">
        <v>0</v>
      </c>
      <c r="G38" s="21">
        <v>0</v>
      </c>
      <c r="H38" s="21">
        <v>0</v>
      </c>
      <c r="I38" s="34">
        <v>0</v>
      </c>
      <c r="J38" s="34">
        <v>0</v>
      </c>
      <c r="K38" s="56"/>
      <c r="L38" s="34">
        <v>9200</v>
      </c>
      <c r="M38" s="34">
        <v>0</v>
      </c>
      <c r="N38" s="34">
        <v>0</v>
      </c>
      <c r="O38" s="34">
        <v>0</v>
      </c>
      <c r="P38" s="21">
        <f>+N38-J38</f>
        <v>0</v>
      </c>
      <c r="Q38" s="21">
        <f>+N38-O38</f>
        <v>0</v>
      </c>
    </row>
    <row r="39" spans="1:17" x14ac:dyDescent="0.3">
      <c r="A39" s="177" t="s">
        <v>86</v>
      </c>
      <c r="B39" s="177"/>
      <c r="C39" s="177"/>
      <c r="D39" s="57">
        <f t="shared" ref="D39:F39" si="14">SUM(D38:D38)</f>
        <v>1600</v>
      </c>
      <c r="E39" s="24">
        <f t="shared" si="14"/>
        <v>0</v>
      </c>
      <c r="F39" s="57">
        <f t="shared" si="14"/>
        <v>0</v>
      </c>
      <c r="G39" s="24">
        <f>SUM(G38:G38)</f>
        <v>0</v>
      </c>
      <c r="H39" s="24">
        <f>SUM(H38:H38)</f>
        <v>0</v>
      </c>
      <c r="I39" s="57">
        <f t="shared" ref="I39:J39" si="15">SUM(I38:I38)</f>
        <v>0</v>
      </c>
      <c r="J39" s="57">
        <f t="shared" si="15"/>
        <v>0</v>
      </c>
      <c r="K39" s="58"/>
      <c r="L39" s="57">
        <f t="shared" ref="L39:Q39" si="16">SUM(L38:L38)</f>
        <v>9200</v>
      </c>
      <c r="M39" s="57">
        <f t="shared" si="16"/>
        <v>0</v>
      </c>
      <c r="N39" s="57">
        <f t="shared" si="16"/>
        <v>0</v>
      </c>
      <c r="O39" s="57">
        <f t="shared" si="16"/>
        <v>0</v>
      </c>
      <c r="P39" s="57">
        <f t="shared" si="16"/>
        <v>0</v>
      </c>
      <c r="Q39" s="57">
        <f t="shared" si="16"/>
        <v>0</v>
      </c>
    </row>
    <row r="40" spans="1:17" x14ac:dyDescent="0.3">
      <c r="A40" s="178" t="s">
        <v>78</v>
      </c>
      <c r="B40" s="178"/>
      <c r="C40" s="178"/>
      <c r="D40" s="61">
        <f t="shared" ref="D40:F40" si="17">D14+D21+D25+D31+D36+D39</f>
        <v>479122</v>
      </c>
      <c r="E40" s="40">
        <f t="shared" si="17"/>
        <v>478971.37000000005</v>
      </c>
      <c r="F40" s="61">
        <f t="shared" si="17"/>
        <v>495060</v>
      </c>
      <c r="G40" s="40">
        <f>G14+G21+G25+G31+G36+G39</f>
        <v>525351.28</v>
      </c>
      <c r="H40" s="40">
        <f>H14+H21+H25+H31+H36+H39</f>
        <v>539658</v>
      </c>
      <c r="I40" s="61">
        <f t="shared" ref="I40:J40" si="18">I14+I21+I25+I31+I36+I39</f>
        <v>539866.96</v>
      </c>
      <c r="J40" s="61">
        <f t="shared" si="18"/>
        <v>563773</v>
      </c>
      <c r="K40" s="58"/>
      <c r="L40" s="61">
        <f t="shared" ref="L40:O40" si="19">L14+L21+L25+L31+L36+L39</f>
        <v>534635</v>
      </c>
      <c r="M40" s="61">
        <f t="shared" si="19"/>
        <v>525435</v>
      </c>
      <c r="N40" s="61">
        <f t="shared" si="19"/>
        <v>525435</v>
      </c>
      <c r="O40" s="61">
        <f t="shared" si="19"/>
        <v>514093</v>
      </c>
      <c r="P40" s="61">
        <f>P14+P21+P25+P31+P36+P39</f>
        <v>-38338</v>
      </c>
      <c r="Q40" s="61">
        <f t="shared" ref="Q40" si="20">Q14+Q21+Q25+Q31+Q36+Q39</f>
        <v>11342</v>
      </c>
    </row>
    <row r="41" spans="1:17" x14ac:dyDescent="0.3">
      <c r="A41" s="173" t="s">
        <v>100</v>
      </c>
      <c r="B41" s="173"/>
      <c r="C41" s="173"/>
      <c r="D41" s="15"/>
      <c r="E41" s="15"/>
      <c r="F41" s="15"/>
      <c r="G41" s="15"/>
      <c r="K41" s="11"/>
      <c r="L41" s="4"/>
      <c r="M41" s="4"/>
      <c r="N41" s="4"/>
      <c r="O41" s="4"/>
    </row>
    <row r="42" spans="1:17" x14ac:dyDescent="0.3">
      <c r="A42" s="174" t="s">
        <v>104</v>
      </c>
      <c r="B42" s="174"/>
      <c r="C42" s="174"/>
      <c r="D42" s="16"/>
      <c r="E42" s="16"/>
      <c r="F42" s="16"/>
      <c r="G42" s="16"/>
      <c r="K42" s="11"/>
      <c r="L42" s="4"/>
      <c r="M42" s="4"/>
      <c r="N42" s="4"/>
      <c r="O42" s="4"/>
    </row>
    <row r="43" spans="1:17" x14ac:dyDescent="0.3">
      <c r="A43" s="175" t="s">
        <v>11</v>
      </c>
      <c r="B43" s="175"/>
      <c r="C43" s="175"/>
      <c r="D43" s="17"/>
      <c r="E43" s="17"/>
      <c r="F43" s="17"/>
      <c r="G43" s="17"/>
      <c r="K43" s="11"/>
      <c r="L43" s="4"/>
      <c r="M43" s="4"/>
      <c r="N43" s="4"/>
      <c r="O43" s="4"/>
    </row>
    <row r="44" spans="1:17" x14ac:dyDescent="0.3">
      <c r="A44" s="31" t="s">
        <v>105</v>
      </c>
      <c r="B44" s="32" t="s">
        <v>12</v>
      </c>
      <c r="C44" s="33" t="s">
        <v>13</v>
      </c>
      <c r="D44" s="34"/>
      <c r="E44" s="21"/>
      <c r="F44" s="21"/>
      <c r="G44" s="34"/>
      <c r="H44" s="34"/>
      <c r="I44" s="34"/>
      <c r="J44" s="34"/>
      <c r="K44" s="56"/>
      <c r="L44" s="34">
        <v>82807</v>
      </c>
      <c r="M44" s="34">
        <v>82807</v>
      </c>
      <c r="N44" s="34">
        <v>82807</v>
      </c>
      <c r="O44" s="34">
        <v>71781</v>
      </c>
      <c r="P44" s="21">
        <f>+N44-J44</f>
        <v>82807</v>
      </c>
      <c r="Q44" s="21">
        <f>+N44-O44</f>
        <v>11026</v>
      </c>
    </row>
    <row r="45" spans="1:17" x14ac:dyDescent="0.3">
      <c r="A45" s="177" t="s">
        <v>74</v>
      </c>
      <c r="B45" s="177"/>
      <c r="C45" s="177"/>
      <c r="D45" s="57">
        <f t="shared" ref="D45:J45" si="21">D44</f>
        <v>0</v>
      </c>
      <c r="E45" s="57">
        <f t="shared" si="21"/>
        <v>0</v>
      </c>
      <c r="F45" s="57">
        <f t="shared" si="21"/>
        <v>0</v>
      </c>
      <c r="G45" s="57">
        <f t="shared" si="21"/>
        <v>0</v>
      </c>
      <c r="H45" s="57">
        <f t="shared" si="21"/>
        <v>0</v>
      </c>
      <c r="I45" s="57">
        <f t="shared" si="21"/>
        <v>0</v>
      </c>
      <c r="J45" s="57">
        <f t="shared" si="21"/>
        <v>0</v>
      </c>
      <c r="K45" s="58"/>
      <c r="L45" s="57">
        <f>L44</f>
        <v>82807</v>
      </c>
      <c r="M45" s="57">
        <f>M44</f>
        <v>82807</v>
      </c>
      <c r="N45" s="57">
        <f>N44</f>
        <v>82807</v>
      </c>
      <c r="O45" s="57">
        <f>O44</f>
        <v>71781</v>
      </c>
      <c r="P45" s="57">
        <f>SUM(P44:P44)</f>
        <v>82807</v>
      </c>
      <c r="Q45" s="57">
        <f>SUM(Q44:Q44)</f>
        <v>11026</v>
      </c>
    </row>
    <row r="46" spans="1:17" x14ac:dyDescent="0.3">
      <c r="A46" s="175" t="s">
        <v>14</v>
      </c>
      <c r="B46" s="175"/>
      <c r="C46" s="175"/>
      <c r="D46" s="59"/>
      <c r="E46" s="27"/>
      <c r="F46" s="59"/>
      <c r="G46" s="27"/>
      <c r="H46" s="27"/>
      <c r="I46" s="59"/>
      <c r="J46" s="59"/>
      <c r="K46" s="60"/>
      <c r="L46" s="59"/>
      <c r="M46" s="59"/>
      <c r="N46" s="59"/>
      <c r="O46" s="59"/>
      <c r="P46" s="59"/>
      <c r="Q46" s="59"/>
    </row>
    <row r="47" spans="1:17" x14ac:dyDescent="0.3">
      <c r="A47" s="31" t="s">
        <v>105</v>
      </c>
      <c r="B47" s="32" t="s">
        <v>57</v>
      </c>
      <c r="C47" s="33" t="s">
        <v>58</v>
      </c>
      <c r="D47" s="21">
        <v>0</v>
      </c>
      <c r="E47" s="34">
        <v>0</v>
      </c>
      <c r="F47" s="21">
        <v>0</v>
      </c>
      <c r="G47" s="21">
        <v>0</v>
      </c>
      <c r="H47" s="34">
        <v>0</v>
      </c>
      <c r="I47" s="34">
        <v>0</v>
      </c>
      <c r="J47" s="34">
        <v>0</v>
      </c>
      <c r="K47" s="60"/>
      <c r="L47" s="62">
        <v>36707</v>
      </c>
      <c r="M47" s="62">
        <v>36707</v>
      </c>
      <c r="N47" s="62">
        <v>36707</v>
      </c>
      <c r="O47" s="62">
        <v>0</v>
      </c>
      <c r="P47" s="21">
        <f t="shared" ref="P47:P49" si="22">+N47-J47</f>
        <v>36707</v>
      </c>
      <c r="Q47" s="21">
        <f>+N47-O47</f>
        <v>36707</v>
      </c>
    </row>
    <row r="48" spans="1:17" x14ac:dyDescent="0.3">
      <c r="A48" s="31" t="s">
        <v>105</v>
      </c>
      <c r="B48" s="32" t="s">
        <v>41</v>
      </c>
      <c r="C48" s="33" t="s">
        <v>42</v>
      </c>
      <c r="D48" s="21">
        <v>0</v>
      </c>
      <c r="E48" s="34">
        <v>0</v>
      </c>
      <c r="F48" s="21">
        <v>0</v>
      </c>
      <c r="G48" s="21">
        <v>0</v>
      </c>
      <c r="H48" s="34">
        <v>0</v>
      </c>
      <c r="I48" s="34">
        <v>0</v>
      </c>
      <c r="J48" s="34">
        <v>0</v>
      </c>
      <c r="K48" s="56"/>
      <c r="L48" s="34">
        <v>812</v>
      </c>
      <c r="M48" s="34">
        <v>812</v>
      </c>
      <c r="N48" s="34">
        <v>812</v>
      </c>
      <c r="O48" s="34">
        <v>0</v>
      </c>
      <c r="P48" s="21">
        <f t="shared" si="22"/>
        <v>812</v>
      </c>
      <c r="Q48" s="21">
        <f t="shared" ref="Q48:Q53" si="23">+N48-O48</f>
        <v>812</v>
      </c>
    </row>
    <row r="49" spans="1:17" x14ac:dyDescent="0.3">
      <c r="A49" s="31" t="s">
        <v>105</v>
      </c>
      <c r="B49" s="32" t="s">
        <v>106</v>
      </c>
      <c r="C49" s="33" t="s">
        <v>107</v>
      </c>
      <c r="D49" s="21">
        <v>0</v>
      </c>
      <c r="E49" s="34">
        <v>0</v>
      </c>
      <c r="F49" s="21">
        <v>0</v>
      </c>
      <c r="G49" s="21">
        <v>0</v>
      </c>
      <c r="H49" s="34">
        <v>0</v>
      </c>
      <c r="I49" s="34">
        <v>0</v>
      </c>
      <c r="J49" s="34">
        <v>0</v>
      </c>
      <c r="K49" s="56"/>
      <c r="L49" s="34">
        <v>1308</v>
      </c>
      <c r="M49" s="34">
        <v>1308</v>
      </c>
      <c r="N49" s="34">
        <v>1308</v>
      </c>
      <c r="O49" s="34">
        <v>0</v>
      </c>
      <c r="P49" s="21">
        <f t="shared" si="22"/>
        <v>1308</v>
      </c>
      <c r="Q49" s="21">
        <f t="shared" si="23"/>
        <v>1308</v>
      </c>
    </row>
    <row r="50" spans="1:17" x14ac:dyDescent="0.3">
      <c r="A50" s="31" t="s">
        <v>105</v>
      </c>
      <c r="B50" s="32" t="s">
        <v>15</v>
      </c>
      <c r="C50" s="33" t="s">
        <v>16</v>
      </c>
      <c r="D50" s="21">
        <v>0</v>
      </c>
      <c r="E50" s="34">
        <v>0</v>
      </c>
      <c r="F50" s="21">
        <v>0</v>
      </c>
      <c r="G50" s="21">
        <v>0</v>
      </c>
      <c r="H50" s="34">
        <v>0</v>
      </c>
      <c r="I50" s="34">
        <v>0</v>
      </c>
      <c r="J50" s="34">
        <v>0</v>
      </c>
      <c r="K50" s="56"/>
      <c r="L50" s="34">
        <v>5134</v>
      </c>
      <c r="M50" s="34">
        <v>5134</v>
      </c>
      <c r="N50" s="34">
        <v>5134</v>
      </c>
      <c r="O50" s="34">
        <v>4451</v>
      </c>
      <c r="P50" s="21">
        <f>+N50-J50</f>
        <v>5134</v>
      </c>
      <c r="Q50" s="21">
        <f t="shared" si="23"/>
        <v>683</v>
      </c>
    </row>
    <row r="51" spans="1:17" x14ac:dyDescent="0.3">
      <c r="A51" s="31" t="s">
        <v>105</v>
      </c>
      <c r="B51" s="32" t="s">
        <v>17</v>
      </c>
      <c r="C51" s="33" t="s">
        <v>18</v>
      </c>
      <c r="D51" s="21">
        <v>0</v>
      </c>
      <c r="E51" s="34">
        <v>0</v>
      </c>
      <c r="F51" s="21">
        <v>0</v>
      </c>
      <c r="G51" s="21">
        <v>0</v>
      </c>
      <c r="H51" s="34">
        <v>0</v>
      </c>
      <c r="I51" s="34">
        <v>0</v>
      </c>
      <c r="J51" s="34">
        <v>0</v>
      </c>
      <c r="K51" s="56"/>
      <c r="L51" s="34">
        <v>1201</v>
      </c>
      <c r="M51" s="34">
        <v>1201</v>
      </c>
      <c r="N51" s="34">
        <v>1201</v>
      </c>
      <c r="O51" s="34">
        <v>1041</v>
      </c>
      <c r="P51" s="21">
        <f>+N51-J51</f>
        <v>1201</v>
      </c>
      <c r="Q51" s="21">
        <f t="shared" si="23"/>
        <v>160</v>
      </c>
    </row>
    <row r="52" spans="1:17" x14ac:dyDescent="0.3">
      <c r="A52" s="31" t="s">
        <v>105</v>
      </c>
      <c r="B52" s="32" t="s">
        <v>43</v>
      </c>
      <c r="C52" s="33" t="s">
        <v>44</v>
      </c>
      <c r="D52" s="21">
        <v>0</v>
      </c>
      <c r="E52" s="34">
        <v>0</v>
      </c>
      <c r="F52" s="21">
        <v>0</v>
      </c>
      <c r="G52" s="21">
        <v>0</v>
      </c>
      <c r="H52" s="34">
        <v>0</v>
      </c>
      <c r="I52" s="34">
        <v>0</v>
      </c>
      <c r="J52" s="34">
        <v>0</v>
      </c>
      <c r="K52" s="56"/>
      <c r="L52" s="34">
        <v>10558</v>
      </c>
      <c r="M52" s="34">
        <v>10558</v>
      </c>
      <c r="N52" s="34">
        <v>10558</v>
      </c>
      <c r="O52" s="34">
        <v>0</v>
      </c>
      <c r="P52" s="21">
        <f>+N52-J52</f>
        <v>10558</v>
      </c>
      <c r="Q52" s="21">
        <f t="shared" si="23"/>
        <v>10558</v>
      </c>
    </row>
    <row r="53" spans="1:17" x14ac:dyDescent="0.3">
      <c r="A53" s="31" t="s">
        <v>105</v>
      </c>
      <c r="B53" s="32" t="s">
        <v>19</v>
      </c>
      <c r="C53" s="33" t="s">
        <v>20</v>
      </c>
      <c r="D53" s="21">
        <v>0</v>
      </c>
      <c r="E53" s="34">
        <v>0</v>
      </c>
      <c r="F53" s="21">
        <v>0</v>
      </c>
      <c r="G53" s="21">
        <v>0</v>
      </c>
      <c r="H53" s="34">
        <v>0</v>
      </c>
      <c r="I53" s="34">
        <v>0</v>
      </c>
      <c r="J53" s="34">
        <v>0</v>
      </c>
      <c r="K53" s="56"/>
      <c r="L53" s="34">
        <v>117</v>
      </c>
      <c r="M53" s="34">
        <v>117</v>
      </c>
      <c r="N53" s="34">
        <v>117</v>
      </c>
      <c r="O53" s="34">
        <v>0</v>
      </c>
      <c r="P53" s="21">
        <f>+N53-J53</f>
        <v>117</v>
      </c>
      <c r="Q53" s="21">
        <f t="shared" si="23"/>
        <v>117</v>
      </c>
    </row>
    <row r="54" spans="1:17" x14ac:dyDescent="0.3">
      <c r="A54" s="177" t="s">
        <v>75</v>
      </c>
      <c r="B54" s="177"/>
      <c r="C54" s="177"/>
      <c r="D54" s="57">
        <f t="shared" ref="D54:J54" si="24">SUM(D48:D53)</f>
        <v>0</v>
      </c>
      <c r="E54" s="57">
        <f t="shared" si="24"/>
        <v>0</v>
      </c>
      <c r="F54" s="57">
        <f t="shared" si="24"/>
        <v>0</v>
      </c>
      <c r="G54" s="57">
        <f t="shared" si="24"/>
        <v>0</v>
      </c>
      <c r="H54" s="57">
        <f t="shared" si="24"/>
        <v>0</v>
      </c>
      <c r="I54" s="57">
        <f t="shared" si="24"/>
        <v>0</v>
      </c>
      <c r="J54" s="57">
        <f t="shared" si="24"/>
        <v>0</v>
      </c>
      <c r="K54" s="58"/>
      <c r="L54" s="57">
        <f t="shared" ref="L54:Q54" si="25">SUM(L47:L53)</f>
        <v>55837</v>
      </c>
      <c r="M54" s="57">
        <f t="shared" si="25"/>
        <v>55837</v>
      </c>
      <c r="N54" s="57">
        <f t="shared" si="25"/>
        <v>55837</v>
      </c>
      <c r="O54" s="57">
        <f t="shared" si="25"/>
        <v>5492</v>
      </c>
      <c r="P54" s="57">
        <f t="shared" si="25"/>
        <v>55837</v>
      </c>
      <c r="Q54" s="57">
        <f t="shared" si="25"/>
        <v>50345</v>
      </c>
    </row>
    <row r="55" spans="1:17" x14ac:dyDescent="0.3">
      <c r="A55" s="178" t="s">
        <v>108</v>
      </c>
      <c r="B55" s="178"/>
      <c r="C55" s="178"/>
      <c r="D55" s="61">
        <f t="shared" ref="D55:J55" si="26">D45+D54</f>
        <v>0</v>
      </c>
      <c r="E55" s="61">
        <f t="shared" si="26"/>
        <v>0</v>
      </c>
      <c r="F55" s="61">
        <f t="shared" si="26"/>
        <v>0</v>
      </c>
      <c r="G55" s="61">
        <f t="shared" si="26"/>
        <v>0</v>
      </c>
      <c r="H55" s="61">
        <f t="shared" si="26"/>
        <v>0</v>
      </c>
      <c r="I55" s="61">
        <f t="shared" si="26"/>
        <v>0</v>
      </c>
      <c r="J55" s="61">
        <f t="shared" si="26"/>
        <v>0</v>
      </c>
      <c r="K55" s="58"/>
      <c r="L55" s="61">
        <f t="shared" ref="L55:P55" si="27">L45+L54</f>
        <v>138644</v>
      </c>
      <c r="M55" s="61">
        <f t="shared" si="27"/>
        <v>138644</v>
      </c>
      <c r="N55" s="61">
        <f t="shared" si="27"/>
        <v>138644</v>
      </c>
      <c r="O55" s="61">
        <f t="shared" si="27"/>
        <v>77273</v>
      </c>
      <c r="P55" s="61">
        <f t="shared" si="27"/>
        <v>138644</v>
      </c>
      <c r="Q55" s="61">
        <f>Q45+Q54</f>
        <v>61371</v>
      </c>
    </row>
    <row r="56" spans="1:17" x14ac:dyDescent="0.3">
      <c r="A56" s="174" t="s">
        <v>109</v>
      </c>
      <c r="B56" s="174"/>
      <c r="C56" s="174"/>
      <c r="D56" s="59"/>
      <c r="E56" s="27"/>
      <c r="F56" s="59"/>
      <c r="G56" s="27"/>
      <c r="H56" s="27"/>
      <c r="I56" s="59"/>
      <c r="J56" s="59"/>
      <c r="K56" s="60"/>
      <c r="L56" s="59"/>
      <c r="M56" s="59"/>
      <c r="N56" s="59"/>
      <c r="O56" s="59"/>
      <c r="P56" s="59"/>
      <c r="Q56" s="59"/>
    </row>
    <row r="57" spans="1:17" x14ac:dyDescent="0.3">
      <c r="A57" s="175" t="s">
        <v>11</v>
      </c>
      <c r="B57" s="175"/>
      <c r="C57" s="175"/>
      <c r="D57" s="59"/>
      <c r="E57" s="27"/>
      <c r="F57" s="59"/>
      <c r="G57" s="27"/>
      <c r="H57" s="27"/>
      <c r="I57" s="59"/>
      <c r="J57" s="59"/>
      <c r="K57" s="60"/>
      <c r="L57" s="59"/>
      <c r="M57" s="59"/>
      <c r="N57" s="59"/>
      <c r="O57" s="59"/>
      <c r="P57" s="59"/>
      <c r="Q57" s="59"/>
    </row>
    <row r="58" spans="1:17" x14ac:dyDescent="0.3">
      <c r="A58" s="31" t="s">
        <v>110</v>
      </c>
      <c r="B58" s="32" t="s">
        <v>37</v>
      </c>
      <c r="C58" s="33" t="s">
        <v>38</v>
      </c>
      <c r="D58" s="34">
        <v>6748</v>
      </c>
      <c r="E58" s="21">
        <v>13629.19</v>
      </c>
      <c r="F58" s="21">
        <v>11765</v>
      </c>
      <c r="G58" s="34">
        <v>10077.280000000001</v>
      </c>
      <c r="H58" s="34">
        <v>16780</v>
      </c>
      <c r="I58" s="34">
        <v>22191.360000000001</v>
      </c>
      <c r="J58" s="34">
        <v>7515</v>
      </c>
      <c r="K58" s="56"/>
      <c r="L58" s="34">
        <v>20200</v>
      </c>
      <c r="M58" s="34">
        <v>20200</v>
      </c>
      <c r="N58" s="34">
        <v>20200</v>
      </c>
      <c r="O58" s="34">
        <v>20200</v>
      </c>
      <c r="P58" s="21">
        <f>+N58-J58</f>
        <v>12685</v>
      </c>
      <c r="Q58" s="21">
        <f>+N58-O58</f>
        <v>0</v>
      </c>
    </row>
    <row r="59" spans="1:17" x14ac:dyDescent="0.3">
      <c r="A59" s="31" t="s">
        <v>110</v>
      </c>
      <c r="B59" s="32" t="s">
        <v>12</v>
      </c>
      <c r="C59" s="33" t="s">
        <v>13</v>
      </c>
      <c r="D59" s="34">
        <v>16252</v>
      </c>
      <c r="E59" s="21">
        <v>14193.47</v>
      </c>
      <c r="F59" s="21">
        <v>16752</v>
      </c>
      <c r="G59" s="34">
        <v>8127.66</v>
      </c>
      <c r="H59" s="34">
        <v>17252</v>
      </c>
      <c r="I59" s="34">
        <v>12234.44</v>
      </c>
      <c r="J59" s="34">
        <v>16252</v>
      </c>
      <c r="K59" s="56"/>
      <c r="L59" s="34">
        <v>19204</v>
      </c>
      <c r="M59" s="34">
        <v>19204</v>
      </c>
      <c r="N59" s="34">
        <v>19204</v>
      </c>
      <c r="O59" s="34">
        <v>19204</v>
      </c>
      <c r="P59" s="21">
        <f>+N59-J59</f>
        <v>2952</v>
      </c>
      <c r="Q59" s="21">
        <f>+N59-O59</f>
        <v>0</v>
      </c>
    </row>
    <row r="60" spans="1:17" x14ac:dyDescent="0.3">
      <c r="A60" s="31" t="s">
        <v>110</v>
      </c>
      <c r="B60" s="32" t="s">
        <v>39</v>
      </c>
      <c r="C60" s="33" t="s">
        <v>40</v>
      </c>
      <c r="D60" s="34">
        <v>600</v>
      </c>
      <c r="E60" s="21">
        <v>0</v>
      </c>
      <c r="F60" s="21">
        <v>0</v>
      </c>
      <c r="G60" s="34">
        <v>0</v>
      </c>
      <c r="H60" s="34">
        <v>0</v>
      </c>
      <c r="I60" s="34">
        <v>0</v>
      </c>
      <c r="J60" s="34">
        <v>0</v>
      </c>
      <c r="K60" s="56"/>
      <c r="L60" s="34">
        <v>0</v>
      </c>
      <c r="M60" s="34">
        <v>0</v>
      </c>
      <c r="N60" s="34">
        <v>0</v>
      </c>
      <c r="O60" s="34">
        <v>0</v>
      </c>
      <c r="P60" s="21">
        <f>+N60-J60</f>
        <v>0</v>
      </c>
      <c r="Q60" s="21">
        <f>+N60-O60</f>
        <v>0</v>
      </c>
    </row>
    <row r="61" spans="1:17" x14ac:dyDescent="0.3">
      <c r="A61" s="177" t="s">
        <v>74</v>
      </c>
      <c r="B61" s="177"/>
      <c r="C61" s="177"/>
      <c r="D61" s="57">
        <f t="shared" ref="D61:F61" si="28">SUM(D58:D60)</f>
        <v>23600</v>
      </c>
      <c r="E61" s="24">
        <f t="shared" si="28"/>
        <v>27822.66</v>
      </c>
      <c r="F61" s="57">
        <f t="shared" si="28"/>
        <v>28517</v>
      </c>
      <c r="G61" s="24">
        <f>SUM(G58:G60)</f>
        <v>18204.940000000002</v>
      </c>
      <c r="H61" s="24">
        <f>SUM(H58:H60)</f>
        <v>34032</v>
      </c>
      <c r="I61" s="57">
        <f t="shared" ref="I61:J61" si="29">SUM(I58:I60)</f>
        <v>34425.800000000003</v>
      </c>
      <c r="J61" s="57">
        <f t="shared" si="29"/>
        <v>23767</v>
      </c>
      <c r="K61" s="58"/>
      <c r="L61" s="57">
        <f t="shared" ref="L61:Q61" si="30">SUM(L58:L60)</f>
        <v>39404</v>
      </c>
      <c r="M61" s="57">
        <f t="shared" si="30"/>
        <v>39404</v>
      </c>
      <c r="N61" s="57">
        <f t="shared" si="30"/>
        <v>39404</v>
      </c>
      <c r="O61" s="57">
        <f t="shared" si="30"/>
        <v>39404</v>
      </c>
      <c r="P61" s="57">
        <f t="shared" si="30"/>
        <v>15637</v>
      </c>
      <c r="Q61" s="57">
        <f t="shared" si="30"/>
        <v>0</v>
      </c>
    </row>
    <row r="62" spans="1:17" x14ac:dyDescent="0.3">
      <c r="A62" s="175" t="s">
        <v>14</v>
      </c>
      <c r="B62" s="175"/>
      <c r="C62" s="175"/>
      <c r="D62" s="59"/>
      <c r="E62" s="27"/>
      <c r="F62" s="59"/>
      <c r="G62" s="27"/>
      <c r="H62" s="27"/>
      <c r="I62" s="59"/>
      <c r="J62" s="59"/>
      <c r="K62" s="60"/>
      <c r="L62" s="59"/>
      <c r="M62" s="59"/>
      <c r="N62" s="59"/>
      <c r="O62" s="59"/>
      <c r="P62" s="59"/>
      <c r="Q62" s="59"/>
    </row>
    <row r="63" spans="1:17" x14ac:dyDescent="0.3">
      <c r="A63" s="31" t="s">
        <v>110</v>
      </c>
      <c r="B63" s="32" t="s">
        <v>15</v>
      </c>
      <c r="C63" s="33" t="s">
        <v>16</v>
      </c>
      <c r="D63" s="34">
        <v>1045</v>
      </c>
      <c r="E63" s="21">
        <v>979.98</v>
      </c>
      <c r="F63" s="21">
        <v>1056</v>
      </c>
      <c r="G63" s="34">
        <v>556.25</v>
      </c>
      <c r="H63" s="34">
        <v>2110</v>
      </c>
      <c r="I63" s="34">
        <v>1041.97</v>
      </c>
      <c r="J63" s="34">
        <v>1474</v>
      </c>
      <c r="K63" s="56"/>
      <c r="L63" s="34">
        <v>2444</v>
      </c>
      <c r="M63" s="34">
        <v>2444</v>
      </c>
      <c r="N63" s="34">
        <v>2444</v>
      </c>
      <c r="O63" s="34">
        <v>2444</v>
      </c>
      <c r="P63" s="21">
        <f>+N63-J63</f>
        <v>970</v>
      </c>
      <c r="Q63" s="21">
        <f>+N63-O63</f>
        <v>0</v>
      </c>
    </row>
    <row r="64" spans="1:17" x14ac:dyDescent="0.3">
      <c r="A64" s="31" t="s">
        <v>110</v>
      </c>
      <c r="B64" s="32" t="s">
        <v>17</v>
      </c>
      <c r="C64" s="33" t="s">
        <v>18</v>
      </c>
      <c r="D64" s="34">
        <v>245</v>
      </c>
      <c r="E64" s="21">
        <v>229.15</v>
      </c>
      <c r="F64" s="21">
        <v>247</v>
      </c>
      <c r="G64" s="34">
        <v>130.07</v>
      </c>
      <c r="H64" s="34">
        <v>494</v>
      </c>
      <c r="I64" s="34">
        <v>243.7</v>
      </c>
      <c r="J64" s="34">
        <v>345</v>
      </c>
      <c r="K64" s="56"/>
      <c r="L64" s="34">
        <v>572</v>
      </c>
      <c r="M64" s="34">
        <v>572</v>
      </c>
      <c r="N64" s="34">
        <v>572</v>
      </c>
      <c r="O64" s="34">
        <v>572</v>
      </c>
      <c r="P64" s="21">
        <f>+N64-J64</f>
        <v>227</v>
      </c>
      <c r="Q64" s="21">
        <f>+N64-O64</f>
        <v>0</v>
      </c>
    </row>
    <row r="65" spans="1:17" x14ac:dyDescent="0.3">
      <c r="A65" s="177" t="s">
        <v>75</v>
      </c>
      <c r="B65" s="177"/>
      <c r="C65" s="177"/>
      <c r="D65" s="57">
        <f t="shared" ref="D65:F65" si="31">SUM(D63:D64)</f>
        <v>1290</v>
      </c>
      <c r="E65" s="24">
        <f t="shared" si="31"/>
        <v>1209.1300000000001</v>
      </c>
      <c r="F65" s="57">
        <f t="shared" si="31"/>
        <v>1303</v>
      </c>
      <c r="G65" s="24">
        <f>SUM(G63:G64)</f>
        <v>686.31999999999994</v>
      </c>
      <c r="H65" s="24">
        <f>SUM(H63:H64)</f>
        <v>2604</v>
      </c>
      <c r="I65" s="57">
        <f t="shared" ref="I65:J65" si="32">SUM(I63:I64)</f>
        <v>1285.67</v>
      </c>
      <c r="J65" s="57">
        <f t="shared" si="32"/>
        <v>1819</v>
      </c>
      <c r="K65" s="58"/>
      <c r="L65" s="57">
        <f t="shared" ref="L65:Q65" si="33">SUM(L63:L64)</f>
        <v>3016</v>
      </c>
      <c r="M65" s="57">
        <f t="shared" si="33"/>
        <v>3016</v>
      </c>
      <c r="N65" s="57">
        <f t="shared" si="33"/>
        <v>3016</v>
      </c>
      <c r="O65" s="57">
        <f t="shared" si="33"/>
        <v>3016</v>
      </c>
      <c r="P65" s="57">
        <f t="shared" si="33"/>
        <v>1197</v>
      </c>
      <c r="Q65" s="57">
        <f t="shared" si="33"/>
        <v>0</v>
      </c>
    </row>
    <row r="66" spans="1:17" x14ac:dyDescent="0.3">
      <c r="A66" s="175" t="s">
        <v>21</v>
      </c>
      <c r="B66" s="175"/>
      <c r="C66" s="175"/>
      <c r="D66" s="59"/>
      <c r="E66" s="27"/>
      <c r="F66" s="59"/>
      <c r="G66" s="27"/>
      <c r="H66" s="27"/>
      <c r="I66" s="59"/>
      <c r="J66" s="59"/>
      <c r="K66" s="60"/>
      <c r="L66" s="59"/>
      <c r="M66" s="59"/>
      <c r="N66" s="59"/>
      <c r="O66" s="59"/>
      <c r="P66" s="59"/>
      <c r="Q66" s="59"/>
    </row>
    <row r="67" spans="1:17" x14ac:dyDescent="0.3">
      <c r="A67" s="31" t="s">
        <v>110</v>
      </c>
      <c r="B67" s="32" t="s">
        <v>28</v>
      </c>
      <c r="C67" s="33" t="s">
        <v>29</v>
      </c>
      <c r="D67" s="34">
        <v>10200</v>
      </c>
      <c r="E67" s="21">
        <v>3804.94</v>
      </c>
      <c r="F67" s="21">
        <v>1700</v>
      </c>
      <c r="G67" s="34">
        <v>2433.13</v>
      </c>
      <c r="H67" s="34">
        <v>1700</v>
      </c>
      <c r="I67" s="34">
        <v>5442.38</v>
      </c>
      <c r="J67" s="34">
        <v>2575</v>
      </c>
      <c r="K67" s="56"/>
      <c r="L67" s="34">
        <v>7500</v>
      </c>
      <c r="M67" s="34">
        <v>7500</v>
      </c>
      <c r="N67" s="34">
        <v>7500</v>
      </c>
      <c r="O67" s="34">
        <f>2700-125</f>
        <v>2575</v>
      </c>
      <c r="P67" s="21">
        <f>+N67-J67</f>
        <v>4925</v>
      </c>
      <c r="Q67" s="21">
        <f>+N67-O67</f>
        <v>4925</v>
      </c>
    </row>
    <row r="68" spans="1:17" x14ac:dyDescent="0.3">
      <c r="A68" s="31" t="s">
        <v>110</v>
      </c>
      <c r="B68" s="32" t="s">
        <v>111</v>
      </c>
      <c r="C68" s="33" t="s">
        <v>112</v>
      </c>
      <c r="D68" s="34">
        <v>500</v>
      </c>
      <c r="E68" s="21">
        <v>2079</v>
      </c>
      <c r="F68" s="21">
        <v>500</v>
      </c>
      <c r="G68" s="34">
        <v>1300</v>
      </c>
      <c r="H68" s="34">
        <v>500</v>
      </c>
      <c r="I68" s="34">
        <v>5325</v>
      </c>
      <c r="J68" s="34">
        <v>2500</v>
      </c>
      <c r="K68" s="56"/>
      <c r="L68" s="34">
        <v>2200</v>
      </c>
      <c r="M68" s="34">
        <v>2200</v>
      </c>
      <c r="N68" s="34">
        <v>2200</v>
      </c>
      <c r="O68" s="34">
        <f>500+2000</f>
        <v>2500</v>
      </c>
      <c r="P68" s="21">
        <f>+N68-J68</f>
        <v>-300</v>
      </c>
      <c r="Q68" s="21">
        <f>+N68-O68</f>
        <v>-300</v>
      </c>
    </row>
    <row r="69" spans="1:17" x14ac:dyDescent="0.3">
      <c r="A69" s="177" t="s">
        <v>76</v>
      </c>
      <c r="B69" s="177"/>
      <c r="C69" s="177"/>
      <c r="D69" s="57">
        <f t="shared" ref="D69:I69" si="34">SUM(D67:D68)</f>
        <v>10700</v>
      </c>
      <c r="E69" s="24">
        <f t="shared" si="34"/>
        <v>5883.9400000000005</v>
      </c>
      <c r="F69" s="57">
        <f t="shared" si="34"/>
        <v>2200</v>
      </c>
      <c r="G69" s="24">
        <f t="shared" si="34"/>
        <v>3733.13</v>
      </c>
      <c r="H69" s="24">
        <f t="shared" si="34"/>
        <v>2200</v>
      </c>
      <c r="I69" s="57">
        <f t="shared" si="34"/>
        <v>10767.380000000001</v>
      </c>
      <c r="J69" s="57">
        <f>SUM(J67:J68)</f>
        <v>5075</v>
      </c>
      <c r="K69" s="58"/>
      <c r="L69" s="57">
        <f t="shared" ref="L69:Q69" si="35">SUM(L67:L68)</f>
        <v>9700</v>
      </c>
      <c r="M69" s="57">
        <f t="shared" si="35"/>
        <v>9700</v>
      </c>
      <c r="N69" s="57">
        <f t="shared" si="35"/>
        <v>9700</v>
      </c>
      <c r="O69" s="57">
        <f t="shared" si="35"/>
        <v>5075</v>
      </c>
      <c r="P69" s="57">
        <f t="shared" si="35"/>
        <v>4625</v>
      </c>
      <c r="Q69" s="57">
        <f t="shared" si="35"/>
        <v>4625</v>
      </c>
    </row>
    <row r="70" spans="1:17" x14ac:dyDescent="0.3">
      <c r="A70" s="175" t="s">
        <v>30</v>
      </c>
      <c r="B70" s="175"/>
      <c r="C70" s="175"/>
      <c r="D70" s="59"/>
      <c r="E70" s="27"/>
      <c r="F70" s="59"/>
      <c r="G70" s="27"/>
      <c r="H70" s="27"/>
      <c r="I70" s="59"/>
      <c r="J70" s="59"/>
      <c r="K70" s="60"/>
      <c r="L70" s="59"/>
      <c r="M70" s="59"/>
      <c r="N70" s="59"/>
      <c r="O70" s="59"/>
      <c r="P70" s="59"/>
      <c r="Q70" s="59"/>
    </row>
    <row r="71" spans="1:17" x14ac:dyDescent="0.3">
      <c r="A71" s="31" t="s">
        <v>110</v>
      </c>
      <c r="B71" s="32" t="s">
        <v>31</v>
      </c>
      <c r="C71" s="33" t="s">
        <v>113</v>
      </c>
      <c r="D71" s="34">
        <v>0</v>
      </c>
      <c r="E71" s="21">
        <v>0</v>
      </c>
      <c r="F71" s="21">
        <v>0</v>
      </c>
      <c r="G71" s="34">
        <v>0</v>
      </c>
      <c r="H71" s="34">
        <v>0</v>
      </c>
      <c r="I71" s="34">
        <v>0</v>
      </c>
      <c r="J71" s="34">
        <v>1000</v>
      </c>
      <c r="K71" s="56"/>
      <c r="L71" s="34">
        <v>5110</v>
      </c>
      <c r="M71" s="34">
        <v>5110</v>
      </c>
      <c r="N71" s="34">
        <v>5110</v>
      </c>
      <c r="O71" s="34">
        <f>2000-1000</f>
        <v>1000</v>
      </c>
      <c r="P71" s="21">
        <f>+N71-J71</f>
        <v>4110</v>
      </c>
      <c r="Q71" s="21">
        <f>+N71-O71</f>
        <v>4110</v>
      </c>
    </row>
    <row r="72" spans="1:17" x14ac:dyDescent="0.3">
      <c r="A72" s="31" t="s">
        <v>110</v>
      </c>
      <c r="B72" s="32" t="s">
        <v>51</v>
      </c>
      <c r="C72" s="33" t="s">
        <v>48</v>
      </c>
      <c r="D72" s="34">
        <v>1100</v>
      </c>
      <c r="E72" s="21">
        <v>1052.3699999999999</v>
      </c>
      <c r="F72" s="21">
        <v>1100</v>
      </c>
      <c r="G72" s="34">
        <v>78.099999999999994</v>
      </c>
      <c r="H72" s="34">
        <v>1100</v>
      </c>
      <c r="I72" s="34">
        <v>10219</v>
      </c>
      <c r="J72" s="34">
        <v>1025</v>
      </c>
      <c r="K72" s="56"/>
      <c r="L72" s="34">
        <f>1100-75</f>
        <v>1025</v>
      </c>
      <c r="M72" s="34">
        <f>1100-75</f>
        <v>1025</v>
      </c>
      <c r="N72" s="34">
        <f>1100-75</f>
        <v>1025</v>
      </c>
      <c r="O72" s="34">
        <f>1100-75</f>
        <v>1025</v>
      </c>
      <c r="P72" s="21">
        <f>+N72-J72</f>
        <v>0</v>
      </c>
      <c r="Q72" s="21">
        <f>+N72-O72</f>
        <v>0</v>
      </c>
    </row>
    <row r="73" spans="1:17" x14ac:dyDescent="0.3">
      <c r="A73" s="31" t="s">
        <v>110</v>
      </c>
      <c r="B73" s="32" t="s">
        <v>52</v>
      </c>
      <c r="C73" s="33" t="s">
        <v>49</v>
      </c>
      <c r="D73" s="34">
        <v>300</v>
      </c>
      <c r="E73" s="21">
        <v>352.98</v>
      </c>
      <c r="F73" s="21">
        <v>300</v>
      </c>
      <c r="G73" s="34">
        <v>486.49</v>
      </c>
      <c r="H73" s="34">
        <v>300</v>
      </c>
      <c r="I73" s="34">
        <v>926.91</v>
      </c>
      <c r="J73" s="34">
        <v>500</v>
      </c>
      <c r="K73" s="56"/>
      <c r="L73" s="34">
        <v>4320</v>
      </c>
      <c r="M73" s="34">
        <v>4320</v>
      </c>
      <c r="N73" s="34">
        <v>4320</v>
      </c>
      <c r="O73" s="34">
        <v>500</v>
      </c>
      <c r="P73" s="21">
        <f>+N73-J73</f>
        <v>3820</v>
      </c>
      <c r="Q73" s="21">
        <f>+N73-O73</f>
        <v>3820</v>
      </c>
    </row>
    <row r="74" spans="1:17" x14ac:dyDescent="0.3">
      <c r="A74" s="177" t="s">
        <v>77</v>
      </c>
      <c r="B74" s="177"/>
      <c r="C74" s="177"/>
      <c r="D74" s="57">
        <f t="shared" ref="D74:J74" si="36">SUM(D71:D73)</f>
        <v>1400</v>
      </c>
      <c r="E74" s="57">
        <f t="shared" si="36"/>
        <v>1405.35</v>
      </c>
      <c r="F74" s="57">
        <f t="shared" si="36"/>
        <v>1400</v>
      </c>
      <c r="G74" s="57">
        <f t="shared" si="36"/>
        <v>564.59</v>
      </c>
      <c r="H74" s="57">
        <f t="shared" si="36"/>
        <v>1400</v>
      </c>
      <c r="I74" s="57">
        <f t="shared" si="36"/>
        <v>11145.91</v>
      </c>
      <c r="J74" s="57">
        <f t="shared" si="36"/>
        <v>2525</v>
      </c>
      <c r="K74" s="58"/>
      <c r="L74" s="57">
        <f t="shared" ref="L74:Q74" si="37">SUM(L71:L73)</f>
        <v>10455</v>
      </c>
      <c r="M74" s="57">
        <f t="shared" si="37"/>
        <v>10455</v>
      </c>
      <c r="N74" s="57">
        <f t="shared" si="37"/>
        <v>10455</v>
      </c>
      <c r="O74" s="57">
        <f t="shared" si="37"/>
        <v>2525</v>
      </c>
      <c r="P74" s="57">
        <f t="shared" si="37"/>
        <v>7930</v>
      </c>
      <c r="Q74" s="57">
        <f t="shared" si="37"/>
        <v>7930</v>
      </c>
    </row>
    <row r="75" spans="1:17" x14ac:dyDescent="0.3">
      <c r="A75" s="175" t="s">
        <v>54</v>
      </c>
      <c r="B75" s="175"/>
      <c r="C75" s="175"/>
      <c r="D75" s="59"/>
      <c r="E75" s="27"/>
      <c r="F75" s="59"/>
      <c r="G75" s="27"/>
      <c r="H75" s="27"/>
      <c r="I75" s="59"/>
      <c r="J75" s="59"/>
      <c r="K75" s="60"/>
      <c r="L75" s="59"/>
      <c r="M75" s="59"/>
      <c r="N75" s="59"/>
      <c r="O75" s="59"/>
      <c r="P75" s="59"/>
      <c r="Q75" s="59"/>
    </row>
    <row r="76" spans="1:17" x14ac:dyDescent="0.3">
      <c r="A76" s="31" t="s">
        <v>110</v>
      </c>
      <c r="B76" s="32" t="s">
        <v>114</v>
      </c>
      <c r="C76" s="33" t="s">
        <v>115</v>
      </c>
      <c r="D76" s="34">
        <v>1000</v>
      </c>
      <c r="E76" s="21">
        <v>12069.4</v>
      </c>
      <c r="F76" s="21">
        <v>27000</v>
      </c>
      <c r="G76" s="34">
        <v>12420.59</v>
      </c>
      <c r="H76" s="34">
        <v>27000</v>
      </c>
      <c r="I76" s="34">
        <v>27000</v>
      </c>
      <c r="J76" s="34">
        <v>13500</v>
      </c>
      <c r="K76" s="56"/>
      <c r="L76" s="34">
        <v>49000</v>
      </c>
      <c r="M76" s="34">
        <v>45000</v>
      </c>
      <c r="N76" s="34">
        <v>45000</v>
      </c>
      <c r="O76" s="34">
        <f>15000-1500</f>
        <v>13500</v>
      </c>
      <c r="P76" s="21">
        <f>+N76-J76</f>
        <v>31500</v>
      </c>
      <c r="Q76" s="21">
        <f>+N76-O76</f>
        <v>31500</v>
      </c>
    </row>
    <row r="77" spans="1:17" x14ac:dyDescent="0.3">
      <c r="A77" s="177" t="s">
        <v>86</v>
      </c>
      <c r="B77" s="177"/>
      <c r="C77" s="177"/>
      <c r="D77" s="57">
        <f t="shared" ref="D77:F77" si="38">SUM(D76:D76)</f>
        <v>1000</v>
      </c>
      <c r="E77" s="24">
        <f t="shared" si="38"/>
        <v>12069.4</v>
      </c>
      <c r="F77" s="57">
        <f t="shared" si="38"/>
        <v>27000</v>
      </c>
      <c r="G77" s="24">
        <f>SUM(G76:G76)</f>
        <v>12420.59</v>
      </c>
      <c r="H77" s="24">
        <f>SUM(H76:H76)</f>
        <v>27000</v>
      </c>
      <c r="I77" s="57">
        <f t="shared" ref="I77:J77" si="39">SUM(I76:I76)</f>
        <v>27000</v>
      </c>
      <c r="J77" s="57">
        <f t="shared" si="39"/>
        <v>13500</v>
      </c>
      <c r="K77" s="58"/>
      <c r="L77" s="57">
        <f t="shared" ref="L77:P77" si="40">SUM(L76:L76)</f>
        <v>49000</v>
      </c>
      <c r="M77" s="57">
        <f t="shared" si="40"/>
        <v>45000</v>
      </c>
      <c r="N77" s="57">
        <f t="shared" si="40"/>
        <v>45000</v>
      </c>
      <c r="O77" s="57">
        <f t="shared" si="40"/>
        <v>13500</v>
      </c>
      <c r="P77" s="57">
        <f t="shared" si="40"/>
        <v>31500</v>
      </c>
      <c r="Q77" s="57">
        <f>SUM(Q76:Q76)</f>
        <v>31500</v>
      </c>
    </row>
    <row r="78" spans="1:17" x14ac:dyDescent="0.3">
      <c r="A78" s="178" t="s">
        <v>116</v>
      </c>
      <c r="B78" s="178"/>
      <c r="C78" s="178"/>
      <c r="D78" s="61">
        <f t="shared" ref="D78:F78" si="41">D61+D65+D69+D74+D77</f>
        <v>37990</v>
      </c>
      <c r="E78" s="40">
        <f t="shared" si="41"/>
        <v>48390.48</v>
      </c>
      <c r="F78" s="61">
        <f t="shared" si="41"/>
        <v>60420</v>
      </c>
      <c r="G78" s="40">
        <f>G61+G65+G69+G74+G77</f>
        <v>35609.570000000007</v>
      </c>
      <c r="H78" s="40">
        <f>H61+H65+H69+H74+H77</f>
        <v>67236</v>
      </c>
      <c r="I78" s="61">
        <f t="shared" ref="I78" si="42">I61+I65+I69+I74+I77</f>
        <v>84624.760000000009</v>
      </c>
      <c r="J78" s="61">
        <f>J61+J65+J69+J74+J77</f>
        <v>46686</v>
      </c>
      <c r="K78" s="58"/>
      <c r="L78" s="61">
        <f t="shared" ref="L78:P78" si="43">L61+L65+L69+L74+L77</f>
        <v>111575</v>
      </c>
      <c r="M78" s="61">
        <f t="shared" si="43"/>
        <v>107575</v>
      </c>
      <c r="N78" s="61">
        <f t="shared" si="43"/>
        <v>107575</v>
      </c>
      <c r="O78" s="61">
        <f t="shared" si="43"/>
        <v>63520</v>
      </c>
      <c r="P78" s="61">
        <f t="shared" si="43"/>
        <v>60889</v>
      </c>
      <c r="Q78" s="61">
        <f>Q61+Q65+Q69+Q74+Q77</f>
        <v>44055</v>
      </c>
    </row>
    <row r="79" spans="1:17" x14ac:dyDescent="0.3">
      <c r="A79" s="178" t="s">
        <v>117</v>
      </c>
      <c r="B79" s="178"/>
      <c r="C79" s="178"/>
      <c r="D79" s="61">
        <f t="shared" ref="D79:J79" si="44">D40+D78</f>
        <v>517112</v>
      </c>
      <c r="E79" s="40">
        <f t="shared" si="44"/>
        <v>527361.85000000009</v>
      </c>
      <c r="F79" s="61">
        <f t="shared" si="44"/>
        <v>555480</v>
      </c>
      <c r="G79" s="40">
        <f t="shared" si="44"/>
        <v>560960.85000000009</v>
      </c>
      <c r="H79" s="40">
        <f t="shared" si="44"/>
        <v>606894</v>
      </c>
      <c r="I79" s="61">
        <f t="shared" si="44"/>
        <v>624491.72</v>
      </c>
      <c r="J79" s="61">
        <f t="shared" si="44"/>
        <v>610459</v>
      </c>
      <c r="K79" s="58"/>
      <c r="L79" s="61">
        <f t="shared" ref="L79:Q79" si="45">L40+L78+L55</f>
        <v>784854</v>
      </c>
      <c r="M79" s="61">
        <f t="shared" si="45"/>
        <v>771654</v>
      </c>
      <c r="N79" s="61">
        <f t="shared" si="45"/>
        <v>771654</v>
      </c>
      <c r="O79" s="61">
        <f t="shared" si="45"/>
        <v>654886</v>
      </c>
      <c r="P79" s="61">
        <f t="shared" si="45"/>
        <v>161195</v>
      </c>
      <c r="Q79" s="61">
        <f t="shared" si="45"/>
        <v>116768</v>
      </c>
    </row>
    <row r="80" spans="1:17" x14ac:dyDescent="0.3">
      <c r="A80" s="185" t="s">
        <v>80</v>
      </c>
      <c r="B80" s="185"/>
      <c r="C80" s="185"/>
      <c r="D80" s="63">
        <f t="shared" ref="D80:F80" si="46">D79</f>
        <v>517112</v>
      </c>
      <c r="E80" s="41">
        <f t="shared" si="46"/>
        <v>527361.85000000009</v>
      </c>
      <c r="F80" s="63">
        <f t="shared" si="46"/>
        <v>555480</v>
      </c>
      <c r="G80" s="41">
        <f>G79</f>
        <v>560960.85000000009</v>
      </c>
      <c r="H80" s="41">
        <f>H79</f>
        <v>606894</v>
      </c>
      <c r="I80" s="63">
        <f t="shared" ref="I80:J80" si="47">I79</f>
        <v>624491.72</v>
      </c>
      <c r="J80" s="63">
        <f t="shared" si="47"/>
        <v>610459</v>
      </c>
      <c r="K80" s="58"/>
      <c r="L80" s="63">
        <f t="shared" ref="L80:P80" si="48">L79</f>
        <v>784854</v>
      </c>
      <c r="M80" s="63">
        <f t="shared" si="48"/>
        <v>771654</v>
      </c>
      <c r="N80" s="63">
        <f t="shared" si="48"/>
        <v>771654</v>
      </c>
      <c r="O80" s="63">
        <f t="shared" si="48"/>
        <v>654886</v>
      </c>
      <c r="P80" s="63">
        <f t="shared" si="48"/>
        <v>161195</v>
      </c>
      <c r="Q80" s="63">
        <f>Q79</f>
        <v>116768</v>
      </c>
    </row>
    <row r="81" spans="12:14" x14ac:dyDescent="0.3">
      <c r="L81" s="97"/>
      <c r="M81" s="97"/>
      <c r="N81" s="97"/>
    </row>
    <row r="82" spans="12:14" x14ac:dyDescent="0.3">
      <c r="L82" s="97"/>
      <c r="N82" s="97">
        <f>+L80-M80</f>
        <v>13200</v>
      </c>
    </row>
  </sheetData>
  <mergeCells count="39">
    <mergeCell ref="A78:C78"/>
    <mergeCell ref="A79:C79"/>
    <mergeCell ref="A80:C80"/>
    <mergeCell ref="A66:C66"/>
    <mergeCell ref="A69:C69"/>
    <mergeCell ref="A70:C70"/>
    <mergeCell ref="A74:C74"/>
    <mergeCell ref="A75:C75"/>
    <mergeCell ref="A77:C77"/>
    <mergeCell ref="A65:C65"/>
    <mergeCell ref="A41:C41"/>
    <mergeCell ref="A42:C42"/>
    <mergeCell ref="A43:C43"/>
    <mergeCell ref="A45:C45"/>
    <mergeCell ref="A46:C46"/>
    <mergeCell ref="A54:C54"/>
    <mergeCell ref="A55:C55"/>
    <mergeCell ref="A56:C56"/>
    <mergeCell ref="A57:C57"/>
    <mergeCell ref="A61:C61"/>
    <mergeCell ref="A62:C62"/>
    <mergeCell ref="A40:C40"/>
    <mergeCell ref="A14:C14"/>
    <mergeCell ref="A15:C15"/>
    <mergeCell ref="A21:C21"/>
    <mergeCell ref="A22:C22"/>
    <mergeCell ref="A25:C25"/>
    <mergeCell ref="A26:C26"/>
    <mergeCell ref="A31:C31"/>
    <mergeCell ref="A32:C32"/>
    <mergeCell ref="A36:C36"/>
    <mergeCell ref="A37:C37"/>
    <mergeCell ref="A39:C39"/>
    <mergeCell ref="A9:C9"/>
    <mergeCell ref="A1:Q1"/>
    <mergeCell ref="A5:C5"/>
    <mergeCell ref="A6:C6"/>
    <mergeCell ref="A7:C7"/>
    <mergeCell ref="A8:C8"/>
  </mergeCells>
  <printOptions horizontalCentered="1" verticalCentered="1"/>
  <pageMargins left="0.7" right="0.7" top="0.75" bottom="0.75" header="0.3" footer="0.3"/>
  <pageSetup scale="57" fitToHeight="0" orientation="landscape" r:id="rId1"/>
  <headerFooter>
    <oddFooter>&amp;RBudget Kick Off - 11.01.25</oddFooter>
  </headerFooter>
  <rowBreaks count="2" manualBreakCount="2">
    <brk id="40" max="18" man="1"/>
    <brk id="55" max="16383"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34B39-C8CE-4DBB-B17D-EB5E7AC895D2}">
  <sheetPr codeName="Sheet9">
    <tabColor rgb="FF92D050"/>
    <pageSetUpPr fitToPage="1"/>
  </sheetPr>
  <dimension ref="A1:Q59"/>
  <sheetViews>
    <sheetView zoomScaleNormal="100" workbookViewId="0">
      <selection activeCell="C35" sqref="C35"/>
    </sheetView>
  </sheetViews>
  <sheetFormatPr defaultColWidth="9.109375" defaultRowHeight="14.4" x14ac:dyDescent="0.3"/>
  <cols>
    <col min="1" max="1" width="9.5546875" style="3" bestFit="1" customWidth="1"/>
    <col min="2" max="2" width="14.33203125" style="3" bestFit="1" customWidth="1"/>
    <col min="3" max="3" width="22.44140625" style="3" bestFit="1" customWidth="1"/>
    <col min="4" max="4" width="11" style="3" customWidth="1"/>
    <col min="5" max="5" width="11.44140625" style="3" customWidth="1"/>
    <col min="6" max="6" width="11" style="3" customWidth="1"/>
    <col min="7" max="7" width="11.44140625" style="3" customWidth="1"/>
    <col min="8" max="8" width="11" style="3" customWidth="1"/>
    <col min="9" max="9" width="11.44140625" style="3" customWidth="1"/>
    <col min="10" max="10" width="12.44140625" style="3" bestFit="1" customWidth="1"/>
    <col min="11" max="11" width="1" style="3" customWidth="1"/>
    <col min="12" max="12" width="12.44140625" style="3" bestFit="1" customWidth="1"/>
    <col min="13" max="13" width="12.5546875" style="3" customWidth="1"/>
    <col min="14" max="14" width="16.88671875" style="3" bestFit="1" customWidth="1"/>
    <col min="15" max="15" width="12.44140625" style="3" bestFit="1" customWidth="1"/>
    <col min="16" max="17" width="11.33203125" bestFit="1" customWidth="1"/>
    <col min="18" max="16384" width="9.109375" style="3"/>
  </cols>
  <sheetData>
    <row r="1" spans="1:17" ht="75" customHeight="1" x14ac:dyDescent="0.25">
      <c r="A1" s="170" t="s">
        <v>118</v>
      </c>
      <c r="B1" s="170"/>
      <c r="C1" s="170"/>
      <c r="D1" s="170"/>
      <c r="E1" s="170"/>
      <c r="F1" s="170"/>
      <c r="G1" s="170"/>
      <c r="H1" s="170"/>
      <c r="I1" s="170"/>
      <c r="J1" s="170"/>
      <c r="K1" s="170"/>
      <c r="L1" s="170"/>
      <c r="M1" s="170"/>
      <c r="N1" s="170"/>
      <c r="O1" s="170"/>
      <c r="P1" s="170"/>
      <c r="Q1" s="170"/>
    </row>
    <row r="2" spans="1:17" ht="6" customHeight="1" x14ac:dyDescent="0.3">
      <c r="A2" s="4"/>
      <c r="B2" s="4"/>
      <c r="C2" s="4"/>
      <c r="D2" s="4"/>
      <c r="E2" s="4"/>
      <c r="F2" s="4"/>
      <c r="G2" s="4"/>
    </row>
    <row r="3" spans="1:17" s="66" customFormat="1" ht="52.8" x14ac:dyDescent="0.25">
      <c r="A3" s="65"/>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3">
      <c r="K4" s="11"/>
    </row>
    <row r="5" spans="1:17" x14ac:dyDescent="0.3">
      <c r="A5" s="171" t="s">
        <v>69</v>
      </c>
      <c r="B5" s="171"/>
      <c r="C5" s="171"/>
      <c r="D5" s="12"/>
      <c r="E5" s="12"/>
      <c r="F5" s="12"/>
      <c r="G5" s="12"/>
      <c r="K5" s="11"/>
    </row>
    <row r="6" spans="1:17" x14ac:dyDescent="0.3">
      <c r="A6" s="172" t="s">
        <v>70</v>
      </c>
      <c r="B6" s="172"/>
      <c r="C6" s="172"/>
      <c r="D6" s="14"/>
      <c r="E6" s="14"/>
      <c r="F6" s="14"/>
      <c r="G6" s="14"/>
      <c r="K6" s="11"/>
    </row>
    <row r="7" spans="1:17" x14ac:dyDescent="0.3">
      <c r="A7" s="173" t="s">
        <v>119</v>
      </c>
      <c r="B7" s="173"/>
      <c r="C7" s="173"/>
      <c r="D7" s="15"/>
      <c r="E7" s="15"/>
      <c r="F7" s="15"/>
      <c r="G7" s="15"/>
      <c r="K7" s="11"/>
    </row>
    <row r="8" spans="1:17" x14ac:dyDescent="0.3">
      <c r="A8" s="174" t="s">
        <v>72</v>
      </c>
      <c r="B8" s="174"/>
      <c r="C8" s="174"/>
      <c r="D8" s="16"/>
      <c r="E8" s="16"/>
      <c r="F8" s="16"/>
      <c r="G8" s="16"/>
      <c r="K8" s="11"/>
    </row>
    <row r="9" spans="1:17" x14ac:dyDescent="0.3">
      <c r="A9" s="175" t="s">
        <v>11</v>
      </c>
      <c r="B9" s="175"/>
      <c r="C9" s="175"/>
      <c r="D9" s="17"/>
      <c r="E9" s="17"/>
      <c r="F9" s="17"/>
      <c r="G9" s="17"/>
      <c r="K9" s="11"/>
    </row>
    <row r="10" spans="1:17" ht="13.8" x14ac:dyDescent="0.25">
      <c r="A10" s="18" t="s">
        <v>120</v>
      </c>
      <c r="B10" s="19" t="s">
        <v>35</v>
      </c>
      <c r="C10" s="20" t="s">
        <v>36</v>
      </c>
      <c r="D10" s="21">
        <v>381898</v>
      </c>
      <c r="E10" s="21">
        <v>365530.59</v>
      </c>
      <c r="F10" s="21">
        <v>380197</v>
      </c>
      <c r="G10" s="21">
        <v>384882.09</v>
      </c>
      <c r="H10" s="21">
        <v>442334</v>
      </c>
      <c r="I10" s="21">
        <v>435245.29</v>
      </c>
      <c r="J10" s="21">
        <v>473544</v>
      </c>
      <c r="K10" s="23"/>
      <c r="L10" s="21">
        <v>441044</v>
      </c>
      <c r="M10" s="21">
        <v>441044</v>
      </c>
      <c r="N10" s="21">
        <v>441044</v>
      </c>
      <c r="O10" s="21">
        <v>441044</v>
      </c>
      <c r="P10" s="21">
        <f>+L10-J10</f>
        <v>-32500</v>
      </c>
      <c r="Q10" s="21">
        <f>+N10-O10</f>
        <v>0</v>
      </c>
    </row>
    <row r="11" spans="1:17" ht="13.8" x14ac:dyDescent="0.25">
      <c r="A11" s="18" t="s">
        <v>120</v>
      </c>
      <c r="B11" s="19" t="s">
        <v>37</v>
      </c>
      <c r="C11" s="20" t="s">
        <v>38</v>
      </c>
      <c r="D11" s="21">
        <v>0</v>
      </c>
      <c r="E11" s="21">
        <v>0</v>
      </c>
      <c r="F11" s="21">
        <v>0</v>
      </c>
      <c r="G11" s="21">
        <v>2400</v>
      </c>
      <c r="H11" s="21">
        <v>0</v>
      </c>
      <c r="I11" s="21">
        <v>0</v>
      </c>
      <c r="J11" s="21">
        <v>0</v>
      </c>
      <c r="K11" s="23"/>
      <c r="L11" s="21">
        <v>0</v>
      </c>
      <c r="M11" s="21">
        <v>0</v>
      </c>
      <c r="N11" s="21">
        <v>0</v>
      </c>
      <c r="O11" s="21">
        <v>0</v>
      </c>
      <c r="P11" s="21">
        <f>+L11-J11</f>
        <v>0</v>
      </c>
      <c r="Q11" s="21">
        <f>+N11-O11</f>
        <v>0</v>
      </c>
    </row>
    <row r="12" spans="1:17" ht="13.8" x14ac:dyDescent="0.25">
      <c r="A12" s="18" t="s">
        <v>120</v>
      </c>
      <c r="B12" s="19" t="s">
        <v>12</v>
      </c>
      <c r="C12" s="20" t="s">
        <v>13</v>
      </c>
      <c r="D12" s="21">
        <v>2500</v>
      </c>
      <c r="E12" s="21">
        <v>2500</v>
      </c>
      <c r="F12" s="21">
        <v>2500</v>
      </c>
      <c r="G12" s="21">
        <v>2500</v>
      </c>
      <c r="H12" s="21">
        <v>2500</v>
      </c>
      <c r="I12" s="21">
        <v>2500</v>
      </c>
      <c r="J12" s="21">
        <v>2500</v>
      </c>
      <c r="K12" s="23"/>
      <c r="L12" s="21">
        <v>2500</v>
      </c>
      <c r="M12" s="21">
        <v>2500</v>
      </c>
      <c r="N12" s="21">
        <v>2500</v>
      </c>
      <c r="O12" s="21">
        <v>2500</v>
      </c>
      <c r="P12" s="21">
        <f>+L12-J12</f>
        <v>0</v>
      </c>
      <c r="Q12" s="21">
        <f>+N12-O12</f>
        <v>0</v>
      </c>
    </row>
    <row r="13" spans="1:17" ht="13.8" x14ac:dyDescent="0.25">
      <c r="A13" s="18" t="s">
        <v>120</v>
      </c>
      <c r="B13" s="19" t="s">
        <v>39</v>
      </c>
      <c r="C13" s="20" t="s">
        <v>40</v>
      </c>
      <c r="D13" s="21">
        <v>1000</v>
      </c>
      <c r="E13" s="21">
        <v>4869.01</v>
      </c>
      <c r="F13" s="21">
        <v>1000</v>
      </c>
      <c r="G13" s="21">
        <v>2643.93</v>
      </c>
      <c r="H13" s="21">
        <v>1000</v>
      </c>
      <c r="I13" s="21">
        <v>1980.98</v>
      </c>
      <c r="J13" s="21">
        <v>1750</v>
      </c>
      <c r="K13" s="23"/>
      <c r="L13" s="21">
        <v>1750</v>
      </c>
      <c r="M13" s="21">
        <v>1750</v>
      </c>
      <c r="N13" s="21">
        <v>1750</v>
      </c>
      <c r="O13" s="21">
        <v>1750</v>
      </c>
      <c r="P13" s="21">
        <f>+L13-J13</f>
        <v>0</v>
      </c>
      <c r="Q13" s="21">
        <f>+N13-O13</f>
        <v>0</v>
      </c>
    </row>
    <row r="14" spans="1:17" ht="13.8" x14ac:dyDescent="0.25">
      <c r="A14" s="177" t="s">
        <v>74</v>
      </c>
      <c r="B14" s="177"/>
      <c r="C14" s="177"/>
      <c r="D14" s="24">
        <f t="shared" ref="D14:J14" si="0">SUM(D10:D13)</f>
        <v>385398</v>
      </c>
      <c r="E14" s="24">
        <f t="shared" si="0"/>
        <v>372899.60000000003</v>
      </c>
      <c r="F14" s="24">
        <f t="shared" si="0"/>
        <v>383697</v>
      </c>
      <c r="G14" s="24">
        <f t="shared" si="0"/>
        <v>392426.02</v>
      </c>
      <c r="H14" s="24">
        <f t="shared" si="0"/>
        <v>445834</v>
      </c>
      <c r="I14" s="24">
        <f t="shared" si="0"/>
        <v>439726.26999999996</v>
      </c>
      <c r="J14" s="24">
        <f t="shared" si="0"/>
        <v>477794</v>
      </c>
      <c r="K14" s="26"/>
      <c r="L14" s="24">
        <f t="shared" ref="L14:Q14" si="1">SUM(L10:L13)</f>
        <v>445294</v>
      </c>
      <c r="M14" s="24">
        <f t="shared" si="1"/>
        <v>445294</v>
      </c>
      <c r="N14" s="24">
        <f t="shared" si="1"/>
        <v>445294</v>
      </c>
      <c r="O14" s="24">
        <f t="shared" si="1"/>
        <v>445294</v>
      </c>
      <c r="P14" s="24">
        <f t="shared" si="1"/>
        <v>-32500</v>
      </c>
      <c r="Q14" s="24">
        <f t="shared" si="1"/>
        <v>0</v>
      </c>
    </row>
    <row r="15" spans="1:17" ht="13.8" x14ac:dyDescent="0.25">
      <c r="A15" s="175" t="s">
        <v>14</v>
      </c>
      <c r="B15" s="175"/>
      <c r="C15" s="175"/>
      <c r="D15" s="27"/>
      <c r="E15" s="30"/>
      <c r="F15" s="27"/>
      <c r="G15" s="27"/>
      <c r="H15" s="27"/>
      <c r="I15" s="27"/>
      <c r="J15" s="27"/>
      <c r="K15" s="29"/>
      <c r="L15" s="27"/>
      <c r="M15" s="27"/>
      <c r="N15" s="27"/>
      <c r="O15" s="27"/>
      <c r="P15" s="30"/>
      <c r="Q15" s="30"/>
    </row>
    <row r="16" spans="1:17" ht="13.8" x14ac:dyDescent="0.25">
      <c r="A16" s="18" t="s">
        <v>120</v>
      </c>
      <c r="B16" s="19" t="s">
        <v>41</v>
      </c>
      <c r="C16" s="20" t="s">
        <v>42</v>
      </c>
      <c r="D16" s="21">
        <v>4268</v>
      </c>
      <c r="E16" s="21">
        <v>3158.2</v>
      </c>
      <c r="F16" s="21">
        <v>4291</v>
      </c>
      <c r="G16" s="21">
        <v>5112.7299999999996</v>
      </c>
      <c r="H16" s="21">
        <v>5043</v>
      </c>
      <c r="I16" s="21">
        <v>4319.6899999999996</v>
      </c>
      <c r="J16" s="21">
        <v>3300</v>
      </c>
      <c r="K16" s="23"/>
      <c r="L16" s="21">
        <v>3365</v>
      </c>
      <c r="M16" s="21">
        <v>3365</v>
      </c>
      <c r="N16" s="21">
        <v>3365</v>
      </c>
      <c r="O16" s="21">
        <v>3365</v>
      </c>
      <c r="P16" s="21">
        <f>+L16-J16</f>
        <v>65</v>
      </c>
      <c r="Q16" s="21">
        <f>+N16-O16</f>
        <v>0</v>
      </c>
    </row>
    <row r="17" spans="1:17" ht="13.8" x14ac:dyDescent="0.25">
      <c r="A17" s="18" t="s">
        <v>120</v>
      </c>
      <c r="B17" s="19" t="s">
        <v>15</v>
      </c>
      <c r="C17" s="20" t="s">
        <v>16</v>
      </c>
      <c r="D17" s="21">
        <v>23895</v>
      </c>
      <c r="E17" s="21">
        <v>20476.48</v>
      </c>
      <c r="F17" s="21">
        <v>23790</v>
      </c>
      <c r="G17" s="21">
        <v>24738.13</v>
      </c>
      <c r="H17" s="21">
        <v>27642</v>
      </c>
      <c r="I17" s="21">
        <v>26706.9</v>
      </c>
      <c r="J17" s="21">
        <v>29627</v>
      </c>
      <c r="K17" s="23"/>
      <c r="L17" s="21">
        <v>27609</v>
      </c>
      <c r="M17" s="21">
        <v>27609</v>
      </c>
      <c r="N17" s="21">
        <v>27609</v>
      </c>
      <c r="O17" s="21">
        <v>27609</v>
      </c>
      <c r="P17" s="21">
        <f>+L17-J17</f>
        <v>-2018</v>
      </c>
      <c r="Q17" s="21">
        <f>+N17-O17</f>
        <v>0</v>
      </c>
    </row>
    <row r="18" spans="1:17" ht="13.8" x14ac:dyDescent="0.25">
      <c r="A18" s="18" t="s">
        <v>120</v>
      </c>
      <c r="B18" s="19" t="s">
        <v>17</v>
      </c>
      <c r="C18" s="20" t="s">
        <v>18</v>
      </c>
      <c r="D18" s="21">
        <v>5589</v>
      </c>
      <c r="E18" s="21">
        <v>4788.87</v>
      </c>
      <c r="F18" s="21">
        <v>5695</v>
      </c>
      <c r="G18" s="21">
        <v>5785.51</v>
      </c>
      <c r="H18" s="21">
        <v>6465</v>
      </c>
      <c r="I18" s="21">
        <v>6245.97</v>
      </c>
      <c r="J18" s="21">
        <v>6929</v>
      </c>
      <c r="K18" s="23"/>
      <c r="L18" s="21">
        <v>6457</v>
      </c>
      <c r="M18" s="21">
        <v>6457</v>
      </c>
      <c r="N18" s="21">
        <v>6457</v>
      </c>
      <c r="O18" s="21">
        <v>6457</v>
      </c>
      <c r="P18" s="21">
        <f>+L18-J18</f>
        <v>-472</v>
      </c>
      <c r="Q18" s="21">
        <f>+N18-O18</f>
        <v>0</v>
      </c>
    </row>
    <row r="19" spans="1:17" ht="13.8" x14ac:dyDescent="0.25">
      <c r="A19" s="18" t="s">
        <v>120</v>
      </c>
      <c r="B19" s="19" t="s">
        <v>43</v>
      </c>
      <c r="C19" s="20" t="s">
        <v>44</v>
      </c>
      <c r="D19" s="21">
        <v>53836</v>
      </c>
      <c r="E19" s="21">
        <v>47395.4</v>
      </c>
      <c r="F19" s="21">
        <v>45117</v>
      </c>
      <c r="G19" s="21">
        <v>48116.959999999999</v>
      </c>
      <c r="H19" s="21">
        <v>59984</v>
      </c>
      <c r="I19" s="21">
        <v>58426.34</v>
      </c>
      <c r="J19" s="21">
        <v>60601</v>
      </c>
      <c r="K19" s="23"/>
      <c r="L19" s="21">
        <v>56457</v>
      </c>
      <c r="M19" s="21">
        <v>56457</v>
      </c>
      <c r="N19" s="21">
        <v>56457</v>
      </c>
      <c r="O19" s="21">
        <v>56457</v>
      </c>
      <c r="P19" s="21">
        <f>+L19-J19</f>
        <v>-4144</v>
      </c>
      <c r="Q19" s="21">
        <f>+N19-O19</f>
        <v>0</v>
      </c>
    </row>
    <row r="20" spans="1:17" ht="13.8" x14ac:dyDescent="0.25">
      <c r="A20" s="18" t="s">
        <v>120</v>
      </c>
      <c r="B20" s="19" t="s">
        <v>19</v>
      </c>
      <c r="C20" s="20" t="s">
        <v>20</v>
      </c>
      <c r="D20" s="21">
        <v>563</v>
      </c>
      <c r="E20" s="21">
        <v>537.99</v>
      </c>
      <c r="F20" s="21">
        <v>597</v>
      </c>
      <c r="G20" s="21">
        <v>636.89</v>
      </c>
      <c r="H20" s="21">
        <v>714</v>
      </c>
      <c r="I20" s="21">
        <v>713.71</v>
      </c>
      <c r="J20" s="21">
        <v>843</v>
      </c>
      <c r="K20" s="23"/>
      <c r="L20" s="21">
        <v>665</v>
      </c>
      <c r="M20" s="21">
        <v>665</v>
      </c>
      <c r="N20" s="21">
        <v>665</v>
      </c>
      <c r="O20" s="21">
        <v>665</v>
      </c>
      <c r="P20" s="21">
        <f>+L20-J20</f>
        <v>-178</v>
      </c>
      <c r="Q20" s="21">
        <f>+N20-O20</f>
        <v>0</v>
      </c>
    </row>
    <row r="21" spans="1:17" ht="13.8" x14ac:dyDescent="0.25">
      <c r="A21" s="177" t="s">
        <v>75</v>
      </c>
      <c r="B21" s="177"/>
      <c r="C21" s="177"/>
      <c r="D21" s="24">
        <f t="shared" ref="D21:J21" si="2">SUM(D16:D20)</f>
        <v>88151</v>
      </c>
      <c r="E21" s="24">
        <f t="shared" si="2"/>
        <v>76356.94</v>
      </c>
      <c r="F21" s="24">
        <f t="shared" si="2"/>
        <v>79490</v>
      </c>
      <c r="G21" s="24">
        <f t="shared" si="2"/>
        <v>84390.22</v>
      </c>
      <c r="H21" s="24">
        <f t="shared" si="2"/>
        <v>99848</v>
      </c>
      <c r="I21" s="24">
        <f t="shared" si="2"/>
        <v>96412.61</v>
      </c>
      <c r="J21" s="24">
        <f t="shared" si="2"/>
        <v>101300</v>
      </c>
      <c r="K21" s="26"/>
      <c r="L21" s="24">
        <f t="shared" ref="L21:Q21" si="3">SUM(L16:L20)</f>
        <v>94553</v>
      </c>
      <c r="M21" s="24">
        <f t="shared" si="3"/>
        <v>94553</v>
      </c>
      <c r="N21" s="24">
        <f t="shared" si="3"/>
        <v>94553</v>
      </c>
      <c r="O21" s="24">
        <f t="shared" si="3"/>
        <v>94553</v>
      </c>
      <c r="P21" s="24">
        <f t="shared" si="3"/>
        <v>-6747</v>
      </c>
      <c r="Q21" s="24">
        <f t="shared" si="3"/>
        <v>0</v>
      </c>
    </row>
    <row r="22" spans="1:17" ht="13.8" x14ac:dyDescent="0.25">
      <c r="A22" s="175" t="s">
        <v>21</v>
      </c>
      <c r="B22" s="175"/>
      <c r="C22" s="175"/>
      <c r="D22" s="27"/>
      <c r="E22" s="30"/>
      <c r="F22" s="27"/>
      <c r="G22" s="27"/>
      <c r="H22" s="27"/>
      <c r="I22" s="27"/>
      <c r="J22" s="27"/>
      <c r="K22" s="29"/>
      <c r="L22" s="27"/>
      <c r="M22" s="27"/>
      <c r="N22" s="27"/>
      <c r="O22" s="27"/>
      <c r="P22" s="30"/>
      <c r="Q22" s="30"/>
    </row>
    <row r="23" spans="1:17" ht="13.8" x14ac:dyDescent="0.25">
      <c r="A23" s="18" t="s">
        <v>120</v>
      </c>
      <c r="B23" s="19" t="s">
        <v>121</v>
      </c>
      <c r="C23" s="20" t="s">
        <v>122</v>
      </c>
      <c r="D23" s="21">
        <v>45500</v>
      </c>
      <c r="E23" s="21">
        <v>45500</v>
      </c>
      <c r="F23" s="21">
        <v>50000</v>
      </c>
      <c r="G23" s="21">
        <v>46900</v>
      </c>
      <c r="H23" s="21">
        <v>55000</v>
      </c>
      <c r="I23" s="21">
        <v>53000</v>
      </c>
      <c r="J23" s="21">
        <v>55000</v>
      </c>
      <c r="K23" s="23"/>
      <c r="L23" s="21">
        <v>55000</v>
      </c>
      <c r="M23" s="21">
        <v>55000</v>
      </c>
      <c r="N23" s="21">
        <v>55000</v>
      </c>
      <c r="O23" s="21">
        <v>55000</v>
      </c>
      <c r="P23" s="21">
        <f>+L23-J23</f>
        <v>0</v>
      </c>
      <c r="Q23" s="21">
        <f>+N23-O23</f>
        <v>0</v>
      </c>
    </row>
    <row r="24" spans="1:17" ht="13.8" x14ac:dyDescent="0.25">
      <c r="A24" s="18" t="s">
        <v>120</v>
      </c>
      <c r="B24" s="19" t="s">
        <v>28</v>
      </c>
      <c r="C24" s="20" t="s">
        <v>29</v>
      </c>
      <c r="D24" s="21">
        <v>9000</v>
      </c>
      <c r="E24" s="21">
        <v>3803.05</v>
      </c>
      <c r="F24" s="21">
        <v>8000</v>
      </c>
      <c r="G24" s="21">
        <v>8000.25</v>
      </c>
      <c r="H24" s="21">
        <v>6700</v>
      </c>
      <c r="I24" s="21">
        <v>8726.3700000000008</v>
      </c>
      <c r="J24" s="21">
        <v>6545</v>
      </c>
      <c r="K24" s="23"/>
      <c r="L24" s="21">
        <v>750</v>
      </c>
      <c r="M24" s="21">
        <v>750</v>
      </c>
      <c r="N24" s="21">
        <v>750</v>
      </c>
      <c r="O24" s="21">
        <f>6700-155</f>
        <v>6545</v>
      </c>
      <c r="P24" s="21">
        <f>+L24-J24</f>
        <v>-5795</v>
      </c>
      <c r="Q24" s="21">
        <f>+N24-O24</f>
        <v>-5795</v>
      </c>
    </row>
    <row r="25" spans="1:17" ht="13.8" x14ac:dyDescent="0.25">
      <c r="A25" s="18" t="s">
        <v>120</v>
      </c>
      <c r="B25" s="19" t="s">
        <v>123</v>
      </c>
      <c r="C25" s="20" t="s">
        <v>124</v>
      </c>
      <c r="D25" s="21">
        <v>28000</v>
      </c>
      <c r="E25" s="21">
        <v>26696.53</v>
      </c>
      <c r="F25" s="21">
        <v>29000</v>
      </c>
      <c r="G25" s="21">
        <v>24777.07</v>
      </c>
      <c r="H25" s="21">
        <v>29000</v>
      </c>
      <c r="I25" s="21">
        <v>26321.64</v>
      </c>
      <c r="J25" s="21">
        <v>10000</v>
      </c>
      <c r="K25" s="23"/>
      <c r="L25" s="21">
        <v>7500</v>
      </c>
      <c r="M25" s="21">
        <v>7500</v>
      </c>
      <c r="N25" s="21">
        <v>7500</v>
      </c>
      <c r="O25" s="21">
        <f>29000-9000-10000</f>
        <v>10000</v>
      </c>
      <c r="P25" s="21">
        <f>+L25-J25</f>
        <v>-2500</v>
      </c>
      <c r="Q25" s="21">
        <f>+N25-O25</f>
        <v>-2500</v>
      </c>
    </row>
    <row r="26" spans="1:17" ht="13.8" x14ac:dyDescent="0.25">
      <c r="A26" s="18" t="s">
        <v>120</v>
      </c>
      <c r="B26" s="19" t="s">
        <v>125</v>
      </c>
      <c r="C26" s="20" t="s">
        <v>126</v>
      </c>
      <c r="D26" s="21">
        <v>30000</v>
      </c>
      <c r="E26" s="21">
        <v>43262.5</v>
      </c>
      <c r="F26" s="21">
        <v>30000</v>
      </c>
      <c r="G26" s="21">
        <v>33925.800000000003</v>
      </c>
      <c r="H26" s="21">
        <v>30000</v>
      </c>
      <c r="I26" s="21">
        <v>36650</v>
      </c>
      <c r="J26" s="21">
        <v>30000</v>
      </c>
      <c r="K26" s="23"/>
      <c r="L26" s="21">
        <v>30000</v>
      </c>
      <c r="M26" s="21">
        <v>30000</v>
      </c>
      <c r="N26" s="21">
        <v>30000</v>
      </c>
      <c r="O26" s="21">
        <v>30000</v>
      </c>
      <c r="P26" s="21">
        <f>+L26-J26</f>
        <v>0</v>
      </c>
      <c r="Q26" s="21">
        <f>+N26-O26</f>
        <v>0</v>
      </c>
    </row>
    <row r="27" spans="1:17" ht="13.8" x14ac:dyDescent="0.25">
      <c r="A27" s="176" t="s">
        <v>76</v>
      </c>
      <c r="B27" s="176"/>
      <c r="C27" s="176"/>
      <c r="D27" s="24">
        <f t="shared" ref="D27:J27" si="4">SUM(D23:D26)</f>
        <v>112500</v>
      </c>
      <c r="E27" s="24">
        <f t="shared" si="4"/>
        <v>119262.08</v>
      </c>
      <c r="F27" s="24">
        <f t="shared" si="4"/>
        <v>117000</v>
      </c>
      <c r="G27" s="24">
        <f t="shared" si="4"/>
        <v>113603.12000000001</v>
      </c>
      <c r="H27" s="24">
        <f t="shared" si="4"/>
        <v>120700</v>
      </c>
      <c r="I27" s="24">
        <f t="shared" si="4"/>
        <v>124698.01000000001</v>
      </c>
      <c r="J27" s="24">
        <f t="shared" si="4"/>
        <v>101545</v>
      </c>
      <c r="K27" s="26"/>
      <c r="L27" s="24">
        <f t="shared" ref="L27:Q27" si="5">SUM(L23:L26)</f>
        <v>93250</v>
      </c>
      <c r="M27" s="24">
        <f t="shared" si="5"/>
        <v>93250</v>
      </c>
      <c r="N27" s="24">
        <f t="shared" si="5"/>
        <v>93250</v>
      </c>
      <c r="O27" s="24">
        <f t="shared" si="5"/>
        <v>101545</v>
      </c>
      <c r="P27" s="24">
        <f t="shared" si="5"/>
        <v>-8295</v>
      </c>
      <c r="Q27" s="24">
        <f t="shared" si="5"/>
        <v>-8295</v>
      </c>
    </row>
    <row r="28" spans="1:17" ht="13.8" x14ac:dyDescent="0.25">
      <c r="A28" s="175" t="s">
        <v>45</v>
      </c>
      <c r="B28" s="175"/>
      <c r="C28" s="175"/>
      <c r="D28" s="27"/>
      <c r="E28" s="30"/>
      <c r="F28" s="27"/>
      <c r="G28" s="27"/>
      <c r="H28" s="27"/>
      <c r="I28" s="27"/>
      <c r="J28" s="27"/>
      <c r="K28" s="29"/>
      <c r="L28" s="27"/>
      <c r="M28" s="27"/>
      <c r="N28" s="27"/>
      <c r="O28" s="27"/>
      <c r="P28" s="30"/>
      <c r="Q28" s="30"/>
    </row>
    <row r="29" spans="1:17" ht="13.8" x14ac:dyDescent="0.25">
      <c r="A29" s="18" t="s">
        <v>120</v>
      </c>
      <c r="B29" s="19" t="s">
        <v>46</v>
      </c>
      <c r="C29" s="20" t="s">
        <v>47</v>
      </c>
      <c r="D29" s="21">
        <v>325</v>
      </c>
      <c r="E29" s="21">
        <v>500</v>
      </c>
      <c r="F29" s="21">
        <v>360</v>
      </c>
      <c r="G29" s="21">
        <v>500</v>
      </c>
      <c r="H29" s="21">
        <v>1800</v>
      </c>
      <c r="I29" s="21">
        <v>1287</v>
      </c>
      <c r="J29" s="21">
        <v>1700</v>
      </c>
      <c r="K29" s="23"/>
      <c r="L29" s="21">
        <v>2100</v>
      </c>
      <c r="M29" s="21">
        <v>2100</v>
      </c>
      <c r="N29" s="21">
        <v>2100</v>
      </c>
      <c r="O29" s="21">
        <f>1800-100</f>
        <v>1700</v>
      </c>
      <c r="P29" s="21">
        <f>+L29-J29</f>
        <v>400</v>
      </c>
      <c r="Q29" s="21">
        <f>+N29-O29</f>
        <v>400</v>
      </c>
    </row>
    <row r="30" spans="1:17" ht="13.8" x14ac:dyDescent="0.25">
      <c r="A30" s="18" t="s">
        <v>120</v>
      </c>
      <c r="B30" s="19" t="s">
        <v>24</v>
      </c>
      <c r="C30" s="20" t="s">
        <v>25</v>
      </c>
      <c r="D30" s="21">
        <v>1091.8699999999999</v>
      </c>
      <c r="E30" s="21">
        <v>2800</v>
      </c>
      <c r="F30" s="21">
        <v>1140.8800000000001</v>
      </c>
      <c r="G30" s="21">
        <v>2800</v>
      </c>
      <c r="H30" s="21">
        <v>2800</v>
      </c>
      <c r="I30" s="21">
        <v>1534.3</v>
      </c>
      <c r="J30" s="21">
        <v>2800</v>
      </c>
      <c r="K30" s="23"/>
      <c r="L30" s="21">
        <v>2000</v>
      </c>
      <c r="M30" s="21">
        <v>2000</v>
      </c>
      <c r="N30" s="21">
        <v>2000</v>
      </c>
      <c r="O30" s="21">
        <v>2800</v>
      </c>
      <c r="P30" s="21">
        <f>+L30-J30</f>
        <v>-800</v>
      </c>
      <c r="Q30" s="21">
        <f>+N30-O30</f>
        <v>-800</v>
      </c>
    </row>
    <row r="31" spans="1:17" ht="13.8" x14ac:dyDescent="0.25">
      <c r="A31" s="18" t="s">
        <v>120</v>
      </c>
      <c r="B31" s="19" t="s">
        <v>26</v>
      </c>
      <c r="C31" s="20" t="s">
        <v>27</v>
      </c>
      <c r="D31" s="21">
        <v>0</v>
      </c>
      <c r="E31" s="21">
        <v>500</v>
      </c>
      <c r="F31" s="21">
        <v>172.16</v>
      </c>
      <c r="G31" s="21">
        <v>500</v>
      </c>
      <c r="H31" s="21">
        <v>500</v>
      </c>
      <c r="I31" s="21">
        <v>336.88</v>
      </c>
      <c r="J31" s="21">
        <v>500</v>
      </c>
      <c r="K31" s="23"/>
      <c r="L31" s="21">
        <v>2100</v>
      </c>
      <c r="M31" s="21">
        <v>2100</v>
      </c>
      <c r="N31" s="21">
        <v>2100</v>
      </c>
      <c r="O31" s="21">
        <v>500</v>
      </c>
      <c r="P31" s="21">
        <f>+L31-J31</f>
        <v>1600</v>
      </c>
      <c r="Q31" s="21">
        <f>+N31-O31</f>
        <v>1600</v>
      </c>
    </row>
    <row r="32" spans="1:17" ht="13.8" x14ac:dyDescent="0.25">
      <c r="A32" s="177" t="s">
        <v>85</v>
      </c>
      <c r="B32" s="177"/>
      <c r="C32" s="177"/>
      <c r="D32" s="24">
        <f t="shared" ref="D32:J32" si="6">SUM(D29:D31)</f>
        <v>1416.87</v>
      </c>
      <c r="E32" s="24">
        <f t="shared" si="6"/>
        <v>3800</v>
      </c>
      <c r="F32" s="24">
        <f t="shared" si="6"/>
        <v>1673.0400000000002</v>
      </c>
      <c r="G32" s="24">
        <f t="shared" si="6"/>
        <v>3800</v>
      </c>
      <c r="H32" s="24">
        <f t="shared" si="6"/>
        <v>5100</v>
      </c>
      <c r="I32" s="24">
        <f t="shared" si="6"/>
        <v>3158.1800000000003</v>
      </c>
      <c r="J32" s="24">
        <f t="shared" si="6"/>
        <v>5000</v>
      </c>
      <c r="K32" s="26"/>
      <c r="L32" s="24">
        <f t="shared" ref="L32:Q32" si="7">SUM(L29:L31)</f>
        <v>6200</v>
      </c>
      <c r="M32" s="24">
        <f t="shared" si="7"/>
        <v>6200</v>
      </c>
      <c r="N32" s="24">
        <f t="shared" si="7"/>
        <v>6200</v>
      </c>
      <c r="O32" s="24">
        <f t="shared" si="7"/>
        <v>5000</v>
      </c>
      <c r="P32" s="24">
        <f t="shared" si="7"/>
        <v>1200</v>
      </c>
      <c r="Q32" s="24">
        <f t="shared" si="7"/>
        <v>1200</v>
      </c>
    </row>
    <row r="33" spans="1:17" ht="13.8" x14ac:dyDescent="0.25">
      <c r="A33" s="175" t="s">
        <v>30</v>
      </c>
      <c r="B33" s="175"/>
      <c r="C33" s="175"/>
      <c r="D33" s="27"/>
      <c r="E33" s="30"/>
      <c r="F33" s="27"/>
      <c r="G33" s="27"/>
      <c r="H33" s="27"/>
      <c r="I33" s="27"/>
      <c r="J33" s="27"/>
      <c r="K33" s="29"/>
      <c r="L33" s="27"/>
      <c r="M33" s="27"/>
      <c r="N33" s="27"/>
      <c r="O33" s="27"/>
      <c r="P33" s="30"/>
      <c r="Q33" s="30"/>
    </row>
    <row r="34" spans="1:17" ht="13.8" x14ac:dyDescent="0.25">
      <c r="A34" s="31" t="s">
        <v>120</v>
      </c>
      <c r="B34" s="32" t="s">
        <v>31</v>
      </c>
      <c r="C34" s="33" t="s">
        <v>32</v>
      </c>
      <c r="D34" s="62">
        <v>0</v>
      </c>
      <c r="E34" s="67">
        <v>0</v>
      </c>
      <c r="F34" s="62">
        <v>0</v>
      </c>
      <c r="G34" s="62">
        <v>0</v>
      </c>
      <c r="H34" s="62">
        <v>0</v>
      </c>
      <c r="I34" s="62">
        <v>0</v>
      </c>
      <c r="J34" s="62">
        <v>0</v>
      </c>
      <c r="K34" s="29"/>
      <c r="L34" s="62">
        <v>3000</v>
      </c>
      <c r="M34" s="62">
        <v>3000</v>
      </c>
      <c r="N34" s="62">
        <v>3000</v>
      </c>
      <c r="O34" s="62">
        <v>0</v>
      </c>
      <c r="P34" s="34">
        <f>+L34-J34</f>
        <v>3000</v>
      </c>
      <c r="Q34" s="21">
        <f>+N34-O34</f>
        <v>3000</v>
      </c>
    </row>
    <row r="35" spans="1:17" ht="13.8" x14ac:dyDescent="0.25">
      <c r="A35" s="18" t="s">
        <v>120</v>
      </c>
      <c r="B35" s="19" t="s">
        <v>51</v>
      </c>
      <c r="C35" s="20" t="s">
        <v>48</v>
      </c>
      <c r="D35" s="21">
        <v>3500</v>
      </c>
      <c r="E35" s="21">
        <v>2308.0500000000002</v>
      </c>
      <c r="F35" s="21">
        <v>3500</v>
      </c>
      <c r="G35" s="21">
        <v>3264.63</v>
      </c>
      <c r="H35" s="21">
        <v>3500</v>
      </c>
      <c r="I35" s="21">
        <v>4293.9799999999996</v>
      </c>
      <c r="J35" s="21">
        <v>3500</v>
      </c>
      <c r="K35" s="29"/>
      <c r="L35" s="21">
        <v>3900</v>
      </c>
      <c r="M35" s="21">
        <v>3900</v>
      </c>
      <c r="N35" s="21">
        <v>3900</v>
      </c>
      <c r="O35" s="21">
        <f>3500</f>
        <v>3500</v>
      </c>
      <c r="P35" s="21">
        <f>+L35-J35</f>
        <v>400</v>
      </c>
      <c r="Q35" s="21">
        <f>+N35-O35</f>
        <v>400</v>
      </c>
    </row>
    <row r="36" spans="1:17" ht="13.8" x14ac:dyDescent="0.25">
      <c r="A36" s="18" t="s">
        <v>120</v>
      </c>
      <c r="B36" s="19" t="s">
        <v>52</v>
      </c>
      <c r="C36" s="20" t="s">
        <v>49</v>
      </c>
      <c r="D36" s="21">
        <v>2000</v>
      </c>
      <c r="E36" s="21">
        <v>935.36</v>
      </c>
      <c r="F36" s="21">
        <v>2000</v>
      </c>
      <c r="G36" s="21">
        <v>1315.06</v>
      </c>
      <c r="H36" s="21">
        <v>2000</v>
      </c>
      <c r="I36" s="21">
        <v>1842.29</v>
      </c>
      <c r="J36" s="21">
        <v>1400</v>
      </c>
      <c r="K36" s="29"/>
      <c r="L36" s="21">
        <v>1400</v>
      </c>
      <c r="M36" s="21">
        <v>1400</v>
      </c>
      <c r="N36" s="21">
        <v>1400</v>
      </c>
      <c r="O36" s="21">
        <f>2000-600</f>
        <v>1400</v>
      </c>
      <c r="P36" s="21">
        <f>+L36-J36</f>
        <v>0</v>
      </c>
      <c r="Q36" s="21">
        <f>+N36-O36</f>
        <v>0</v>
      </c>
    </row>
    <row r="37" spans="1:17" ht="13.8" x14ac:dyDescent="0.25">
      <c r="A37" s="18" t="s">
        <v>120</v>
      </c>
      <c r="B37" s="19" t="s">
        <v>53</v>
      </c>
      <c r="C37" s="20" t="s">
        <v>50</v>
      </c>
      <c r="D37" s="21">
        <v>100</v>
      </c>
      <c r="E37" s="21">
        <v>0</v>
      </c>
      <c r="F37" s="21">
        <v>100</v>
      </c>
      <c r="G37" s="21">
        <v>0</v>
      </c>
      <c r="H37" s="21">
        <v>100</v>
      </c>
      <c r="I37" s="21">
        <v>0</v>
      </c>
      <c r="J37" s="21">
        <v>75</v>
      </c>
      <c r="K37" s="23"/>
      <c r="L37" s="21">
        <v>50</v>
      </c>
      <c r="M37" s="21">
        <v>50</v>
      </c>
      <c r="N37" s="21">
        <v>50</v>
      </c>
      <c r="O37" s="21">
        <f>100-25</f>
        <v>75</v>
      </c>
      <c r="P37" s="21">
        <f>+L37-J37</f>
        <v>-25</v>
      </c>
      <c r="Q37" s="21">
        <f>+N37-O37</f>
        <v>-25</v>
      </c>
    </row>
    <row r="38" spans="1:17" ht="13.8" x14ac:dyDescent="0.25">
      <c r="A38" s="177" t="s">
        <v>77</v>
      </c>
      <c r="B38" s="177"/>
      <c r="C38" s="177"/>
      <c r="D38" s="24">
        <f>SUM(D34:D37)</f>
        <v>5600</v>
      </c>
      <c r="E38" s="24">
        <f t="shared" ref="E38:J38" si="8">SUM(E34:E37)</f>
        <v>3243.4100000000003</v>
      </c>
      <c r="F38" s="24">
        <f t="shared" si="8"/>
        <v>5600</v>
      </c>
      <c r="G38" s="24">
        <f t="shared" si="8"/>
        <v>4579.6900000000005</v>
      </c>
      <c r="H38" s="24">
        <f t="shared" si="8"/>
        <v>5600</v>
      </c>
      <c r="I38" s="24">
        <f t="shared" si="8"/>
        <v>6136.2699999999995</v>
      </c>
      <c r="J38" s="24">
        <f t="shared" si="8"/>
        <v>4975</v>
      </c>
      <c r="K38" s="26"/>
      <c r="L38" s="24">
        <f>SUM(L34:L37)</f>
        <v>8350</v>
      </c>
      <c r="M38" s="24">
        <f t="shared" ref="M38:Q38" si="9">SUM(M34:M37)</f>
        <v>8350</v>
      </c>
      <c r="N38" s="24">
        <f t="shared" si="9"/>
        <v>8350</v>
      </c>
      <c r="O38" s="24">
        <f t="shared" si="9"/>
        <v>4975</v>
      </c>
      <c r="P38" s="24">
        <f t="shared" si="9"/>
        <v>3375</v>
      </c>
      <c r="Q38" s="24">
        <f t="shared" si="9"/>
        <v>3375</v>
      </c>
    </row>
    <row r="39" spans="1:17" ht="13.8" x14ac:dyDescent="0.25">
      <c r="A39" s="169" t="s">
        <v>54</v>
      </c>
      <c r="B39" s="169"/>
      <c r="C39" s="169"/>
      <c r="D39" s="27"/>
      <c r="E39" s="30"/>
      <c r="F39" s="27"/>
      <c r="G39" s="27"/>
      <c r="H39" s="27"/>
      <c r="I39" s="27"/>
      <c r="J39" s="27"/>
      <c r="K39" s="29"/>
      <c r="L39" s="27"/>
      <c r="M39" s="27"/>
      <c r="N39" s="27"/>
      <c r="O39" s="27"/>
      <c r="P39" s="30"/>
      <c r="Q39" s="30"/>
    </row>
    <row r="40" spans="1:17" ht="13.8" x14ac:dyDescent="0.25">
      <c r="A40" s="18" t="s">
        <v>120</v>
      </c>
      <c r="B40" s="19" t="s">
        <v>55</v>
      </c>
      <c r="C40" s="20" t="s">
        <v>56</v>
      </c>
      <c r="D40" s="21">
        <v>1000</v>
      </c>
      <c r="E40" s="21">
        <v>562.69000000000005</v>
      </c>
      <c r="F40" s="21">
        <v>0</v>
      </c>
      <c r="G40" s="21">
        <v>0</v>
      </c>
      <c r="H40" s="21">
        <v>0</v>
      </c>
      <c r="I40" s="21">
        <v>0</v>
      </c>
      <c r="J40" s="21">
        <v>0</v>
      </c>
      <c r="K40" s="23"/>
      <c r="L40" s="21">
        <v>0</v>
      </c>
      <c r="M40" s="21">
        <v>0</v>
      </c>
      <c r="N40" s="21">
        <v>0</v>
      </c>
      <c r="O40" s="21">
        <v>0</v>
      </c>
      <c r="P40" s="21">
        <f>+L40-J40</f>
        <v>0</v>
      </c>
      <c r="Q40" s="21">
        <f>+N40-O40</f>
        <v>0</v>
      </c>
    </row>
    <row r="41" spans="1:17" ht="13.8" x14ac:dyDescent="0.25">
      <c r="A41" s="177" t="s">
        <v>86</v>
      </c>
      <c r="B41" s="177"/>
      <c r="C41" s="177"/>
      <c r="D41" s="24">
        <f t="shared" ref="D41:J41" si="10">SUM(D40:D40)</f>
        <v>1000</v>
      </c>
      <c r="E41" s="24">
        <f t="shared" si="10"/>
        <v>562.69000000000005</v>
      </c>
      <c r="F41" s="24">
        <f t="shared" si="10"/>
        <v>0</v>
      </c>
      <c r="G41" s="24">
        <f t="shared" si="10"/>
        <v>0</v>
      </c>
      <c r="H41" s="24">
        <f t="shared" si="10"/>
        <v>0</v>
      </c>
      <c r="I41" s="24">
        <f t="shared" si="10"/>
        <v>0</v>
      </c>
      <c r="J41" s="24">
        <f t="shared" si="10"/>
        <v>0</v>
      </c>
      <c r="K41" s="26"/>
      <c r="L41" s="24">
        <f t="shared" ref="L41:Q41" si="11">SUM(L40:L40)</f>
        <v>0</v>
      </c>
      <c r="M41" s="24">
        <f t="shared" si="11"/>
        <v>0</v>
      </c>
      <c r="N41" s="24">
        <f t="shared" si="11"/>
        <v>0</v>
      </c>
      <c r="O41" s="24">
        <f t="shared" si="11"/>
        <v>0</v>
      </c>
      <c r="P41" s="24">
        <f t="shared" si="11"/>
        <v>0</v>
      </c>
      <c r="Q41" s="24">
        <f t="shared" si="11"/>
        <v>0</v>
      </c>
    </row>
    <row r="42" spans="1:17" ht="13.8" x14ac:dyDescent="0.25">
      <c r="A42" s="178" t="s">
        <v>78</v>
      </c>
      <c r="B42" s="178"/>
      <c r="C42" s="178"/>
      <c r="D42" s="40">
        <f t="shared" ref="D42:I42" si="12">D14+D21+D27+D32+D38+D41</f>
        <v>594065.87</v>
      </c>
      <c r="E42" s="40">
        <f t="shared" si="12"/>
        <v>576124.72</v>
      </c>
      <c r="F42" s="40">
        <f t="shared" si="12"/>
        <v>587460.04</v>
      </c>
      <c r="G42" s="40">
        <f t="shared" si="12"/>
        <v>598799.04999999993</v>
      </c>
      <c r="H42" s="40">
        <f t="shared" si="12"/>
        <v>677082</v>
      </c>
      <c r="I42" s="40">
        <f t="shared" si="12"/>
        <v>670131.34000000008</v>
      </c>
      <c r="J42" s="40">
        <f>J14+J21+J27+J32+J38+J41</f>
        <v>690614</v>
      </c>
      <c r="K42" s="26"/>
      <c r="L42" s="40">
        <f>L14+L21+L27+L32+L38+L41</f>
        <v>647647</v>
      </c>
      <c r="M42" s="40">
        <f t="shared" ref="M42:N42" si="13">M14+M21+M27+M32+M38+M41</f>
        <v>647647</v>
      </c>
      <c r="N42" s="40">
        <f t="shared" si="13"/>
        <v>647647</v>
      </c>
      <c r="O42" s="40">
        <f>O14+O21+O27+O32+O38+O41</f>
        <v>651367</v>
      </c>
      <c r="P42" s="40">
        <f>P14+P21+P27+P32+P38+P41</f>
        <v>-42967</v>
      </c>
      <c r="Q42" s="40">
        <f t="shared" ref="Q42" si="14">Q14+Q21+Q27+Q32+Q38+Q41</f>
        <v>-3720</v>
      </c>
    </row>
    <row r="43" spans="1:17" ht="13.8" x14ac:dyDescent="0.25">
      <c r="A43" s="174" t="s">
        <v>91</v>
      </c>
      <c r="B43" s="174"/>
      <c r="C43" s="174"/>
      <c r="D43" s="27"/>
      <c r="E43" s="30"/>
      <c r="F43" s="27"/>
      <c r="G43" s="27"/>
      <c r="H43" s="27"/>
      <c r="I43" s="27"/>
      <c r="J43" s="27"/>
      <c r="K43" s="29"/>
      <c r="L43" s="27"/>
      <c r="M43" s="27"/>
      <c r="N43" s="27"/>
      <c r="O43" s="27"/>
      <c r="P43" s="30"/>
      <c r="Q43" s="30"/>
    </row>
    <row r="44" spans="1:17" ht="13.8" x14ac:dyDescent="0.25">
      <c r="A44" s="175" t="s">
        <v>14</v>
      </c>
      <c r="B44" s="175"/>
      <c r="C44" s="175"/>
      <c r="D44" s="27"/>
      <c r="E44" s="30"/>
      <c r="F44" s="27"/>
      <c r="G44" s="27"/>
      <c r="H44" s="27"/>
      <c r="I44" s="27"/>
      <c r="J44" s="27"/>
      <c r="K44" s="29"/>
      <c r="L44" s="27"/>
      <c r="M44" s="27"/>
      <c r="N44" s="27"/>
      <c r="O44" s="27"/>
      <c r="P44" s="30"/>
      <c r="Q44" s="30"/>
    </row>
    <row r="45" spans="1:17" ht="13.8" x14ac:dyDescent="0.25">
      <c r="A45" s="50" t="s">
        <v>92</v>
      </c>
      <c r="B45" s="19" t="s">
        <v>57</v>
      </c>
      <c r="C45" s="20" t="s">
        <v>58</v>
      </c>
      <c r="D45" s="21">
        <v>0</v>
      </c>
      <c r="E45" s="21">
        <v>0</v>
      </c>
      <c r="F45" s="21">
        <v>0</v>
      </c>
      <c r="G45" s="21">
        <v>0</v>
      </c>
      <c r="H45" s="21">
        <v>0</v>
      </c>
      <c r="I45" s="21">
        <v>0</v>
      </c>
      <c r="J45" s="21">
        <v>0</v>
      </c>
      <c r="K45" s="23"/>
      <c r="L45" s="21">
        <v>0</v>
      </c>
      <c r="M45" s="21">
        <v>0</v>
      </c>
      <c r="N45" s="21">
        <v>0</v>
      </c>
      <c r="O45" s="21">
        <v>0</v>
      </c>
      <c r="P45" s="21">
        <f>+L45-J45</f>
        <v>0</v>
      </c>
      <c r="Q45" s="21">
        <f>+N45-O45</f>
        <v>0</v>
      </c>
    </row>
    <row r="46" spans="1:17" ht="13.8" x14ac:dyDescent="0.25">
      <c r="A46" s="50" t="s">
        <v>92</v>
      </c>
      <c r="B46" s="19" t="s">
        <v>59</v>
      </c>
      <c r="C46" s="20" t="s">
        <v>60</v>
      </c>
      <c r="D46" s="21">
        <v>0</v>
      </c>
      <c r="E46" s="21">
        <v>0</v>
      </c>
      <c r="F46" s="21">
        <v>0</v>
      </c>
      <c r="G46" s="21">
        <v>0</v>
      </c>
      <c r="H46" s="21">
        <v>0</v>
      </c>
      <c r="I46" s="21">
        <v>0</v>
      </c>
      <c r="J46" s="21">
        <v>21500</v>
      </c>
      <c r="K46" s="23"/>
      <c r="L46" s="21">
        <v>0</v>
      </c>
      <c r="M46" s="21">
        <v>0</v>
      </c>
      <c r="N46" s="21">
        <v>0</v>
      </c>
      <c r="O46" s="21">
        <v>0</v>
      </c>
      <c r="P46" s="21">
        <f>+L46-J46</f>
        <v>-21500</v>
      </c>
      <c r="Q46" s="21">
        <f>+N46-O46</f>
        <v>0</v>
      </c>
    </row>
    <row r="47" spans="1:17" ht="13.8" x14ac:dyDescent="0.25">
      <c r="A47" s="177" t="s">
        <v>75</v>
      </c>
      <c r="B47" s="177"/>
      <c r="C47" s="177"/>
      <c r="D47" s="24">
        <f t="shared" ref="D47:J47" si="15">SUM(D45:D46)</f>
        <v>0</v>
      </c>
      <c r="E47" s="24">
        <f t="shared" si="15"/>
        <v>0</v>
      </c>
      <c r="F47" s="24">
        <f t="shared" si="15"/>
        <v>0</v>
      </c>
      <c r="G47" s="24">
        <f t="shared" si="15"/>
        <v>0</v>
      </c>
      <c r="H47" s="24">
        <f t="shared" si="15"/>
        <v>0</v>
      </c>
      <c r="I47" s="24">
        <f t="shared" si="15"/>
        <v>0</v>
      </c>
      <c r="J47" s="24">
        <f t="shared" si="15"/>
        <v>21500</v>
      </c>
      <c r="K47" s="26"/>
      <c r="L47" s="24">
        <f t="shared" ref="L47:Q47" si="16">SUM(L45:L46)</f>
        <v>0</v>
      </c>
      <c r="M47" s="24">
        <f t="shared" si="16"/>
        <v>0</v>
      </c>
      <c r="N47" s="24">
        <f t="shared" si="16"/>
        <v>0</v>
      </c>
      <c r="O47" s="24">
        <f t="shared" si="16"/>
        <v>0</v>
      </c>
      <c r="P47" s="24">
        <f t="shared" si="16"/>
        <v>-21500</v>
      </c>
      <c r="Q47" s="24">
        <f t="shared" si="16"/>
        <v>0</v>
      </c>
    </row>
    <row r="48" spans="1:17" ht="13.8" x14ac:dyDescent="0.25">
      <c r="A48" s="178" t="s">
        <v>93</v>
      </c>
      <c r="B48" s="178"/>
      <c r="C48" s="178"/>
      <c r="D48" s="40">
        <f t="shared" ref="D48:J48" si="17">D47</f>
        <v>0</v>
      </c>
      <c r="E48" s="40">
        <f t="shared" si="17"/>
        <v>0</v>
      </c>
      <c r="F48" s="40">
        <f t="shared" si="17"/>
        <v>0</v>
      </c>
      <c r="G48" s="40">
        <f t="shared" si="17"/>
        <v>0</v>
      </c>
      <c r="H48" s="40">
        <f t="shared" si="17"/>
        <v>0</v>
      </c>
      <c r="I48" s="40">
        <f t="shared" si="17"/>
        <v>0</v>
      </c>
      <c r="J48" s="40">
        <f t="shared" si="17"/>
        <v>21500</v>
      </c>
      <c r="K48" s="26"/>
      <c r="L48" s="40">
        <f t="shared" ref="L48:Q48" si="18">L47</f>
        <v>0</v>
      </c>
      <c r="M48" s="40">
        <f t="shared" si="18"/>
        <v>0</v>
      </c>
      <c r="N48" s="40">
        <f t="shared" si="18"/>
        <v>0</v>
      </c>
      <c r="O48" s="40">
        <f t="shared" si="18"/>
        <v>0</v>
      </c>
      <c r="P48" s="40">
        <f t="shared" si="18"/>
        <v>-21500</v>
      </c>
      <c r="Q48" s="40">
        <f t="shared" si="18"/>
        <v>0</v>
      </c>
    </row>
    <row r="49" spans="1:17" ht="13.8" x14ac:dyDescent="0.25">
      <c r="A49" s="178" t="s">
        <v>127</v>
      </c>
      <c r="B49" s="178"/>
      <c r="C49" s="178"/>
      <c r="D49" s="40">
        <f>D42+'03 - Human Resources - FY 2027'!D47</f>
        <v>594065.87</v>
      </c>
      <c r="E49" s="40">
        <f>E42+'03 - Human Resources - FY 2027'!E47</f>
        <v>576124.72</v>
      </c>
      <c r="F49" s="40">
        <f>F42+'03 - Human Resources - FY 2027'!F47</f>
        <v>587460.04</v>
      </c>
      <c r="G49" s="40">
        <f>G42+'03 - Human Resources - FY 2027'!G47</f>
        <v>598799.04999999993</v>
      </c>
      <c r="H49" s="40">
        <f>H42+'03 - Human Resources - FY 2027'!H47</f>
        <v>677082</v>
      </c>
      <c r="I49" s="40">
        <f>I42+'03 - Human Resources - FY 2027'!I47</f>
        <v>670131.34000000008</v>
      </c>
      <c r="J49" s="40">
        <f>J42+J47</f>
        <v>712114</v>
      </c>
      <c r="K49" s="26"/>
      <c r="L49" s="40">
        <f t="shared" ref="L49:O49" si="19">L42+L47</f>
        <v>647647</v>
      </c>
      <c r="M49" s="40">
        <f t="shared" si="19"/>
        <v>647647</v>
      </c>
      <c r="N49" s="40">
        <f t="shared" si="19"/>
        <v>647647</v>
      </c>
      <c r="O49" s="40">
        <f t="shared" si="19"/>
        <v>651367</v>
      </c>
      <c r="P49" s="40">
        <f>P42+P47</f>
        <v>-64467</v>
      </c>
      <c r="Q49" s="40">
        <f>Q42+Q47</f>
        <v>-3720</v>
      </c>
    </row>
    <row r="50" spans="1:17" ht="13.8" x14ac:dyDescent="0.25">
      <c r="A50" s="179" t="s">
        <v>80</v>
      </c>
      <c r="B50" s="179"/>
      <c r="C50" s="179"/>
      <c r="D50" s="41">
        <f>D49</f>
        <v>594065.87</v>
      </c>
      <c r="E50" s="41">
        <f t="shared" ref="E50" si="20">E49</f>
        <v>576124.72</v>
      </c>
      <c r="F50" s="41">
        <f>F49</f>
        <v>587460.04</v>
      </c>
      <c r="G50" s="41">
        <f>G49</f>
        <v>598799.04999999993</v>
      </c>
      <c r="H50" s="41">
        <f>H49</f>
        <v>677082</v>
      </c>
      <c r="I50" s="41">
        <f>I49</f>
        <v>670131.34000000008</v>
      </c>
      <c r="J50" s="41">
        <f>J49</f>
        <v>712114</v>
      </c>
      <c r="K50" s="26"/>
      <c r="L50" s="41">
        <f>L49</f>
        <v>647647</v>
      </c>
      <c r="M50" s="41">
        <f>M49</f>
        <v>647647</v>
      </c>
      <c r="N50" s="41">
        <f>N49</f>
        <v>647647</v>
      </c>
      <c r="O50" s="41">
        <f>O49</f>
        <v>651367</v>
      </c>
      <c r="P50" s="41">
        <f t="shared" ref="P50" si="21">P49</f>
        <v>-64467</v>
      </c>
      <c r="Q50" s="41">
        <f>Q49</f>
        <v>-3720</v>
      </c>
    </row>
    <row r="51" spans="1:17" ht="13.8" x14ac:dyDescent="0.25">
      <c r="D51" s="27"/>
      <c r="E51" s="30"/>
      <c r="F51" s="27"/>
      <c r="G51" s="27"/>
      <c r="H51" s="27"/>
      <c r="I51" s="27"/>
      <c r="J51" s="27"/>
      <c r="K51" s="29"/>
      <c r="L51" s="30"/>
      <c r="M51" s="30"/>
      <c r="N51" s="30"/>
      <c r="O51" s="27"/>
      <c r="P51" s="30"/>
      <c r="Q51" s="30"/>
    </row>
    <row r="52" spans="1:17" ht="13.8" x14ac:dyDescent="0.25">
      <c r="A52" s="179" t="s">
        <v>81</v>
      </c>
      <c r="B52" s="179"/>
      <c r="C52" s="179"/>
      <c r="D52" s="41">
        <f t="shared" ref="D52:J52" si="22">D50</f>
        <v>594065.87</v>
      </c>
      <c r="E52" s="41">
        <f t="shared" si="22"/>
        <v>576124.72</v>
      </c>
      <c r="F52" s="41">
        <f t="shared" si="22"/>
        <v>587460.04</v>
      </c>
      <c r="G52" s="41">
        <f t="shared" si="22"/>
        <v>598799.04999999993</v>
      </c>
      <c r="H52" s="41">
        <f t="shared" si="22"/>
        <v>677082</v>
      </c>
      <c r="I52" s="41">
        <f t="shared" si="22"/>
        <v>670131.34000000008</v>
      </c>
      <c r="J52" s="41">
        <f t="shared" si="22"/>
        <v>712114</v>
      </c>
      <c r="K52" s="26"/>
      <c r="L52" s="41">
        <f t="shared" ref="L52:Q52" si="23">L50</f>
        <v>647647</v>
      </c>
      <c r="M52" s="41">
        <f t="shared" si="23"/>
        <v>647647</v>
      </c>
      <c r="N52" s="41">
        <f t="shared" si="23"/>
        <v>647647</v>
      </c>
      <c r="O52" s="41">
        <f t="shared" si="23"/>
        <v>651367</v>
      </c>
      <c r="P52" s="41">
        <f t="shared" si="23"/>
        <v>-64467</v>
      </c>
      <c r="Q52" s="41">
        <f t="shared" si="23"/>
        <v>-3720</v>
      </c>
    </row>
    <row r="53" spans="1:17" x14ac:dyDescent="0.3">
      <c r="H53" s="30"/>
      <c r="I53" s="30"/>
      <c r="J53" s="30"/>
      <c r="K53" s="30"/>
      <c r="L53" s="30"/>
      <c r="M53" s="30"/>
      <c r="N53" s="30"/>
      <c r="O53" s="30"/>
      <c r="Q53" s="1"/>
    </row>
    <row r="54" spans="1:17" x14ac:dyDescent="0.3">
      <c r="L54" s="97"/>
    </row>
    <row r="58" spans="1:17" x14ac:dyDescent="0.3">
      <c r="O58" s="113">
        <f>2000/N52</f>
        <v>3.0881020061854685E-3</v>
      </c>
    </row>
    <row r="59" spans="1:17" x14ac:dyDescent="0.3">
      <c r="L59" s="97"/>
      <c r="M59" s="97"/>
      <c r="N59" s="97"/>
      <c r="O59" s="97"/>
    </row>
  </sheetData>
  <mergeCells count="25">
    <mergeCell ref="A52:C52"/>
    <mergeCell ref="A43:C43"/>
    <mergeCell ref="A44:C44"/>
    <mergeCell ref="A47:C47"/>
    <mergeCell ref="A48:C48"/>
    <mergeCell ref="A49:C49"/>
    <mergeCell ref="A50:C50"/>
    <mergeCell ref="A42:C42"/>
    <mergeCell ref="A14:C14"/>
    <mergeCell ref="A15:C15"/>
    <mergeCell ref="A21:C21"/>
    <mergeCell ref="A22:C22"/>
    <mergeCell ref="A27:C27"/>
    <mergeCell ref="A28:C28"/>
    <mergeCell ref="A32:C32"/>
    <mergeCell ref="A33:C33"/>
    <mergeCell ref="A38:C38"/>
    <mergeCell ref="A39:C39"/>
    <mergeCell ref="A41:C41"/>
    <mergeCell ref="A9:C9"/>
    <mergeCell ref="A1:Q1"/>
    <mergeCell ref="A5:C5"/>
    <mergeCell ref="A6:C6"/>
    <mergeCell ref="A7:C7"/>
    <mergeCell ref="A8:C8"/>
  </mergeCells>
  <printOptions horizontalCentered="1" verticalCentered="1"/>
  <pageMargins left="0.7" right="0.7" top="0.75" bottom="0.75" header="0.3" footer="0.3"/>
  <pageSetup scale="26" fitToHeight="0" orientation="landscape" r:id="rId1"/>
  <headerFooter>
    <oddFooter>&amp;RBudget Kick Off - 11.01.25</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BDC0E-F7DC-45C2-8115-AEA38A2AE0EC}">
  <sheetPr codeName="Sheet10">
    <tabColor rgb="FF92D050"/>
  </sheetPr>
  <dimension ref="A1:Q54"/>
  <sheetViews>
    <sheetView zoomScale="90" zoomScaleNormal="90" workbookViewId="0">
      <selection activeCell="C36" sqref="C36"/>
    </sheetView>
  </sheetViews>
  <sheetFormatPr defaultColWidth="9.109375" defaultRowHeight="13.8" x14ac:dyDescent="0.25"/>
  <cols>
    <col min="1" max="1" width="9.5546875" style="3" bestFit="1" customWidth="1"/>
    <col min="2" max="2" width="15.33203125" style="3" bestFit="1" customWidth="1"/>
    <col min="3" max="3" width="21.88671875" style="3" bestFit="1" customWidth="1"/>
    <col min="4" max="8" width="11.5546875" style="64" customWidth="1"/>
    <col min="9" max="9" width="11.44140625" style="64" customWidth="1"/>
    <col min="10" max="10" width="11.5546875" style="3" bestFit="1" customWidth="1"/>
    <col min="11" max="11" width="1" style="3" customWidth="1"/>
    <col min="12" max="12" width="11.5546875" style="3" bestFit="1" customWidth="1"/>
    <col min="13" max="13" width="11.5546875" style="3" customWidth="1"/>
    <col min="14" max="14" width="14.109375" style="3" customWidth="1"/>
    <col min="15" max="15" width="11.5546875" style="3" bestFit="1" customWidth="1"/>
    <col min="16" max="17" width="12" style="3" bestFit="1" customWidth="1"/>
    <col min="18" max="16384" width="9.109375" style="3"/>
  </cols>
  <sheetData>
    <row r="1" spans="1:17" ht="75" customHeight="1" x14ac:dyDescent="0.25">
      <c r="A1" s="170" t="s">
        <v>128</v>
      </c>
      <c r="B1" s="170"/>
      <c r="C1" s="170"/>
      <c r="D1" s="170"/>
      <c r="E1" s="170"/>
      <c r="F1" s="170"/>
      <c r="G1" s="170"/>
      <c r="H1" s="170"/>
      <c r="I1" s="170"/>
      <c r="J1" s="170"/>
      <c r="K1" s="170"/>
      <c r="L1" s="170"/>
      <c r="M1" s="170"/>
      <c r="N1" s="170"/>
      <c r="O1" s="170"/>
      <c r="P1" s="170"/>
      <c r="Q1" s="170"/>
    </row>
    <row r="2" spans="1:17" ht="6" customHeight="1" x14ac:dyDescent="0.25"/>
    <row r="3" spans="1:17" s="10" customFormat="1" ht="52.8" x14ac:dyDescent="0.3">
      <c r="A3" s="68"/>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11"/>
    </row>
    <row r="5" spans="1:17" x14ac:dyDescent="0.25">
      <c r="A5" s="171" t="s">
        <v>69</v>
      </c>
      <c r="B5" s="171"/>
      <c r="C5" s="171"/>
      <c r="D5" s="69"/>
      <c r="E5" s="69"/>
      <c r="F5" s="69"/>
      <c r="G5" s="69"/>
      <c r="H5" s="69"/>
      <c r="I5" s="69"/>
      <c r="K5" s="11"/>
    </row>
    <row r="6" spans="1:17" x14ac:dyDescent="0.25">
      <c r="A6" s="172" t="s">
        <v>70</v>
      </c>
      <c r="B6" s="172"/>
      <c r="C6" s="172"/>
      <c r="D6" s="70"/>
      <c r="E6" s="70"/>
      <c r="F6" s="70"/>
      <c r="G6" s="70"/>
      <c r="H6" s="70"/>
      <c r="I6" s="70"/>
      <c r="K6" s="11"/>
    </row>
    <row r="7" spans="1:17" x14ac:dyDescent="0.25">
      <c r="A7" s="173" t="s">
        <v>129</v>
      </c>
      <c r="B7" s="173"/>
      <c r="C7" s="173"/>
      <c r="D7" s="69"/>
      <c r="E7" s="69"/>
      <c r="F7" s="69"/>
      <c r="G7" s="69"/>
      <c r="H7" s="69"/>
      <c r="I7" s="69"/>
      <c r="K7" s="11"/>
    </row>
    <row r="8" spans="1:17" x14ac:dyDescent="0.25">
      <c r="A8" s="174" t="s">
        <v>72</v>
      </c>
      <c r="B8" s="174"/>
      <c r="C8" s="174"/>
      <c r="D8" s="69"/>
      <c r="E8" s="69"/>
      <c r="F8" s="69"/>
      <c r="G8" s="69"/>
      <c r="H8" s="69"/>
      <c r="I8" s="69"/>
      <c r="K8" s="11"/>
    </row>
    <row r="9" spans="1:17" x14ac:dyDescent="0.25">
      <c r="A9" s="175" t="s">
        <v>11</v>
      </c>
      <c r="B9" s="175"/>
      <c r="C9" s="175"/>
      <c r="D9" s="71"/>
      <c r="E9" s="71"/>
      <c r="F9" s="71"/>
      <c r="G9" s="71"/>
      <c r="H9" s="71"/>
      <c r="I9" s="71"/>
      <c r="K9" s="11"/>
    </row>
    <row r="10" spans="1:17" x14ac:dyDescent="0.25">
      <c r="A10" s="50" t="s">
        <v>130</v>
      </c>
      <c r="B10" s="20" t="s">
        <v>35</v>
      </c>
      <c r="C10" s="20" t="s">
        <v>36</v>
      </c>
      <c r="D10" s="21">
        <v>213375</v>
      </c>
      <c r="E10" s="21">
        <v>263129.36</v>
      </c>
      <c r="F10" s="21">
        <v>278863</v>
      </c>
      <c r="G10" s="21">
        <v>276359.14</v>
      </c>
      <c r="H10" s="21">
        <v>280617</v>
      </c>
      <c r="I10" s="21">
        <v>234227.54</v>
      </c>
      <c r="J10" s="21">
        <v>290617</v>
      </c>
      <c r="K10" s="23"/>
      <c r="L10" s="21">
        <v>303442</v>
      </c>
      <c r="M10" s="21">
        <v>303442</v>
      </c>
      <c r="N10" s="21">
        <v>303442</v>
      </c>
      <c r="O10" s="21">
        <v>303442</v>
      </c>
      <c r="P10" s="21">
        <f>+L10-J10</f>
        <v>12825</v>
      </c>
      <c r="Q10" s="21">
        <f>+N10-O10</f>
        <v>0</v>
      </c>
    </row>
    <row r="11" spans="1:17" x14ac:dyDescent="0.25">
      <c r="A11" s="50" t="s">
        <v>130</v>
      </c>
      <c r="B11" s="20" t="s">
        <v>37</v>
      </c>
      <c r="C11" s="20" t="s">
        <v>38</v>
      </c>
      <c r="D11" s="21">
        <v>36897</v>
      </c>
      <c r="E11" s="21">
        <v>0</v>
      </c>
      <c r="F11" s="21">
        <v>0</v>
      </c>
      <c r="G11" s="21">
        <v>0</v>
      </c>
      <c r="H11" s="21">
        <v>0</v>
      </c>
      <c r="I11" s="21">
        <v>0</v>
      </c>
      <c r="J11" s="21">
        <v>0</v>
      </c>
      <c r="K11" s="23"/>
      <c r="L11" s="21">
        <v>0</v>
      </c>
      <c r="M11" s="21">
        <v>0</v>
      </c>
      <c r="N11" s="21">
        <v>0</v>
      </c>
      <c r="O11" s="21">
        <v>0</v>
      </c>
      <c r="P11" s="21">
        <f>+L11-J11</f>
        <v>0</v>
      </c>
      <c r="Q11" s="21">
        <f>+N11-O11</f>
        <v>0</v>
      </c>
    </row>
    <row r="12" spans="1:17" x14ac:dyDescent="0.25">
      <c r="A12" s="50" t="s">
        <v>130</v>
      </c>
      <c r="B12" s="20" t="s">
        <v>39</v>
      </c>
      <c r="C12" s="20" t="s">
        <v>40</v>
      </c>
      <c r="D12" s="21">
        <v>1000</v>
      </c>
      <c r="E12" s="21">
        <v>233.69</v>
      </c>
      <c r="F12" s="21">
        <v>500</v>
      </c>
      <c r="G12" s="21">
        <v>0</v>
      </c>
      <c r="H12" s="21">
        <v>500</v>
      </c>
      <c r="I12" s="21">
        <v>1804.06</v>
      </c>
      <c r="J12" s="21">
        <v>500</v>
      </c>
      <c r="K12" s="23"/>
      <c r="L12" s="21">
        <v>1000</v>
      </c>
      <c r="M12" s="21">
        <v>1000</v>
      </c>
      <c r="N12" s="21">
        <v>1000</v>
      </c>
      <c r="O12" s="21">
        <v>500</v>
      </c>
      <c r="P12" s="21">
        <f>+L12-J12</f>
        <v>500</v>
      </c>
      <c r="Q12" s="21">
        <f>+N12-O12</f>
        <v>500</v>
      </c>
    </row>
    <row r="13" spans="1:17" x14ac:dyDescent="0.25">
      <c r="A13" s="177" t="s">
        <v>74</v>
      </c>
      <c r="B13" s="177"/>
      <c r="C13" s="177"/>
      <c r="D13" s="24">
        <f t="shared" ref="D13" si="0">SUM(D10:D12)</f>
        <v>251272</v>
      </c>
      <c r="E13" s="72">
        <f t="shared" ref="E13:F13" si="1">SUM(E10:E12)</f>
        <v>263363.05</v>
      </c>
      <c r="F13" s="24">
        <f t="shared" si="1"/>
        <v>279363</v>
      </c>
      <c r="G13" s="24">
        <f>SUM(G10:G12)</f>
        <v>276359.14</v>
      </c>
      <c r="H13" s="24">
        <f t="shared" ref="H13:J13" si="2">SUM(H10:H12)</f>
        <v>281117</v>
      </c>
      <c r="I13" s="24">
        <f t="shared" si="2"/>
        <v>236031.6</v>
      </c>
      <c r="J13" s="24">
        <f t="shared" si="2"/>
        <v>291117</v>
      </c>
      <c r="K13" s="26"/>
      <c r="L13" s="24">
        <f t="shared" ref="L13:Q13" si="3">SUM(L10:L12)</f>
        <v>304442</v>
      </c>
      <c r="M13" s="24">
        <f t="shared" si="3"/>
        <v>304442</v>
      </c>
      <c r="N13" s="24">
        <f t="shared" si="3"/>
        <v>304442</v>
      </c>
      <c r="O13" s="24">
        <f t="shared" si="3"/>
        <v>303942</v>
      </c>
      <c r="P13" s="24">
        <f t="shared" si="3"/>
        <v>13325</v>
      </c>
      <c r="Q13" s="24">
        <f t="shared" si="3"/>
        <v>500</v>
      </c>
    </row>
    <row r="14" spans="1:17" ht="14.25" customHeight="1" x14ac:dyDescent="0.25">
      <c r="A14" s="175" t="s">
        <v>14</v>
      </c>
      <c r="B14" s="175"/>
      <c r="C14" s="175"/>
      <c r="D14" s="27"/>
      <c r="E14" s="73"/>
      <c r="F14" s="27"/>
      <c r="G14" s="27"/>
      <c r="H14" s="27"/>
      <c r="I14" s="27"/>
      <c r="J14" s="27"/>
      <c r="K14" s="29"/>
      <c r="L14" s="27"/>
      <c r="M14" s="27"/>
      <c r="N14" s="27"/>
      <c r="O14" s="27"/>
    </row>
    <row r="15" spans="1:17" x14ac:dyDescent="0.25">
      <c r="A15" s="50" t="s">
        <v>130</v>
      </c>
      <c r="B15" s="20" t="s">
        <v>41</v>
      </c>
      <c r="C15" s="20" t="s">
        <v>42</v>
      </c>
      <c r="D15" s="21">
        <v>2821</v>
      </c>
      <c r="E15" s="21">
        <v>2044.32</v>
      </c>
      <c r="F15" s="21">
        <v>2569</v>
      </c>
      <c r="G15" s="21">
        <v>2444.33</v>
      </c>
      <c r="H15" s="21">
        <v>3619</v>
      </c>
      <c r="I15" s="21">
        <v>1605.55</v>
      </c>
      <c r="J15" s="21">
        <v>2200</v>
      </c>
      <c r="K15" s="23"/>
      <c r="L15" s="21">
        <v>2634</v>
      </c>
      <c r="M15" s="21">
        <v>2634</v>
      </c>
      <c r="N15" s="21">
        <v>2634</v>
      </c>
      <c r="O15" s="21">
        <v>2634</v>
      </c>
      <c r="P15" s="21">
        <f>+L15-J15</f>
        <v>434</v>
      </c>
      <c r="Q15" s="21">
        <f>+N15-O15</f>
        <v>0</v>
      </c>
    </row>
    <row r="16" spans="1:17" x14ac:dyDescent="0.25">
      <c r="A16" s="50" t="s">
        <v>130</v>
      </c>
      <c r="B16" s="20" t="s">
        <v>15</v>
      </c>
      <c r="C16" s="20" t="s">
        <v>16</v>
      </c>
      <c r="D16" s="21">
        <v>15579</v>
      </c>
      <c r="E16" s="21">
        <v>10563.18</v>
      </c>
      <c r="F16" s="21">
        <v>17321</v>
      </c>
      <c r="G16" s="21">
        <v>10370.709999999999</v>
      </c>
      <c r="H16" s="21">
        <v>17430</v>
      </c>
      <c r="I16" s="21">
        <v>9379.92</v>
      </c>
      <c r="J16" s="21">
        <v>18051</v>
      </c>
      <c r="K16" s="23"/>
      <c r="L16" s="21">
        <v>18876</v>
      </c>
      <c r="M16" s="21">
        <v>18876</v>
      </c>
      <c r="N16" s="21">
        <v>18876</v>
      </c>
      <c r="O16" s="21">
        <v>18845</v>
      </c>
      <c r="P16" s="21">
        <f>+L16-J16</f>
        <v>825</v>
      </c>
      <c r="Q16" s="21">
        <f>+N16-O16</f>
        <v>31</v>
      </c>
    </row>
    <row r="17" spans="1:17" x14ac:dyDescent="0.25">
      <c r="A17" s="50" t="s">
        <v>130</v>
      </c>
      <c r="B17" s="20" t="s">
        <v>17</v>
      </c>
      <c r="C17" s="20" t="s">
        <v>18</v>
      </c>
      <c r="D17" s="21">
        <v>3644</v>
      </c>
      <c r="E17" s="21">
        <v>2470.42</v>
      </c>
      <c r="F17" s="21">
        <v>4051</v>
      </c>
      <c r="G17" s="21">
        <v>2425.4</v>
      </c>
      <c r="H17" s="21">
        <v>4077</v>
      </c>
      <c r="I17" s="21">
        <v>2193.6999999999998</v>
      </c>
      <c r="J17" s="21">
        <v>4222</v>
      </c>
      <c r="K17" s="23"/>
      <c r="L17" s="21">
        <v>4415</v>
      </c>
      <c r="M17" s="21">
        <v>4415</v>
      </c>
      <c r="N17" s="21">
        <v>4415</v>
      </c>
      <c r="O17" s="21">
        <v>4408</v>
      </c>
      <c r="P17" s="21">
        <f>+L17-J17</f>
        <v>193</v>
      </c>
      <c r="Q17" s="21">
        <f>+N17-O17</f>
        <v>7</v>
      </c>
    </row>
    <row r="18" spans="1:17" x14ac:dyDescent="0.25">
      <c r="A18" s="50" t="s">
        <v>130</v>
      </c>
      <c r="B18" s="20" t="s">
        <v>43</v>
      </c>
      <c r="C18" s="20" t="s">
        <v>44</v>
      </c>
      <c r="D18" s="21">
        <v>30142</v>
      </c>
      <c r="E18" s="21">
        <v>29231.69</v>
      </c>
      <c r="F18" s="21">
        <v>37799</v>
      </c>
      <c r="G18" s="21">
        <v>23577.72</v>
      </c>
      <c r="H18" s="21">
        <v>38036</v>
      </c>
      <c r="I18" s="21">
        <v>21113.93</v>
      </c>
      <c r="J18" s="21">
        <v>37119</v>
      </c>
      <c r="K18" s="23"/>
      <c r="L18" s="21">
        <v>38817</v>
      </c>
      <c r="M18" s="21">
        <v>38817</v>
      </c>
      <c r="N18" s="21">
        <v>38817</v>
      </c>
      <c r="O18" s="21">
        <v>38753</v>
      </c>
      <c r="P18" s="21">
        <f>+L18-J18</f>
        <v>1698</v>
      </c>
      <c r="Q18" s="21">
        <f>+N18-O18</f>
        <v>64</v>
      </c>
    </row>
    <row r="19" spans="1:17" x14ac:dyDescent="0.25">
      <c r="A19" s="50" t="s">
        <v>130</v>
      </c>
      <c r="B19" s="20" t="s">
        <v>19</v>
      </c>
      <c r="C19" s="20" t="s">
        <v>20</v>
      </c>
      <c r="D19" s="21">
        <v>6052</v>
      </c>
      <c r="E19" s="21">
        <v>5767.8</v>
      </c>
      <c r="F19" s="21">
        <v>6406</v>
      </c>
      <c r="G19" s="21">
        <v>6824.3</v>
      </c>
      <c r="H19" s="21">
        <v>7648</v>
      </c>
      <c r="I19" s="21">
        <v>7647.53</v>
      </c>
      <c r="J19" s="21">
        <v>9036</v>
      </c>
      <c r="K19" s="23"/>
      <c r="L19" s="21">
        <v>8901</v>
      </c>
      <c r="M19" s="21">
        <v>8901</v>
      </c>
      <c r="N19" s="21">
        <v>8901</v>
      </c>
      <c r="O19" s="21">
        <v>8901</v>
      </c>
      <c r="P19" s="21">
        <f>+L19-J19</f>
        <v>-135</v>
      </c>
      <c r="Q19" s="21">
        <f>+N19-O19</f>
        <v>0</v>
      </c>
    </row>
    <row r="20" spans="1:17" x14ac:dyDescent="0.25">
      <c r="A20" s="177" t="s">
        <v>75</v>
      </c>
      <c r="B20" s="177"/>
      <c r="C20" s="177"/>
      <c r="D20" s="24">
        <f t="shared" ref="D20" si="4">SUM(D15:D19)</f>
        <v>58238</v>
      </c>
      <c r="E20" s="72">
        <f>SUM(E15:E19)</f>
        <v>50077.41</v>
      </c>
      <c r="F20" s="24">
        <f t="shared" ref="F20" si="5">SUM(F15:F19)</f>
        <v>68146</v>
      </c>
      <c r="G20" s="24">
        <f>SUM(G15:G19)</f>
        <v>45642.460000000006</v>
      </c>
      <c r="H20" s="24">
        <f t="shared" ref="H20:J20" si="6">SUM(H15:H19)</f>
        <v>70810</v>
      </c>
      <c r="I20" s="24">
        <f t="shared" si="6"/>
        <v>41940.629999999997</v>
      </c>
      <c r="J20" s="24">
        <f t="shared" si="6"/>
        <v>70628</v>
      </c>
      <c r="K20" s="26"/>
      <c r="L20" s="24">
        <f t="shared" ref="L20:O20" si="7">SUM(L15:L19)</f>
        <v>73643</v>
      </c>
      <c r="M20" s="24">
        <f t="shared" si="7"/>
        <v>73643</v>
      </c>
      <c r="N20" s="24">
        <f t="shared" si="7"/>
        <v>73643</v>
      </c>
      <c r="O20" s="24">
        <f t="shared" si="7"/>
        <v>73541</v>
      </c>
      <c r="P20" s="24">
        <f>SUM(P15:P19)</f>
        <v>3015</v>
      </c>
      <c r="Q20" s="24">
        <f>SUM(Q15:Q19)</f>
        <v>102</v>
      </c>
    </row>
    <row r="21" spans="1:17" x14ac:dyDescent="0.25">
      <c r="A21" s="175" t="s">
        <v>21</v>
      </c>
      <c r="B21" s="175"/>
      <c r="C21" s="175"/>
      <c r="D21" s="27"/>
      <c r="E21" s="73"/>
      <c r="F21" s="27"/>
      <c r="G21" s="27"/>
      <c r="H21" s="27"/>
      <c r="I21" s="27"/>
      <c r="J21" s="27"/>
      <c r="K21" s="29"/>
      <c r="L21" s="74"/>
      <c r="M21" s="74"/>
      <c r="N21" s="74"/>
      <c r="O21" s="27"/>
      <c r="P21" s="30"/>
      <c r="Q21" s="30"/>
    </row>
    <row r="22" spans="1:17" x14ac:dyDescent="0.25">
      <c r="A22" s="50" t="s">
        <v>130</v>
      </c>
      <c r="B22" s="20" t="s">
        <v>131</v>
      </c>
      <c r="C22" s="20" t="s">
        <v>132</v>
      </c>
      <c r="D22" s="21">
        <v>2100</v>
      </c>
      <c r="E22" s="21">
        <v>0</v>
      </c>
      <c r="F22" s="21">
        <v>2100</v>
      </c>
      <c r="G22" s="21">
        <v>0</v>
      </c>
      <c r="H22" s="21">
        <v>2100</v>
      </c>
      <c r="I22" s="21">
        <v>0</v>
      </c>
      <c r="J22" s="21">
        <v>1250</v>
      </c>
      <c r="K22" s="23"/>
      <c r="L22" s="21">
        <v>0</v>
      </c>
      <c r="M22" s="21">
        <v>0</v>
      </c>
      <c r="N22" s="21">
        <v>0</v>
      </c>
      <c r="O22" s="21">
        <f>2100-850</f>
        <v>1250</v>
      </c>
      <c r="P22" s="21">
        <f>+L22-J22</f>
        <v>-1250</v>
      </c>
      <c r="Q22" s="21">
        <f>+N22-O22</f>
        <v>-1250</v>
      </c>
    </row>
    <row r="23" spans="1:17" x14ac:dyDescent="0.25">
      <c r="A23" s="50" t="s">
        <v>130</v>
      </c>
      <c r="B23" s="20" t="s">
        <v>28</v>
      </c>
      <c r="C23" s="20" t="s">
        <v>29</v>
      </c>
      <c r="D23" s="21">
        <v>90000</v>
      </c>
      <c r="E23" s="21">
        <v>76942</v>
      </c>
      <c r="F23" s="21">
        <v>80000</v>
      </c>
      <c r="G23" s="21">
        <v>57551.6</v>
      </c>
      <c r="H23" s="21">
        <v>80000</v>
      </c>
      <c r="I23" s="21">
        <v>84793.82</v>
      </c>
      <c r="J23" s="21">
        <v>77000</v>
      </c>
      <c r="K23" s="23"/>
      <c r="L23" s="21">
        <v>77000</v>
      </c>
      <c r="M23" s="21">
        <v>77000</v>
      </c>
      <c r="N23" s="21">
        <v>77000</v>
      </c>
      <c r="O23" s="21">
        <f>80000-3000</f>
        <v>77000</v>
      </c>
      <c r="P23" s="21">
        <f>+L23-J23</f>
        <v>0</v>
      </c>
      <c r="Q23" s="21">
        <f>+N23-O23</f>
        <v>0</v>
      </c>
    </row>
    <row r="24" spans="1:17" x14ac:dyDescent="0.25">
      <c r="A24" s="176" t="s">
        <v>76</v>
      </c>
      <c r="B24" s="176"/>
      <c r="C24" s="176"/>
      <c r="D24" s="24">
        <f t="shared" ref="D24" si="8">SUM(D22:D23)</f>
        <v>92100</v>
      </c>
      <c r="E24" s="72">
        <f>SUM(E22:E23)</f>
        <v>76942</v>
      </c>
      <c r="F24" s="24">
        <f t="shared" ref="F24" si="9">SUM(F22:F23)</f>
        <v>82100</v>
      </c>
      <c r="G24" s="24">
        <f>SUM(G22:G23)</f>
        <v>57551.6</v>
      </c>
      <c r="H24" s="24">
        <f t="shared" ref="H24:J24" si="10">SUM(H22:H23)</f>
        <v>82100</v>
      </c>
      <c r="I24" s="24">
        <f t="shared" si="10"/>
        <v>84793.82</v>
      </c>
      <c r="J24" s="24">
        <f t="shared" si="10"/>
        <v>78250</v>
      </c>
      <c r="K24" s="26"/>
      <c r="L24" s="24">
        <f t="shared" ref="L24:O24" si="11">SUM(L22:L23)</f>
        <v>77000</v>
      </c>
      <c r="M24" s="24">
        <f t="shared" si="11"/>
        <v>77000</v>
      </c>
      <c r="N24" s="24">
        <f t="shared" si="11"/>
        <v>77000</v>
      </c>
      <c r="O24" s="24">
        <f t="shared" si="11"/>
        <v>78250</v>
      </c>
      <c r="P24" s="24">
        <f>SUM(P22:P23)</f>
        <v>-1250</v>
      </c>
      <c r="Q24" s="24">
        <f>SUM(Q22:Q23)</f>
        <v>-1250</v>
      </c>
    </row>
    <row r="25" spans="1:17" x14ac:dyDescent="0.25">
      <c r="A25" s="175" t="s">
        <v>133</v>
      </c>
      <c r="B25" s="175"/>
      <c r="C25" s="175"/>
      <c r="D25" s="27"/>
      <c r="E25" s="73"/>
      <c r="F25" s="27"/>
      <c r="G25" s="27"/>
      <c r="H25" s="27"/>
      <c r="I25" s="27"/>
      <c r="J25" s="27"/>
      <c r="K25" s="29"/>
      <c r="L25" s="27"/>
      <c r="M25" s="27"/>
      <c r="N25" s="27"/>
      <c r="O25" s="27"/>
      <c r="P25" s="30"/>
      <c r="Q25" s="30"/>
    </row>
    <row r="26" spans="1:17" x14ac:dyDescent="0.25">
      <c r="A26" s="50" t="s">
        <v>130</v>
      </c>
      <c r="B26" s="20" t="s">
        <v>134</v>
      </c>
      <c r="C26" s="20" t="s">
        <v>135</v>
      </c>
      <c r="D26" s="21">
        <v>200</v>
      </c>
      <c r="E26" s="21">
        <v>0</v>
      </c>
      <c r="F26" s="21">
        <v>0</v>
      </c>
      <c r="G26" s="21">
        <v>0</v>
      </c>
      <c r="H26" s="21">
        <v>0</v>
      </c>
      <c r="I26" s="21">
        <v>0</v>
      </c>
      <c r="J26" s="21">
        <v>0</v>
      </c>
      <c r="K26" s="29"/>
      <c r="L26" s="21">
        <v>0</v>
      </c>
      <c r="M26" s="21">
        <v>0</v>
      </c>
      <c r="N26" s="21">
        <v>0</v>
      </c>
      <c r="O26" s="21">
        <v>0</v>
      </c>
      <c r="P26" s="21">
        <f>+L26-J26</f>
        <v>0</v>
      </c>
      <c r="Q26" s="21">
        <f>+N26-O26</f>
        <v>0</v>
      </c>
    </row>
    <row r="27" spans="1:17" x14ac:dyDescent="0.25">
      <c r="A27" s="176" t="s">
        <v>136</v>
      </c>
      <c r="B27" s="176"/>
      <c r="C27" s="176"/>
      <c r="D27" s="24">
        <f t="shared" ref="D27:F27" si="12">SUM(D26:D26)</f>
        <v>200</v>
      </c>
      <c r="E27" s="72">
        <f t="shared" si="12"/>
        <v>0</v>
      </c>
      <c r="F27" s="24">
        <f t="shared" si="12"/>
        <v>0</v>
      </c>
      <c r="G27" s="24">
        <f>SUM(G26:G26)</f>
        <v>0</v>
      </c>
      <c r="H27" s="24">
        <f t="shared" ref="H27:J27" si="13">SUM(H26:H26)</f>
        <v>0</v>
      </c>
      <c r="I27" s="24">
        <f t="shared" si="13"/>
        <v>0</v>
      </c>
      <c r="J27" s="24">
        <f t="shared" si="13"/>
        <v>0</v>
      </c>
      <c r="K27" s="29"/>
      <c r="L27" s="24">
        <f t="shared" ref="L27:Q27" si="14">SUM(L26:L26)</f>
        <v>0</v>
      </c>
      <c r="M27" s="24">
        <f t="shared" si="14"/>
        <v>0</v>
      </c>
      <c r="N27" s="24">
        <f t="shared" si="14"/>
        <v>0</v>
      </c>
      <c r="O27" s="24">
        <f t="shared" si="14"/>
        <v>0</v>
      </c>
      <c r="P27" s="24">
        <f t="shared" si="14"/>
        <v>0</v>
      </c>
      <c r="Q27" s="24">
        <f t="shared" si="14"/>
        <v>0</v>
      </c>
    </row>
    <row r="28" spans="1:17" x14ac:dyDescent="0.25">
      <c r="A28" s="175" t="s">
        <v>45</v>
      </c>
      <c r="B28" s="175"/>
      <c r="C28" s="175"/>
      <c r="D28" s="27"/>
      <c r="E28" s="73"/>
      <c r="F28" s="27"/>
      <c r="G28" s="27"/>
      <c r="H28" s="27"/>
      <c r="I28" s="27"/>
      <c r="J28" s="27"/>
      <c r="K28" s="29"/>
      <c r="L28" s="27"/>
      <c r="M28" s="27"/>
      <c r="N28" s="27"/>
      <c r="O28" s="27"/>
      <c r="P28" s="30"/>
      <c r="Q28" s="30"/>
    </row>
    <row r="29" spans="1:17" x14ac:dyDescent="0.25">
      <c r="A29" s="50" t="s">
        <v>130</v>
      </c>
      <c r="B29" s="20" t="s">
        <v>22</v>
      </c>
      <c r="C29" s="20" t="s">
        <v>23</v>
      </c>
      <c r="D29" s="21">
        <v>250</v>
      </c>
      <c r="E29" s="21">
        <v>0</v>
      </c>
      <c r="F29" s="21">
        <v>250</v>
      </c>
      <c r="G29" s="21">
        <v>4338.28</v>
      </c>
      <c r="H29" s="21">
        <v>250</v>
      </c>
      <c r="I29" s="21">
        <v>519.79999999999995</v>
      </c>
      <c r="J29" s="21">
        <v>1250</v>
      </c>
      <c r="K29" s="29"/>
      <c r="L29" s="21">
        <v>1250</v>
      </c>
      <c r="M29" s="21">
        <v>1250</v>
      </c>
      <c r="N29" s="21">
        <v>1250</v>
      </c>
      <c r="O29" s="21">
        <f>250+1000</f>
        <v>1250</v>
      </c>
      <c r="P29" s="21">
        <f>+L29-J29</f>
        <v>0</v>
      </c>
      <c r="Q29" s="21">
        <f>+N29-O29</f>
        <v>0</v>
      </c>
    </row>
    <row r="30" spans="1:17" x14ac:dyDescent="0.25">
      <c r="A30" s="50" t="s">
        <v>130</v>
      </c>
      <c r="B30" s="20" t="s">
        <v>46</v>
      </c>
      <c r="C30" s="20" t="s">
        <v>47</v>
      </c>
      <c r="D30" s="21">
        <v>640</v>
      </c>
      <c r="E30" s="21">
        <v>3561.56</v>
      </c>
      <c r="F30" s="21">
        <v>640</v>
      </c>
      <c r="G30" s="21">
        <v>911</v>
      </c>
      <c r="H30" s="21">
        <v>640</v>
      </c>
      <c r="I30" s="21">
        <v>2036.2</v>
      </c>
      <c r="J30" s="21">
        <v>1140</v>
      </c>
      <c r="K30" s="29"/>
      <c r="L30" s="21">
        <v>2000</v>
      </c>
      <c r="M30" s="21">
        <v>2000</v>
      </c>
      <c r="N30" s="21">
        <v>2000</v>
      </c>
      <c r="O30" s="21">
        <f>640+500</f>
        <v>1140</v>
      </c>
      <c r="P30" s="21">
        <f>+L30-J30</f>
        <v>860</v>
      </c>
      <c r="Q30" s="21">
        <f>+N30-O30</f>
        <v>860</v>
      </c>
    </row>
    <row r="31" spans="1:17" x14ac:dyDescent="0.25">
      <c r="A31" s="50" t="s">
        <v>130</v>
      </c>
      <c r="B31" s="20" t="s">
        <v>24</v>
      </c>
      <c r="C31" s="20" t="s">
        <v>25</v>
      </c>
      <c r="D31" s="21">
        <v>3800</v>
      </c>
      <c r="E31" s="21">
        <v>2694.09</v>
      </c>
      <c r="F31" s="21">
        <v>3800</v>
      </c>
      <c r="G31" s="21">
        <v>1831.2</v>
      </c>
      <c r="H31" s="21">
        <v>3800</v>
      </c>
      <c r="I31" s="21">
        <v>2139.8200000000002</v>
      </c>
      <c r="J31" s="21">
        <v>3600</v>
      </c>
      <c r="K31" s="29"/>
      <c r="L31" s="21">
        <v>3600</v>
      </c>
      <c r="M31" s="21">
        <v>3600</v>
      </c>
      <c r="N31" s="21">
        <v>3600</v>
      </c>
      <c r="O31" s="21">
        <f>3800-200</f>
        <v>3600</v>
      </c>
      <c r="P31" s="21">
        <f>+L31-J31</f>
        <v>0</v>
      </c>
      <c r="Q31" s="21">
        <f>+N31-O31</f>
        <v>0</v>
      </c>
    </row>
    <row r="32" spans="1:17" x14ac:dyDescent="0.25">
      <c r="A32" s="50" t="s">
        <v>130</v>
      </c>
      <c r="B32" s="20" t="s">
        <v>26</v>
      </c>
      <c r="C32" s="20" t="s">
        <v>27</v>
      </c>
      <c r="D32" s="21">
        <v>350</v>
      </c>
      <c r="E32" s="21">
        <v>129.28</v>
      </c>
      <c r="F32" s="21">
        <v>350</v>
      </c>
      <c r="G32" s="21">
        <v>1481.18</v>
      </c>
      <c r="H32" s="21">
        <v>350</v>
      </c>
      <c r="I32" s="21">
        <v>542.99</v>
      </c>
      <c r="J32" s="21">
        <v>350</v>
      </c>
      <c r="K32" s="29"/>
      <c r="L32" s="21">
        <v>500</v>
      </c>
      <c r="M32" s="21">
        <v>500</v>
      </c>
      <c r="N32" s="21">
        <v>500</v>
      </c>
      <c r="O32" s="21">
        <v>350</v>
      </c>
      <c r="P32" s="21">
        <f>+L32-J32</f>
        <v>150</v>
      </c>
      <c r="Q32" s="21">
        <f>+N32-O32</f>
        <v>150</v>
      </c>
    </row>
    <row r="33" spans="1:17" x14ac:dyDescent="0.25">
      <c r="A33" s="177" t="s">
        <v>85</v>
      </c>
      <c r="B33" s="177"/>
      <c r="C33" s="177"/>
      <c r="D33" s="24">
        <f t="shared" ref="D33:F33" si="15">SUM(D29:D32)</f>
        <v>5040</v>
      </c>
      <c r="E33" s="72">
        <f t="shared" si="15"/>
        <v>6384.9299999999994</v>
      </c>
      <c r="F33" s="24">
        <f t="shared" si="15"/>
        <v>5040</v>
      </c>
      <c r="G33" s="24">
        <f>SUM(G29:G32)</f>
        <v>8561.66</v>
      </c>
      <c r="H33" s="24">
        <f t="shared" ref="H33:J33" si="16">SUM(H29:H32)</f>
        <v>5040</v>
      </c>
      <c r="I33" s="24">
        <f t="shared" si="16"/>
        <v>5238.8099999999995</v>
      </c>
      <c r="J33" s="24">
        <f t="shared" si="16"/>
        <v>6340</v>
      </c>
      <c r="K33" s="29"/>
      <c r="L33" s="24">
        <f>SUM(L29:L32)</f>
        <v>7350</v>
      </c>
      <c r="M33" s="24">
        <f t="shared" ref="M33:Q33" si="17">SUM(M29:M32)</f>
        <v>7350</v>
      </c>
      <c r="N33" s="24">
        <f t="shared" si="17"/>
        <v>7350</v>
      </c>
      <c r="O33" s="24">
        <f t="shared" si="17"/>
        <v>6340</v>
      </c>
      <c r="P33" s="24">
        <f t="shared" si="17"/>
        <v>1010</v>
      </c>
      <c r="Q33" s="24">
        <f t="shared" si="17"/>
        <v>1010</v>
      </c>
    </row>
    <row r="34" spans="1:17" x14ac:dyDescent="0.25">
      <c r="A34" s="175" t="s">
        <v>30</v>
      </c>
      <c r="B34" s="175"/>
      <c r="C34" s="175"/>
      <c r="D34" s="27"/>
      <c r="E34" s="73"/>
      <c r="F34" s="27"/>
      <c r="G34" s="27"/>
      <c r="H34" s="27"/>
      <c r="I34" s="27"/>
      <c r="J34" s="27"/>
      <c r="K34" s="29"/>
      <c r="L34" s="27"/>
      <c r="M34" s="27"/>
      <c r="N34" s="27"/>
      <c r="O34" s="27"/>
      <c r="P34" s="30"/>
      <c r="Q34" s="30"/>
    </row>
    <row r="35" spans="1:17" s="4" customFormat="1" x14ac:dyDescent="0.25">
      <c r="A35" s="31" t="s">
        <v>130</v>
      </c>
      <c r="B35" s="33" t="s">
        <v>31</v>
      </c>
      <c r="C35" s="33" t="s">
        <v>32</v>
      </c>
      <c r="D35" s="62">
        <v>0</v>
      </c>
      <c r="E35" s="67">
        <v>0</v>
      </c>
      <c r="F35" s="62">
        <v>0</v>
      </c>
      <c r="G35" s="62">
        <v>0</v>
      </c>
      <c r="H35" s="62">
        <v>0</v>
      </c>
      <c r="I35" s="62">
        <v>0</v>
      </c>
      <c r="J35" s="62">
        <v>0</v>
      </c>
      <c r="K35" s="29"/>
      <c r="L35" s="62">
        <v>1150</v>
      </c>
      <c r="M35" s="62">
        <v>1150</v>
      </c>
      <c r="N35" s="62">
        <v>1150</v>
      </c>
      <c r="O35" s="62">
        <v>0</v>
      </c>
      <c r="P35" s="34">
        <f>+L35-J35</f>
        <v>1150</v>
      </c>
      <c r="Q35" s="34">
        <f>+N35-O35</f>
        <v>1150</v>
      </c>
    </row>
    <row r="36" spans="1:17" x14ac:dyDescent="0.25">
      <c r="A36" s="50" t="s">
        <v>130</v>
      </c>
      <c r="B36" s="20" t="s">
        <v>51</v>
      </c>
      <c r="C36" s="20" t="s">
        <v>48</v>
      </c>
      <c r="D36" s="21">
        <v>685</v>
      </c>
      <c r="E36" s="21">
        <v>1402.57</v>
      </c>
      <c r="F36" s="21">
        <v>685</v>
      </c>
      <c r="G36" s="21">
        <v>593.36</v>
      </c>
      <c r="H36" s="21">
        <v>685</v>
      </c>
      <c r="I36" s="21">
        <v>1161.7</v>
      </c>
      <c r="J36" s="21">
        <v>685</v>
      </c>
      <c r="K36" s="29"/>
      <c r="L36" s="21">
        <v>0</v>
      </c>
      <c r="M36" s="21">
        <v>0</v>
      </c>
      <c r="N36" s="21">
        <v>0</v>
      </c>
      <c r="O36" s="21">
        <v>685</v>
      </c>
      <c r="P36" s="21">
        <f>+L36-J36</f>
        <v>-685</v>
      </c>
      <c r="Q36" s="21">
        <f>+N36-O36</f>
        <v>-685</v>
      </c>
    </row>
    <row r="37" spans="1:17" x14ac:dyDescent="0.25">
      <c r="A37" s="50" t="s">
        <v>130</v>
      </c>
      <c r="B37" s="20" t="s">
        <v>52</v>
      </c>
      <c r="C37" s="20" t="s">
        <v>49</v>
      </c>
      <c r="D37" s="21">
        <v>1000</v>
      </c>
      <c r="E37" s="21">
        <v>1103.03</v>
      </c>
      <c r="F37" s="21">
        <v>1000</v>
      </c>
      <c r="G37" s="21">
        <v>4456.6400000000003</v>
      </c>
      <c r="H37" s="21">
        <v>1000</v>
      </c>
      <c r="I37" s="21">
        <v>1385.06</v>
      </c>
      <c r="J37" s="21">
        <v>1250</v>
      </c>
      <c r="K37" s="29"/>
      <c r="L37" s="21">
        <v>1250</v>
      </c>
      <c r="M37" s="21">
        <v>1250</v>
      </c>
      <c r="N37" s="21">
        <v>1250</v>
      </c>
      <c r="O37" s="21">
        <f>1000+250</f>
        <v>1250</v>
      </c>
      <c r="P37" s="21">
        <f>+L37-J37</f>
        <v>0</v>
      </c>
      <c r="Q37" s="21">
        <f>+N37-O37</f>
        <v>0</v>
      </c>
    </row>
    <row r="38" spans="1:17" x14ac:dyDescent="0.25">
      <c r="A38" s="50" t="s">
        <v>130</v>
      </c>
      <c r="B38" s="20" t="s">
        <v>137</v>
      </c>
      <c r="C38" s="20" t="s">
        <v>138</v>
      </c>
      <c r="D38" s="21">
        <v>100</v>
      </c>
      <c r="E38" s="21">
        <v>0</v>
      </c>
      <c r="F38" s="21">
        <v>100</v>
      </c>
      <c r="G38" s="21">
        <v>0</v>
      </c>
      <c r="H38" s="21">
        <v>100</v>
      </c>
      <c r="I38" s="21">
        <v>0</v>
      </c>
      <c r="J38" s="21">
        <v>0</v>
      </c>
      <c r="K38" s="29"/>
      <c r="L38" s="21">
        <v>0</v>
      </c>
      <c r="M38" s="21">
        <v>0</v>
      </c>
      <c r="N38" s="21">
        <v>0</v>
      </c>
      <c r="O38" s="21">
        <v>0</v>
      </c>
      <c r="P38" s="21">
        <f>+L38-J38</f>
        <v>0</v>
      </c>
      <c r="Q38" s="21">
        <f>+N38-O38</f>
        <v>0</v>
      </c>
    </row>
    <row r="39" spans="1:17" x14ac:dyDescent="0.25">
      <c r="A39" s="177" t="s">
        <v>77</v>
      </c>
      <c r="B39" s="177"/>
      <c r="C39" s="177"/>
      <c r="D39" s="24">
        <f>SUM(D35:D38)</f>
        <v>1785</v>
      </c>
      <c r="E39" s="24">
        <f t="shared" ref="E39:Q39" si="18">SUM(E35:E38)</f>
        <v>2505.6</v>
      </c>
      <c r="F39" s="24">
        <f t="shared" si="18"/>
        <v>1785</v>
      </c>
      <c r="G39" s="24">
        <f t="shared" si="18"/>
        <v>5050</v>
      </c>
      <c r="H39" s="24">
        <f t="shared" si="18"/>
        <v>1785</v>
      </c>
      <c r="I39" s="24">
        <f t="shared" si="18"/>
        <v>2546.7600000000002</v>
      </c>
      <c r="J39" s="24">
        <f t="shared" si="18"/>
        <v>1935</v>
      </c>
      <c r="K39" s="29"/>
      <c r="L39" s="24">
        <f t="shared" ref="L39:O39" si="19">SUM(L35:L38)</f>
        <v>2400</v>
      </c>
      <c r="M39" s="24">
        <f t="shared" si="19"/>
        <v>2400</v>
      </c>
      <c r="N39" s="24">
        <f t="shared" si="19"/>
        <v>2400</v>
      </c>
      <c r="O39" s="24">
        <f t="shared" si="19"/>
        <v>1935</v>
      </c>
      <c r="P39" s="24">
        <f t="shared" si="18"/>
        <v>465</v>
      </c>
      <c r="Q39" s="24">
        <f t="shared" si="18"/>
        <v>465</v>
      </c>
    </row>
    <row r="40" spans="1:17" x14ac:dyDescent="0.25">
      <c r="A40" s="178" t="s">
        <v>78</v>
      </c>
      <c r="B40" s="178"/>
      <c r="C40" s="178"/>
      <c r="D40" s="40">
        <f t="shared" ref="D40" si="20">D13+D20+D24+D27+D33+D39</f>
        <v>408635</v>
      </c>
      <c r="E40" s="40">
        <f>E13+E20+E24+E27+E33+E39</f>
        <v>399272.98999999993</v>
      </c>
      <c r="F40" s="40">
        <f t="shared" ref="F40" si="21">F13+F20+F24+F27+F33+F39</f>
        <v>436434</v>
      </c>
      <c r="G40" s="40">
        <f>G13+G20+G24+G27+G33+G39</f>
        <v>393164.86</v>
      </c>
      <c r="H40" s="40">
        <f t="shared" ref="H40:J40" si="22">H13+H20+H24+H27+H33+H39</f>
        <v>440852</v>
      </c>
      <c r="I40" s="40">
        <f t="shared" si="22"/>
        <v>370551.62</v>
      </c>
      <c r="J40" s="40">
        <f t="shared" si="22"/>
        <v>448270</v>
      </c>
      <c r="K40" s="29"/>
      <c r="L40" s="40">
        <f>L13+L20+L24+L27+L33+L39</f>
        <v>464835</v>
      </c>
      <c r="M40" s="40">
        <f t="shared" ref="M40:O40" si="23">M13+M20+M24+M27+M33+M39</f>
        <v>464835</v>
      </c>
      <c r="N40" s="40">
        <f t="shared" si="23"/>
        <v>464835</v>
      </c>
      <c r="O40" s="40">
        <f t="shared" si="23"/>
        <v>464008</v>
      </c>
      <c r="P40" s="40">
        <f>P13+P20+P24+P27+P33+P39</f>
        <v>16565</v>
      </c>
      <c r="Q40" s="40">
        <f>Q13+Q20+Q24+Q27+Q33+Q39</f>
        <v>827</v>
      </c>
    </row>
    <row r="41" spans="1:17" x14ac:dyDescent="0.25">
      <c r="A41" s="178" t="s">
        <v>139</v>
      </c>
      <c r="B41" s="178"/>
      <c r="C41" s="178"/>
      <c r="D41" s="40">
        <f t="shared" ref="D41:E42" si="24">D40</f>
        <v>408635</v>
      </c>
      <c r="E41" s="75">
        <f>E40</f>
        <v>399272.98999999993</v>
      </c>
      <c r="F41" s="40">
        <f t="shared" ref="F41:J42" si="25">F40</f>
        <v>436434</v>
      </c>
      <c r="G41" s="40">
        <f t="shared" si="25"/>
        <v>393164.86</v>
      </c>
      <c r="H41" s="40">
        <f t="shared" si="25"/>
        <v>440852</v>
      </c>
      <c r="I41" s="40">
        <f t="shared" si="25"/>
        <v>370551.62</v>
      </c>
      <c r="J41" s="40">
        <f t="shared" si="25"/>
        <v>448270</v>
      </c>
      <c r="K41" s="29"/>
      <c r="L41" s="40">
        <f t="shared" ref="L41:Q42" si="26">L40</f>
        <v>464835</v>
      </c>
      <c r="M41" s="40">
        <f t="shared" si="26"/>
        <v>464835</v>
      </c>
      <c r="N41" s="40">
        <f t="shared" si="26"/>
        <v>464835</v>
      </c>
      <c r="O41" s="40">
        <f t="shared" si="26"/>
        <v>464008</v>
      </c>
      <c r="P41" s="40">
        <f t="shared" si="26"/>
        <v>16565</v>
      </c>
      <c r="Q41" s="40">
        <f t="shared" si="26"/>
        <v>827</v>
      </c>
    </row>
    <row r="42" spans="1:17" x14ac:dyDescent="0.25">
      <c r="A42" s="179" t="s">
        <v>80</v>
      </c>
      <c r="B42" s="179"/>
      <c r="C42" s="179"/>
      <c r="D42" s="41">
        <f t="shared" si="24"/>
        <v>408635</v>
      </c>
      <c r="E42" s="76">
        <f t="shared" si="24"/>
        <v>399272.98999999993</v>
      </c>
      <c r="F42" s="41">
        <f t="shared" si="25"/>
        <v>436434</v>
      </c>
      <c r="G42" s="41">
        <f t="shared" si="25"/>
        <v>393164.86</v>
      </c>
      <c r="H42" s="41">
        <f t="shared" si="25"/>
        <v>440852</v>
      </c>
      <c r="I42" s="41">
        <f t="shared" si="25"/>
        <v>370551.62</v>
      </c>
      <c r="J42" s="41">
        <f t="shared" si="25"/>
        <v>448270</v>
      </c>
      <c r="K42" s="29"/>
      <c r="L42" s="41">
        <f t="shared" si="26"/>
        <v>464835</v>
      </c>
      <c r="M42" s="41">
        <f t="shared" si="26"/>
        <v>464835</v>
      </c>
      <c r="N42" s="41">
        <f t="shared" si="26"/>
        <v>464835</v>
      </c>
      <c r="O42" s="41">
        <f t="shared" si="26"/>
        <v>464008</v>
      </c>
      <c r="P42" s="41">
        <f t="shared" si="26"/>
        <v>16565</v>
      </c>
      <c r="Q42" s="41">
        <f t="shared" si="26"/>
        <v>827</v>
      </c>
    </row>
    <row r="43" spans="1:17" ht="9.75" customHeight="1" x14ac:dyDescent="0.25">
      <c r="D43" s="27"/>
      <c r="E43" s="73"/>
      <c r="F43" s="27"/>
      <c r="G43" s="27"/>
      <c r="H43" s="27"/>
      <c r="I43" s="27"/>
      <c r="J43" s="27"/>
      <c r="K43" s="29"/>
      <c r="L43" s="27"/>
      <c r="M43" s="27"/>
      <c r="N43" s="27"/>
      <c r="O43" s="27"/>
      <c r="P43" s="30"/>
      <c r="Q43" s="30"/>
    </row>
    <row r="44" spans="1:17" x14ac:dyDescent="0.25">
      <c r="A44" s="179" t="s">
        <v>81</v>
      </c>
      <c r="B44" s="179"/>
      <c r="C44" s="179"/>
      <c r="D44" s="41">
        <f t="shared" ref="D44:F44" si="27">D42</f>
        <v>408635</v>
      </c>
      <c r="E44" s="76">
        <f t="shared" si="27"/>
        <v>399272.98999999993</v>
      </c>
      <c r="F44" s="41">
        <f t="shared" si="27"/>
        <v>436434</v>
      </c>
      <c r="G44" s="41">
        <f>G42</f>
        <v>393164.86</v>
      </c>
      <c r="H44" s="41">
        <f t="shared" ref="H44:J44" si="28">H42</f>
        <v>440852</v>
      </c>
      <c r="I44" s="41">
        <f t="shared" si="28"/>
        <v>370551.62</v>
      </c>
      <c r="J44" s="41">
        <f t="shared" si="28"/>
        <v>448270</v>
      </c>
      <c r="K44" s="29"/>
      <c r="L44" s="41">
        <f t="shared" ref="L44:Q44" si="29">L42</f>
        <v>464835</v>
      </c>
      <c r="M44" s="41">
        <f t="shared" si="29"/>
        <v>464835</v>
      </c>
      <c r="N44" s="41">
        <f t="shared" si="29"/>
        <v>464835</v>
      </c>
      <c r="O44" s="41">
        <f t="shared" si="29"/>
        <v>464008</v>
      </c>
      <c r="P44" s="41">
        <f t="shared" si="29"/>
        <v>16565</v>
      </c>
      <c r="Q44" s="41">
        <f t="shared" si="29"/>
        <v>827</v>
      </c>
    </row>
    <row r="45" spans="1:17" x14ac:dyDescent="0.25">
      <c r="D45" s="69"/>
      <c r="E45" s="69"/>
      <c r="F45" s="69"/>
      <c r="G45" s="69"/>
      <c r="H45" s="69"/>
      <c r="I45" s="69"/>
      <c r="J45" s="30"/>
      <c r="K45" s="30"/>
      <c r="L45" s="30"/>
      <c r="M45" s="30"/>
      <c r="N45" s="30"/>
      <c r="O45" s="30"/>
      <c r="P45" s="30"/>
      <c r="Q45" s="30"/>
    </row>
    <row r="46" spans="1:17" x14ac:dyDescent="0.25">
      <c r="O46" s="97"/>
    </row>
    <row r="54" spans="12:15" x14ac:dyDescent="0.25">
      <c r="L54" s="3">
        <f t="shared" ref="L54:O54" si="30">SUM(L47:L53)</f>
        <v>0</v>
      </c>
      <c r="M54" s="3">
        <f t="shared" si="30"/>
        <v>0</v>
      </c>
      <c r="N54" s="3">
        <f t="shared" si="30"/>
        <v>0</v>
      </c>
      <c r="O54" s="3">
        <f t="shared" si="30"/>
        <v>0</v>
      </c>
    </row>
  </sheetData>
  <mergeCells count="21">
    <mergeCell ref="A41:C41"/>
    <mergeCell ref="A42:C42"/>
    <mergeCell ref="A44:C44"/>
    <mergeCell ref="A27:C27"/>
    <mergeCell ref="A28:C28"/>
    <mergeCell ref="A33:C33"/>
    <mergeCell ref="A34:C34"/>
    <mergeCell ref="A39:C39"/>
    <mergeCell ref="A40:C40"/>
    <mergeCell ref="A25:C25"/>
    <mergeCell ref="A1:Q1"/>
    <mergeCell ref="A5:C5"/>
    <mergeCell ref="A6:C6"/>
    <mergeCell ref="A7:C7"/>
    <mergeCell ref="A8:C8"/>
    <mergeCell ref="A9:C9"/>
    <mergeCell ref="A13:C13"/>
    <mergeCell ref="A14:C14"/>
    <mergeCell ref="A20:C20"/>
    <mergeCell ref="A21:C21"/>
    <mergeCell ref="A24:C24"/>
  </mergeCells>
  <printOptions horizontalCentered="1" verticalCentered="1"/>
  <pageMargins left="0.7" right="0.7" top="0.75" bottom="0.75" header="0.3" footer="0.3"/>
  <pageSetup scale="60" fitToHeight="0" orientation="landscape" r:id="rId1"/>
  <headerFooter>
    <oddFooter>&amp;RBudget Kick Off - 11.01.25</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FB928-743B-4FCD-9027-294786B0FFE3}">
  <sheetPr codeName="Sheet11">
    <tabColor rgb="FF92D050"/>
    <pageSetUpPr fitToPage="1"/>
  </sheetPr>
  <dimension ref="A1:Q48"/>
  <sheetViews>
    <sheetView zoomScaleNormal="100" workbookViewId="0">
      <selection activeCell="C13" sqref="C13"/>
    </sheetView>
  </sheetViews>
  <sheetFormatPr defaultColWidth="9.109375" defaultRowHeight="14.4" x14ac:dyDescent="0.3"/>
  <cols>
    <col min="1" max="1" width="5" style="3" bestFit="1" customWidth="1"/>
    <col min="2" max="2" width="14.33203125" style="3" bestFit="1" customWidth="1"/>
    <col min="3" max="3" width="20.33203125" style="3" bestFit="1" customWidth="1"/>
    <col min="4" max="4" width="12" style="3" customWidth="1"/>
    <col min="5" max="5" width="11" style="3" customWidth="1"/>
    <col min="6" max="6" width="11.44140625" style="3" customWidth="1"/>
    <col min="7" max="7" width="11.88671875" style="3" customWidth="1"/>
    <col min="8" max="8" width="12" style="3" bestFit="1" customWidth="1"/>
    <col min="9" max="9" width="12" style="3" customWidth="1"/>
    <col min="10" max="10" width="11" style="51" bestFit="1" customWidth="1"/>
    <col min="11" max="11" width="0.44140625" style="51" customWidth="1"/>
    <col min="12" max="12" width="12" style="51" bestFit="1" customWidth="1"/>
    <col min="13" max="13" width="12.5546875" style="51" bestFit="1" customWidth="1"/>
    <col min="14" max="14" width="15" style="77" bestFit="1" customWidth="1"/>
    <col min="15" max="15" width="11.6640625" style="77" bestFit="1" customWidth="1"/>
    <col min="16" max="16" width="11.88671875" bestFit="1" customWidth="1"/>
    <col min="17" max="17" width="12.44140625" bestFit="1" customWidth="1"/>
    <col min="18" max="16384" width="9.109375" style="3"/>
  </cols>
  <sheetData>
    <row r="1" spans="1:17" ht="75" customHeight="1" x14ac:dyDescent="0.3">
      <c r="A1" s="170"/>
      <c r="B1" s="186"/>
      <c r="C1" s="186"/>
      <c r="D1" s="186"/>
      <c r="E1" s="186"/>
      <c r="F1" s="186"/>
      <c r="G1" s="186"/>
      <c r="H1" s="186"/>
      <c r="I1" s="186"/>
      <c r="J1" s="186"/>
      <c r="K1" s="186"/>
      <c r="L1" s="186"/>
      <c r="M1" s="186"/>
      <c r="N1" s="186"/>
      <c r="O1" s="186"/>
      <c r="P1" s="2"/>
    </row>
    <row r="2" spans="1:17" ht="6" customHeight="1" x14ac:dyDescent="0.3"/>
    <row r="3" spans="1:17" s="66" customFormat="1" ht="39.6" x14ac:dyDescent="0.25">
      <c r="A3" s="7"/>
      <c r="B3" s="7" t="s">
        <v>0</v>
      </c>
      <c r="C3" s="7" t="s">
        <v>1</v>
      </c>
      <c r="D3" s="7" t="s">
        <v>3</v>
      </c>
      <c r="E3" s="7" t="s">
        <v>2</v>
      </c>
      <c r="F3" s="7" t="s">
        <v>4</v>
      </c>
      <c r="G3" s="7" t="s">
        <v>5</v>
      </c>
      <c r="H3" s="7" t="s">
        <v>6</v>
      </c>
      <c r="I3" s="7" t="s">
        <v>7</v>
      </c>
      <c r="J3" s="78" t="s">
        <v>8</v>
      </c>
      <c r="K3" s="79"/>
      <c r="L3" s="78" t="s">
        <v>64</v>
      </c>
      <c r="M3" s="78" t="s">
        <v>65</v>
      </c>
      <c r="N3" s="78" t="s">
        <v>66</v>
      </c>
      <c r="O3" s="78" t="s">
        <v>9</v>
      </c>
      <c r="P3" s="7" t="s">
        <v>67</v>
      </c>
      <c r="Q3" s="7" t="s">
        <v>68</v>
      </c>
    </row>
    <row r="4" spans="1:17" ht="6" customHeight="1" x14ac:dyDescent="0.3">
      <c r="K4" s="79"/>
    </row>
    <row r="5" spans="1:17" x14ac:dyDescent="0.3">
      <c r="A5" s="12" t="s">
        <v>69</v>
      </c>
      <c r="B5" s="12"/>
      <c r="C5" s="12"/>
      <c r="D5" s="12"/>
      <c r="E5" s="12"/>
      <c r="F5" s="12"/>
      <c r="K5" s="79"/>
    </row>
    <row r="6" spans="1:17" x14ac:dyDescent="0.3">
      <c r="A6" s="80" t="s">
        <v>70</v>
      </c>
      <c r="B6" s="80"/>
      <c r="C6" s="80"/>
      <c r="D6" s="80"/>
      <c r="E6" s="80"/>
      <c r="F6" s="80"/>
      <c r="K6" s="79"/>
    </row>
    <row r="7" spans="1:17" x14ac:dyDescent="0.3">
      <c r="A7" s="12" t="s">
        <v>140</v>
      </c>
      <c r="B7" s="12"/>
      <c r="C7" s="12"/>
      <c r="D7" s="12"/>
      <c r="E7" s="12"/>
      <c r="F7" s="12"/>
      <c r="K7" s="79"/>
    </row>
    <row r="8" spans="1:17" x14ac:dyDescent="0.3">
      <c r="A8" s="12" t="s">
        <v>72</v>
      </c>
      <c r="B8" s="12"/>
      <c r="C8" s="12"/>
      <c r="D8" s="12"/>
      <c r="E8" s="12"/>
      <c r="F8" s="12"/>
      <c r="K8" s="79"/>
    </row>
    <row r="9" spans="1:17" x14ac:dyDescent="0.3">
      <c r="A9" s="175" t="s">
        <v>11</v>
      </c>
      <c r="B9" s="175"/>
      <c r="C9" s="175"/>
      <c r="D9" s="17"/>
      <c r="E9" s="17"/>
      <c r="F9" s="17"/>
      <c r="G9" s="17"/>
      <c r="H9" s="17"/>
      <c r="K9" s="81"/>
      <c r="N9" s="51"/>
      <c r="O9" s="51"/>
    </row>
    <row r="10" spans="1:17" ht="13.8" x14ac:dyDescent="0.25">
      <c r="A10" s="50" t="s">
        <v>141</v>
      </c>
      <c r="B10" s="19" t="s">
        <v>35</v>
      </c>
      <c r="C10" s="20" t="s">
        <v>36</v>
      </c>
      <c r="D10" s="21">
        <v>0</v>
      </c>
      <c r="E10" s="21">
        <v>0</v>
      </c>
      <c r="F10" s="21">
        <v>0</v>
      </c>
      <c r="G10" s="21">
        <v>0</v>
      </c>
      <c r="H10" s="21">
        <v>0</v>
      </c>
      <c r="I10" s="21">
        <v>0</v>
      </c>
      <c r="J10" s="21">
        <v>0</v>
      </c>
      <c r="K10" s="23"/>
      <c r="L10" s="21">
        <v>267500</v>
      </c>
      <c r="M10" s="21">
        <v>267500</v>
      </c>
      <c r="N10" s="21">
        <v>241007</v>
      </c>
      <c r="O10" s="21">
        <v>0</v>
      </c>
      <c r="P10" s="21">
        <f>+N10-J10</f>
        <v>241007</v>
      </c>
      <c r="Q10" s="21">
        <f>+N10-O10</f>
        <v>241007</v>
      </c>
    </row>
    <row r="11" spans="1:17" ht="13.8" x14ac:dyDescent="0.25">
      <c r="A11" s="177" t="s">
        <v>74</v>
      </c>
      <c r="B11" s="177"/>
      <c r="C11" s="177"/>
      <c r="D11" s="24">
        <f t="shared" ref="D11:J11" si="0">SUM(D10:D10)</f>
        <v>0</v>
      </c>
      <c r="E11" s="24">
        <f t="shared" si="0"/>
        <v>0</v>
      </c>
      <c r="F11" s="24">
        <f t="shared" si="0"/>
        <v>0</v>
      </c>
      <c r="G11" s="24">
        <f t="shared" si="0"/>
        <v>0</v>
      </c>
      <c r="H11" s="24">
        <f t="shared" si="0"/>
        <v>0</v>
      </c>
      <c r="I11" s="24">
        <f t="shared" si="0"/>
        <v>0</v>
      </c>
      <c r="J11" s="24">
        <f t="shared" si="0"/>
        <v>0</v>
      </c>
      <c r="K11" s="26"/>
      <c r="L11" s="24">
        <f t="shared" ref="L11:Q11" si="1">SUM(L10:L10)</f>
        <v>267500</v>
      </c>
      <c r="M11" s="24">
        <f t="shared" si="1"/>
        <v>267500</v>
      </c>
      <c r="N11" s="24">
        <f t="shared" si="1"/>
        <v>241007</v>
      </c>
      <c r="O11" s="24">
        <f t="shared" si="1"/>
        <v>0</v>
      </c>
      <c r="P11" s="24">
        <f t="shared" si="1"/>
        <v>241007</v>
      </c>
      <c r="Q11" s="24">
        <f t="shared" si="1"/>
        <v>241007</v>
      </c>
    </row>
    <row r="12" spans="1:17" ht="13.8" x14ac:dyDescent="0.25">
      <c r="A12" s="175" t="s">
        <v>14</v>
      </c>
      <c r="B12" s="175"/>
      <c r="C12" s="175"/>
      <c r="D12" s="27"/>
      <c r="E12" s="27"/>
      <c r="F12" s="27"/>
      <c r="G12" s="27"/>
      <c r="H12" s="27"/>
      <c r="I12" s="27"/>
      <c r="J12" s="27"/>
      <c r="K12" s="29"/>
      <c r="L12" s="27"/>
      <c r="M12" s="27"/>
      <c r="N12" s="27"/>
      <c r="O12" s="27"/>
      <c r="P12" s="30"/>
      <c r="Q12" s="30"/>
    </row>
    <row r="13" spans="1:17" ht="13.8" x14ac:dyDescent="0.25">
      <c r="A13" s="50" t="s">
        <v>141</v>
      </c>
      <c r="B13" s="19" t="s">
        <v>41</v>
      </c>
      <c r="C13" s="20" t="s">
        <v>42</v>
      </c>
      <c r="D13" s="21">
        <v>0</v>
      </c>
      <c r="E13" s="21">
        <v>0</v>
      </c>
      <c r="F13" s="21">
        <v>0</v>
      </c>
      <c r="G13" s="21">
        <v>0</v>
      </c>
      <c r="H13" s="21">
        <v>0</v>
      </c>
      <c r="I13" s="21">
        <v>0</v>
      </c>
      <c r="J13" s="21">
        <v>0</v>
      </c>
      <c r="K13" s="23"/>
      <c r="L13" s="21">
        <v>2142</v>
      </c>
      <c r="M13" s="21">
        <v>2142</v>
      </c>
      <c r="N13" s="21">
        <v>2142</v>
      </c>
      <c r="O13" s="21">
        <v>0</v>
      </c>
      <c r="P13" s="21">
        <f>+N13-J13</f>
        <v>2142</v>
      </c>
      <c r="Q13" s="21">
        <f>+N13-O13</f>
        <v>2142</v>
      </c>
    </row>
    <row r="14" spans="1:17" ht="13.8" x14ac:dyDescent="0.25">
      <c r="A14" s="50" t="s">
        <v>141</v>
      </c>
      <c r="B14" s="19" t="s">
        <v>15</v>
      </c>
      <c r="C14" s="20" t="s">
        <v>16</v>
      </c>
      <c r="D14" s="21">
        <v>0</v>
      </c>
      <c r="E14" s="21">
        <v>0</v>
      </c>
      <c r="F14" s="21">
        <v>0</v>
      </c>
      <c r="G14" s="21">
        <v>0</v>
      </c>
      <c r="H14" s="21">
        <v>0</v>
      </c>
      <c r="I14" s="21">
        <v>0</v>
      </c>
      <c r="J14" s="21">
        <v>0</v>
      </c>
      <c r="K14" s="23"/>
      <c r="L14" s="21">
        <v>16585</v>
      </c>
      <c r="M14" s="21">
        <v>16585</v>
      </c>
      <c r="N14" s="21">
        <v>14943</v>
      </c>
      <c r="O14" s="21">
        <v>0</v>
      </c>
      <c r="P14" s="21">
        <f>+N14-J14</f>
        <v>14943</v>
      </c>
      <c r="Q14" s="21">
        <f>+N14-O14</f>
        <v>14943</v>
      </c>
    </row>
    <row r="15" spans="1:17" ht="13.8" x14ac:dyDescent="0.25">
      <c r="A15" s="50" t="s">
        <v>141</v>
      </c>
      <c r="B15" s="19" t="s">
        <v>17</v>
      </c>
      <c r="C15" s="20" t="s">
        <v>18</v>
      </c>
      <c r="D15" s="21">
        <v>0</v>
      </c>
      <c r="E15" s="21">
        <v>0</v>
      </c>
      <c r="F15" s="21">
        <v>0</v>
      </c>
      <c r="G15" s="21">
        <v>0</v>
      </c>
      <c r="H15" s="21">
        <v>0</v>
      </c>
      <c r="I15" s="21">
        <v>0</v>
      </c>
      <c r="J15" s="21">
        <v>0</v>
      </c>
      <c r="K15" s="23"/>
      <c r="L15" s="21">
        <v>3879</v>
      </c>
      <c r="M15" s="21">
        <v>3879</v>
      </c>
      <c r="N15" s="21">
        <v>3495</v>
      </c>
      <c r="O15" s="21">
        <v>0</v>
      </c>
      <c r="P15" s="21">
        <f>+N15-J15</f>
        <v>3495</v>
      </c>
      <c r="Q15" s="21">
        <f>+N15-O15</f>
        <v>3495</v>
      </c>
    </row>
    <row r="16" spans="1:17" ht="13.8" x14ac:dyDescent="0.25">
      <c r="A16" s="50" t="s">
        <v>141</v>
      </c>
      <c r="B16" s="19" t="s">
        <v>43</v>
      </c>
      <c r="C16" s="20" t="s">
        <v>44</v>
      </c>
      <c r="D16" s="21">
        <v>0</v>
      </c>
      <c r="E16" s="21">
        <v>0</v>
      </c>
      <c r="F16" s="21">
        <v>0</v>
      </c>
      <c r="G16" s="21">
        <v>0</v>
      </c>
      <c r="H16" s="21">
        <v>0</v>
      </c>
      <c r="I16" s="21">
        <v>0</v>
      </c>
      <c r="J16" s="21">
        <v>0</v>
      </c>
      <c r="K16" s="23"/>
      <c r="L16" s="21">
        <v>34107</v>
      </c>
      <c r="M16" s="21">
        <v>34107</v>
      </c>
      <c r="N16" s="21">
        <v>30729</v>
      </c>
      <c r="O16" s="21">
        <v>0</v>
      </c>
      <c r="P16" s="21">
        <f>+N16-J16</f>
        <v>30729</v>
      </c>
      <c r="Q16" s="21">
        <f>+N16-O16</f>
        <v>30729</v>
      </c>
    </row>
    <row r="17" spans="1:17" ht="13.8" x14ac:dyDescent="0.25">
      <c r="A17" s="50" t="s">
        <v>141</v>
      </c>
      <c r="B17" s="19" t="s">
        <v>19</v>
      </c>
      <c r="C17" s="20" t="s">
        <v>20</v>
      </c>
      <c r="D17" s="21"/>
      <c r="E17" s="21"/>
      <c r="F17" s="21"/>
      <c r="G17" s="21"/>
      <c r="H17" s="21">
        <v>0</v>
      </c>
      <c r="I17" s="21">
        <v>0</v>
      </c>
      <c r="J17" s="21">
        <v>0</v>
      </c>
      <c r="K17" s="23"/>
      <c r="L17" s="21">
        <v>335</v>
      </c>
      <c r="M17" s="21">
        <v>335</v>
      </c>
      <c r="N17" s="21">
        <v>335</v>
      </c>
      <c r="O17" s="21">
        <v>0</v>
      </c>
      <c r="P17" s="21">
        <f>+N17-J17</f>
        <v>335</v>
      </c>
      <c r="Q17" s="21">
        <f>+N17-O17</f>
        <v>335</v>
      </c>
    </row>
    <row r="18" spans="1:17" ht="13.8" x14ac:dyDescent="0.25">
      <c r="A18" s="177" t="s">
        <v>75</v>
      </c>
      <c r="B18" s="177"/>
      <c r="C18" s="177"/>
      <c r="D18" s="24">
        <f t="shared" ref="D18:G18" si="2">SUM(D13:D16)</f>
        <v>0</v>
      </c>
      <c r="E18" s="24">
        <f t="shared" si="2"/>
        <v>0</v>
      </c>
      <c r="F18" s="24">
        <f t="shared" si="2"/>
        <v>0</v>
      </c>
      <c r="G18" s="24">
        <f t="shared" si="2"/>
        <v>0</v>
      </c>
      <c r="H18" s="24">
        <f>SUM(H13:H17)</f>
        <v>0</v>
      </c>
      <c r="I18" s="24">
        <f>SUM(I13:I17)</f>
        <v>0</v>
      </c>
      <c r="J18" s="24">
        <f>SUM(J13:J17)</f>
        <v>0</v>
      </c>
      <c r="K18" s="26"/>
      <c r="L18" s="24">
        <f t="shared" ref="L18:Q18" si="3">SUM(L13:L17)</f>
        <v>57048</v>
      </c>
      <c r="M18" s="24">
        <f t="shared" si="3"/>
        <v>57048</v>
      </c>
      <c r="N18" s="24">
        <f t="shared" si="3"/>
        <v>51644</v>
      </c>
      <c r="O18" s="24">
        <f t="shared" si="3"/>
        <v>0</v>
      </c>
      <c r="P18" s="24">
        <f t="shared" si="3"/>
        <v>51644</v>
      </c>
      <c r="Q18" s="24">
        <f t="shared" si="3"/>
        <v>51644</v>
      </c>
    </row>
    <row r="19" spans="1:17" x14ac:dyDescent="0.3">
      <c r="A19" s="82" t="s">
        <v>21</v>
      </c>
      <c r="B19" s="82"/>
      <c r="C19" s="82"/>
      <c r="D19" s="82"/>
      <c r="E19" s="82"/>
      <c r="F19" s="82"/>
      <c r="K19" s="79"/>
    </row>
    <row r="20" spans="1:17" ht="13.8" x14ac:dyDescent="0.25">
      <c r="A20" s="50" t="s">
        <v>141</v>
      </c>
      <c r="B20" s="19" t="s">
        <v>28</v>
      </c>
      <c r="C20" s="20" t="s">
        <v>29</v>
      </c>
      <c r="D20" s="21">
        <v>281859</v>
      </c>
      <c r="E20" s="21">
        <v>260034.02</v>
      </c>
      <c r="F20" s="21">
        <v>303721</v>
      </c>
      <c r="G20" s="21">
        <v>300167.69</v>
      </c>
      <c r="H20" s="21">
        <v>342116</v>
      </c>
      <c r="I20" s="21">
        <v>351836.84</v>
      </c>
      <c r="J20" s="34">
        <v>339120</v>
      </c>
      <c r="K20" s="79"/>
      <c r="L20" s="34">
        <v>630131</v>
      </c>
      <c r="M20" s="34">
        <v>630131</v>
      </c>
      <c r="N20" s="34">
        <v>630131</v>
      </c>
      <c r="O20" s="34">
        <v>585500</v>
      </c>
      <c r="P20" s="21">
        <f>+N20-J20</f>
        <v>291011</v>
      </c>
      <c r="Q20" s="21">
        <f>+N20-O20</f>
        <v>44631</v>
      </c>
    </row>
    <row r="21" spans="1:17" ht="13.8" x14ac:dyDescent="0.25">
      <c r="A21" s="50" t="s">
        <v>141</v>
      </c>
      <c r="B21" s="19" t="s">
        <v>142</v>
      </c>
      <c r="C21" s="20" t="s">
        <v>143</v>
      </c>
      <c r="D21" s="21">
        <v>200000</v>
      </c>
      <c r="E21" s="21">
        <v>219999.96</v>
      </c>
      <c r="F21" s="21">
        <v>231000</v>
      </c>
      <c r="G21" s="21">
        <v>231000</v>
      </c>
      <c r="H21" s="21">
        <v>242550</v>
      </c>
      <c r="I21" s="21">
        <v>242550</v>
      </c>
      <c r="J21" s="34">
        <v>254678</v>
      </c>
      <c r="K21" s="79"/>
      <c r="L21" s="34">
        <v>0</v>
      </c>
      <c r="M21" s="34">
        <v>0</v>
      </c>
      <c r="N21" s="34">
        <v>0</v>
      </c>
      <c r="O21" s="34">
        <v>262319</v>
      </c>
      <c r="P21" s="21">
        <f>+N21-J21</f>
        <v>-254678</v>
      </c>
      <c r="Q21" s="21">
        <f>+N21-O21</f>
        <v>-262319</v>
      </c>
    </row>
    <row r="22" spans="1:17" ht="13.8" x14ac:dyDescent="0.25">
      <c r="A22" s="50" t="s">
        <v>141</v>
      </c>
      <c r="B22" s="19" t="s">
        <v>144</v>
      </c>
      <c r="C22" s="20" t="s">
        <v>145</v>
      </c>
      <c r="D22" s="21">
        <v>0</v>
      </c>
      <c r="E22" s="21"/>
      <c r="F22" s="21">
        <v>0</v>
      </c>
      <c r="G22" s="21">
        <v>0</v>
      </c>
      <c r="H22" s="21">
        <v>0</v>
      </c>
      <c r="I22" s="21">
        <v>0</v>
      </c>
      <c r="J22" s="34">
        <v>46250</v>
      </c>
      <c r="K22" s="79"/>
      <c r="L22" s="34">
        <v>46250</v>
      </c>
      <c r="M22" s="34">
        <v>46250</v>
      </c>
      <c r="N22" s="34">
        <v>46250</v>
      </c>
      <c r="O22" s="34">
        <v>46250</v>
      </c>
      <c r="P22" s="21">
        <f>+N22-J22</f>
        <v>0</v>
      </c>
      <c r="Q22" s="21">
        <f>+N22-O22</f>
        <v>0</v>
      </c>
    </row>
    <row r="23" spans="1:17" ht="13.8" x14ac:dyDescent="0.25">
      <c r="A23" s="83" t="s">
        <v>76</v>
      </c>
      <c r="B23" s="84"/>
      <c r="C23" s="84"/>
      <c r="D23" s="24">
        <f t="shared" ref="D23:Q23" si="4">SUM(D20:D22)</f>
        <v>481859</v>
      </c>
      <c r="E23" s="24">
        <f t="shared" si="4"/>
        <v>480033.98</v>
      </c>
      <c r="F23" s="24">
        <f t="shared" si="4"/>
        <v>534721</v>
      </c>
      <c r="G23" s="24">
        <f t="shared" si="4"/>
        <v>531167.68999999994</v>
      </c>
      <c r="H23" s="24">
        <f t="shared" si="4"/>
        <v>584666</v>
      </c>
      <c r="I23" s="24">
        <f t="shared" si="4"/>
        <v>594386.84000000008</v>
      </c>
      <c r="J23" s="24">
        <f t="shared" si="4"/>
        <v>640048</v>
      </c>
      <c r="K23" s="79"/>
      <c r="L23" s="24">
        <f t="shared" ref="L23:O23" si="5">SUM(L20:L22)</f>
        <v>676381</v>
      </c>
      <c r="M23" s="24">
        <f t="shared" si="5"/>
        <v>676381</v>
      </c>
      <c r="N23" s="24">
        <f t="shared" si="5"/>
        <v>676381</v>
      </c>
      <c r="O23" s="24">
        <f t="shared" si="5"/>
        <v>894069</v>
      </c>
      <c r="P23" s="24">
        <f>SUM(P20:P22)</f>
        <v>36333</v>
      </c>
      <c r="Q23" s="24">
        <f t="shared" si="4"/>
        <v>-217688</v>
      </c>
    </row>
    <row r="24" spans="1:17" x14ac:dyDescent="0.3">
      <c r="A24" s="82" t="s">
        <v>133</v>
      </c>
      <c r="B24" s="82"/>
      <c r="C24" s="82"/>
      <c r="D24" s="82"/>
      <c r="E24" s="82"/>
      <c r="F24" s="85"/>
      <c r="G24" s="85"/>
      <c r="H24" s="85"/>
      <c r="I24" s="85"/>
      <c r="J24" s="85"/>
      <c r="K24" s="79"/>
      <c r="L24" s="85"/>
      <c r="M24" s="85"/>
      <c r="N24" s="86"/>
      <c r="O24" s="86"/>
      <c r="P24" s="87"/>
    </row>
    <row r="25" spans="1:17" ht="13.8" x14ac:dyDescent="0.25">
      <c r="A25" s="50" t="s">
        <v>141</v>
      </c>
      <c r="B25" s="19" t="s">
        <v>146</v>
      </c>
      <c r="C25" s="20" t="s">
        <v>147</v>
      </c>
      <c r="D25" s="21">
        <v>1300</v>
      </c>
      <c r="E25" s="21">
        <v>0</v>
      </c>
      <c r="F25" s="21">
        <v>0</v>
      </c>
      <c r="G25" s="21">
        <v>0</v>
      </c>
      <c r="H25" s="21">
        <v>0</v>
      </c>
      <c r="I25" s="21">
        <v>0</v>
      </c>
      <c r="J25" s="21">
        <v>0</v>
      </c>
      <c r="K25" s="79"/>
      <c r="L25" s="21">
        <v>0</v>
      </c>
      <c r="M25" s="21">
        <v>0</v>
      </c>
      <c r="N25" s="21">
        <v>0</v>
      </c>
      <c r="O25" s="21">
        <v>0</v>
      </c>
      <c r="P25" s="21">
        <f>+N25-J25</f>
        <v>0</v>
      </c>
      <c r="Q25" s="21">
        <f>+N25-O25</f>
        <v>0</v>
      </c>
    </row>
    <row r="26" spans="1:17" ht="13.8" x14ac:dyDescent="0.25">
      <c r="A26" s="83" t="s">
        <v>136</v>
      </c>
      <c r="B26" s="84"/>
      <c r="C26" s="84"/>
      <c r="D26" s="24">
        <f t="shared" ref="D26:Q26" si="6">SUM(D25:D25)</f>
        <v>1300</v>
      </c>
      <c r="E26" s="24">
        <f t="shared" si="6"/>
        <v>0</v>
      </c>
      <c r="F26" s="24">
        <f t="shared" si="6"/>
        <v>0</v>
      </c>
      <c r="G26" s="24">
        <f t="shared" si="6"/>
        <v>0</v>
      </c>
      <c r="H26" s="24">
        <f t="shared" si="6"/>
        <v>0</v>
      </c>
      <c r="I26" s="24">
        <f t="shared" si="6"/>
        <v>0</v>
      </c>
      <c r="J26" s="24">
        <f t="shared" si="6"/>
        <v>0</v>
      </c>
      <c r="K26" s="79"/>
      <c r="L26" s="24">
        <f t="shared" ref="L26:O26" si="7">SUM(L25:L25)</f>
        <v>0</v>
      </c>
      <c r="M26" s="24">
        <f t="shared" si="7"/>
        <v>0</v>
      </c>
      <c r="N26" s="24">
        <f t="shared" si="7"/>
        <v>0</v>
      </c>
      <c r="O26" s="24">
        <f t="shared" si="7"/>
        <v>0</v>
      </c>
      <c r="P26" s="24">
        <f t="shared" si="6"/>
        <v>0</v>
      </c>
      <c r="Q26" s="24">
        <f t="shared" si="6"/>
        <v>0</v>
      </c>
    </row>
    <row r="27" spans="1:17" x14ac:dyDescent="0.3">
      <c r="A27" s="82" t="s">
        <v>45</v>
      </c>
      <c r="B27" s="82"/>
      <c r="C27" s="82"/>
      <c r="D27" s="82"/>
      <c r="E27" s="82"/>
      <c r="F27" s="85"/>
      <c r="G27" s="85"/>
      <c r="H27" s="85"/>
      <c r="I27" s="85"/>
      <c r="J27" s="85"/>
      <c r="K27" s="79"/>
      <c r="L27" s="85"/>
      <c r="M27" s="85"/>
      <c r="N27" s="86"/>
      <c r="O27" s="86"/>
      <c r="P27" s="87"/>
    </row>
    <row r="28" spans="1:17" ht="13.8" x14ac:dyDescent="0.25">
      <c r="A28" s="50" t="s">
        <v>141</v>
      </c>
      <c r="B28" s="19" t="s">
        <v>46</v>
      </c>
      <c r="C28" s="20" t="s">
        <v>47</v>
      </c>
      <c r="D28" s="21">
        <v>500</v>
      </c>
      <c r="E28" s="21">
        <v>0</v>
      </c>
      <c r="F28" s="21">
        <v>0</v>
      </c>
      <c r="G28" s="21">
        <v>0</v>
      </c>
      <c r="H28" s="21">
        <v>0</v>
      </c>
      <c r="I28" s="21">
        <v>0</v>
      </c>
      <c r="J28" s="21">
        <v>0</v>
      </c>
      <c r="K28" s="79"/>
      <c r="L28" s="21">
        <v>0</v>
      </c>
      <c r="M28" s="21">
        <v>0</v>
      </c>
      <c r="N28" s="21">
        <f>+M28-G28</f>
        <v>0</v>
      </c>
      <c r="O28" s="21">
        <f>+M28-J28</f>
        <v>0</v>
      </c>
      <c r="P28" s="21">
        <f>+N28-J28</f>
        <v>0</v>
      </c>
      <c r="Q28" s="21">
        <f>+N28-O28</f>
        <v>0</v>
      </c>
    </row>
    <row r="29" spans="1:17" ht="13.8" x14ac:dyDescent="0.25">
      <c r="A29" s="50" t="s">
        <v>141</v>
      </c>
      <c r="B29" s="19" t="s">
        <v>24</v>
      </c>
      <c r="C29" s="20" t="s">
        <v>25</v>
      </c>
      <c r="D29" s="21">
        <v>1200</v>
      </c>
      <c r="E29" s="21">
        <v>0</v>
      </c>
      <c r="F29" s="21">
        <v>0</v>
      </c>
      <c r="G29" s="21">
        <v>0</v>
      </c>
      <c r="H29" s="21">
        <v>0</v>
      </c>
      <c r="I29" s="21">
        <v>0</v>
      </c>
      <c r="J29" s="21">
        <v>0</v>
      </c>
      <c r="K29" s="79"/>
      <c r="L29" s="21">
        <v>0</v>
      </c>
      <c r="M29" s="21">
        <v>0</v>
      </c>
      <c r="N29" s="21">
        <f>+M29-G29</f>
        <v>0</v>
      </c>
      <c r="O29" s="21">
        <f>+M29-J29</f>
        <v>0</v>
      </c>
      <c r="P29" s="21">
        <f>+N29-J29</f>
        <v>0</v>
      </c>
      <c r="Q29" s="21">
        <f>+N29-O29</f>
        <v>0</v>
      </c>
    </row>
    <row r="30" spans="1:17" ht="13.8" x14ac:dyDescent="0.25">
      <c r="A30" s="83" t="s">
        <v>85</v>
      </c>
      <c r="B30" s="84"/>
      <c r="C30" s="84"/>
      <c r="D30" s="24">
        <f t="shared" ref="D30:Q30" si="8">SUM(D28:D29)</f>
        <v>1700</v>
      </c>
      <c r="E30" s="24">
        <f t="shared" si="8"/>
        <v>0</v>
      </c>
      <c r="F30" s="24">
        <f t="shared" si="8"/>
        <v>0</v>
      </c>
      <c r="G30" s="24">
        <f t="shared" si="8"/>
        <v>0</v>
      </c>
      <c r="H30" s="24">
        <f t="shared" si="8"/>
        <v>0</v>
      </c>
      <c r="I30" s="24">
        <f t="shared" si="8"/>
        <v>0</v>
      </c>
      <c r="J30" s="24">
        <f t="shared" si="8"/>
        <v>0</v>
      </c>
      <c r="K30" s="79"/>
      <c r="L30" s="24">
        <f t="shared" ref="L30:O30" si="9">SUM(L28:L29)</f>
        <v>0</v>
      </c>
      <c r="M30" s="24">
        <f t="shared" si="9"/>
        <v>0</v>
      </c>
      <c r="N30" s="24">
        <f t="shared" si="9"/>
        <v>0</v>
      </c>
      <c r="O30" s="24">
        <f t="shared" si="9"/>
        <v>0</v>
      </c>
      <c r="P30" s="24">
        <f t="shared" si="8"/>
        <v>0</v>
      </c>
      <c r="Q30" s="24">
        <f t="shared" si="8"/>
        <v>0</v>
      </c>
    </row>
    <row r="31" spans="1:17" x14ac:dyDescent="0.3">
      <c r="A31" s="82" t="s">
        <v>30</v>
      </c>
      <c r="B31" s="82"/>
      <c r="C31" s="82"/>
      <c r="D31" s="82"/>
      <c r="E31" s="82"/>
      <c r="F31" s="86"/>
      <c r="G31" s="86"/>
      <c r="H31" s="86"/>
      <c r="I31" s="86"/>
      <c r="J31" s="86"/>
      <c r="K31" s="79"/>
      <c r="L31" s="86"/>
      <c r="M31" s="86"/>
      <c r="N31" s="86"/>
      <c r="O31" s="86"/>
      <c r="P31" s="87"/>
    </row>
    <row r="32" spans="1:17" ht="13.8" x14ac:dyDescent="0.25">
      <c r="A32" s="50" t="s">
        <v>141</v>
      </c>
      <c r="B32" s="19" t="s">
        <v>31</v>
      </c>
      <c r="C32" s="20" t="s">
        <v>32</v>
      </c>
      <c r="D32" s="21">
        <v>33000</v>
      </c>
      <c r="E32" s="21">
        <v>38411.93</v>
      </c>
      <c r="F32" s="21">
        <v>34000</v>
      </c>
      <c r="G32" s="21">
        <v>35868.99</v>
      </c>
      <c r="H32" s="21">
        <v>34000</v>
      </c>
      <c r="I32" s="21">
        <v>50351.82</v>
      </c>
      <c r="J32" s="34">
        <v>34000</v>
      </c>
      <c r="K32" s="79"/>
      <c r="L32" s="34">
        <f>34000+10000</f>
        <v>44000</v>
      </c>
      <c r="M32" s="34">
        <f>34000+10000</f>
        <v>44000</v>
      </c>
      <c r="N32" s="34">
        <f>34000+10000</f>
        <v>44000</v>
      </c>
      <c r="O32" s="34">
        <v>34000</v>
      </c>
      <c r="P32" s="21">
        <f>+N32-J32</f>
        <v>10000</v>
      </c>
      <c r="Q32" s="21">
        <f>+N32-O32</f>
        <v>10000</v>
      </c>
    </row>
    <row r="33" spans="1:17" ht="13.8" x14ac:dyDescent="0.25">
      <c r="A33" s="50" t="s">
        <v>141</v>
      </c>
      <c r="B33" s="19" t="s">
        <v>51</v>
      </c>
      <c r="C33" s="20" t="s">
        <v>48</v>
      </c>
      <c r="D33" s="21">
        <v>500</v>
      </c>
      <c r="E33" s="21">
        <v>8.99</v>
      </c>
      <c r="F33" s="21">
        <v>500</v>
      </c>
      <c r="G33" s="21">
        <v>1365</v>
      </c>
      <c r="H33" s="21">
        <v>500</v>
      </c>
      <c r="I33" s="21">
        <v>88</v>
      </c>
      <c r="J33" s="34">
        <v>500</v>
      </c>
      <c r="K33" s="79"/>
      <c r="L33" s="34">
        <v>500</v>
      </c>
      <c r="M33" s="34">
        <v>500</v>
      </c>
      <c r="N33" s="34">
        <v>500</v>
      </c>
      <c r="O33" s="34">
        <v>500</v>
      </c>
      <c r="P33" s="21">
        <f>+N33-J33</f>
        <v>0</v>
      </c>
      <c r="Q33" s="21">
        <f>+N33-O33</f>
        <v>0</v>
      </c>
    </row>
    <row r="34" spans="1:17" ht="13.8" x14ac:dyDescent="0.25">
      <c r="A34" s="50" t="s">
        <v>141</v>
      </c>
      <c r="B34" s="19" t="s">
        <v>137</v>
      </c>
      <c r="C34" s="20" t="s">
        <v>138</v>
      </c>
      <c r="D34" s="21">
        <v>0</v>
      </c>
      <c r="E34" s="21">
        <v>0</v>
      </c>
      <c r="F34" s="21">
        <v>0</v>
      </c>
      <c r="G34" s="21">
        <v>0</v>
      </c>
      <c r="H34" s="21">
        <v>0</v>
      </c>
      <c r="I34" s="21">
        <v>0</v>
      </c>
      <c r="J34" s="21">
        <v>0</v>
      </c>
      <c r="K34" s="79"/>
      <c r="L34" s="21">
        <v>0</v>
      </c>
      <c r="M34" s="21">
        <v>0</v>
      </c>
      <c r="N34" s="21">
        <v>0</v>
      </c>
      <c r="O34" s="21">
        <v>0</v>
      </c>
      <c r="P34" s="21">
        <f>+N34-J34</f>
        <v>0</v>
      </c>
      <c r="Q34" s="21">
        <f>+N34-O34</f>
        <v>0</v>
      </c>
    </row>
    <row r="35" spans="1:17" ht="13.8" x14ac:dyDescent="0.25">
      <c r="A35" s="50" t="s">
        <v>141</v>
      </c>
      <c r="B35" s="19" t="s">
        <v>53</v>
      </c>
      <c r="C35" s="20" t="s">
        <v>50</v>
      </c>
      <c r="D35" s="21">
        <v>100</v>
      </c>
      <c r="E35" s="21"/>
      <c r="F35" s="21">
        <v>0</v>
      </c>
      <c r="G35" s="21">
        <v>0</v>
      </c>
      <c r="H35" s="21">
        <v>0</v>
      </c>
      <c r="I35" s="21">
        <v>0</v>
      </c>
      <c r="J35" s="21">
        <v>0</v>
      </c>
      <c r="K35" s="79"/>
      <c r="L35" s="21">
        <v>0</v>
      </c>
      <c r="M35" s="21">
        <v>0</v>
      </c>
      <c r="N35" s="21">
        <v>0</v>
      </c>
      <c r="O35" s="21">
        <v>0</v>
      </c>
      <c r="P35" s="21">
        <f>+N35-J35</f>
        <v>0</v>
      </c>
      <c r="Q35" s="21">
        <f>+N35-O35</f>
        <v>0</v>
      </c>
    </row>
    <row r="36" spans="1:17" ht="13.8" x14ac:dyDescent="0.25">
      <c r="A36" s="83" t="s">
        <v>77</v>
      </c>
      <c r="B36" s="84"/>
      <c r="C36" s="84"/>
      <c r="D36" s="24">
        <f t="shared" ref="D36:Q36" si="10">SUM(D32:D35)</f>
        <v>33600</v>
      </c>
      <c r="E36" s="24">
        <f t="shared" si="10"/>
        <v>38420.92</v>
      </c>
      <c r="F36" s="24">
        <f t="shared" si="10"/>
        <v>34500</v>
      </c>
      <c r="G36" s="24">
        <f t="shared" si="10"/>
        <v>37233.99</v>
      </c>
      <c r="H36" s="24">
        <f t="shared" si="10"/>
        <v>34500</v>
      </c>
      <c r="I36" s="24">
        <f t="shared" si="10"/>
        <v>50439.82</v>
      </c>
      <c r="J36" s="24">
        <f t="shared" si="10"/>
        <v>34500</v>
      </c>
      <c r="K36" s="79"/>
      <c r="L36" s="24">
        <f t="shared" ref="L36:O36" si="11">SUM(L32:L35)</f>
        <v>44500</v>
      </c>
      <c r="M36" s="24">
        <f t="shared" si="11"/>
        <v>44500</v>
      </c>
      <c r="N36" s="24">
        <f t="shared" si="11"/>
        <v>44500</v>
      </c>
      <c r="O36" s="24">
        <f t="shared" si="11"/>
        <v>34500</v>
      </c>
      <c r="P36" s="24">
        <f t="shared" si="10"/>
        <v>10000</v>
      </c>
      <c r="Q36" s="24">
        <f t="shared" si="10"/>
        <v>10000</v>
      </c>
    </row>
    <row r="37" spans="1:17" x14ac:dyDescent="0.3">
      <c r="A37" s="88" t="s">
        <v>54</v>
      </c>
      <c r="B37" s="88"/>
      <c r="C37" s="88"/>
      <c r="D37" s="88"/>
      <c r="E37" s="88"/>
      <c r="F37" s="86"/>
      <c r="G37" s="86"/>
      <c r="H37" s="86"/>
      <c r="I37" s="86"/>
      <c r="J37" s="86"/>
      <c r="K37" s="79"/>
      <c r="L37" s="86"/>
      <c r="M37" s="86"/>
      <c r="N37" s="86"/>
      <c r="O37" s="86"/>
      <c r="P37" s="87"/>
    </row>
    <row r="38" spans="1:17" ht="13.8" x14ac:dyDescent="0.25">
      <c r="A38" s="50" t="s">
        <v>141</v>
      </c>
      <c r="B38" s="19" t="s">
        <v>114</v>
      </c>
      <c r="C38" s="20" t="s">
        <v>115</v>
      </c>
      <c r="D38" s="21">
        <v>25600</v>
      </c>
      <c r="E38" s="21">
        <v>34233.919999999998</v>
      </c>
      <c r="F38" s="21">
        <v>27700</v>
      </c>
      <c r="G38" s="21">
        <v>34078.959999999999</v>
      </c>
      <c r="H38" s="21">
        <v>27700</v>
      </c>
      <c r="I38" s="21">
        <v>36258.660000000003</v>
      </c>
      <c r="J38" s="34">
        <v>29950</v>
      </c>
      <c r="K38" s="79"/>
      <c r="L38" s="34">
        <v>34800</v>
      </c>
      <c r="M38" s="34">
        <v>34800</v>
      </c>
      <c r="N38" s="34">
        <v>34800</v>
      </c>
      <c r="O38" s="34">
        <v>29950</v>
      </c>
      <c r="P38" s="21">
        <f>+N38-J38</f>
        <v>4850</v>
      </c>
      <c r="Q38" s="21">
        <f>+N38-O38</f>
        <v>4850</v>
      </c>
    </row>
    <row r="39" spans="1:17" ht="13.8" x14ac:dyDescent="0.25">
      <c r="A39" s="50" t="s">
        <v>141</v>
      </c>
      <c r="B39" s="19" t="s">
        <v>55</v>
      </c>
      <c r="C39" s="20" t="s">
        <v>56</v>
      </c>
      <c r="D39" s="21">
        <v>500</v>
      </c>
      <c r="E39" s="21">
        <v>0</v>
      </c>
      <c r="F39" s="21">
        <v>500</v>
      </c>
      <c r="G39" s="21">
        <v>1200</v>
      </c>
      <c r="H39" s="21">
        <v>500</v>
      </c>
      <c r="I39" s="21">
        <v>500</v>
      </c>
      <c r="J39" s="34">
        <v>1000</v>
      </c>
      <c r="K39" s="79"/>
      <c r="L39" s="34">
        <v>1000</v>
      </c>
      <c r="M39" s="34">
        <v>1000</v>
      </c>
      <c r="N39" s="34">
        <v>1000</v>
      </c>
      <c r="O39" s="34">
        <v>1000</v>
      </c>
      <c r="P39" s="21">
        <f>+N39-J39</f>
        <v>0</v>
      </c>
      <c r="Q39" s="21">
        <f>+N39-O39</f>
        <v>0</v>
      </c>
    </row>
    <row r="40" spans="1:17" ht="13.8" x14ac:dyDescent="0.25">
      <c r="A40" s="83" t="s">
        <v>86</v>
      </c>
      <c r="B40" s="84"/>
      <c r="C40" s="84"/>
      <c r="D40" s="24">
        <f>SUM(D38:D39)</f>
        <v>26100</v>
      </c>
      <c r="E40" s="24">
        <f t="shared" ref="E40:J40" si="12">SUM(E38:E39)</f>
        <v>34233.919999999998</v>
      </c>
      <c r="F40" s="24">
        <f t="shared" si="12"/>
        <v>28200</v>
      </c>
      <c r="G40" s="24">
        <f t="shared" si="12"/>
        <v>35278.959999999999</v>
      </c>
      <c r="H40" s="24">
        <f t="shared" si="12"/>
        <v>28200</v>
      </c>
      <c r="I40" s="24">
        <f t="shared" si="12"/>
        <v>36758.660000000003</v>
      </c>
      <c r="J40" s="24">
        <f t="shared" si="12"/>
        <v>30950</v>
      </c>
      <c r="K40" s="79"/>
      <c r="L40" s="24">
        <f t="shared" ref="L40:Q40" si="13">SUM(L38:L39)</f>
        <v>35800</v>
      </c>
      <c r="M40" s="24">
        <f t="shared" si="13"/>
        <v>35800</v>
      </c>
      <c r="N40" s="24">
        <f t="shared" si="13"/>
        <v>35800</v>
      </c>
      <c r="O40" s="24">
        <f t="shared" si="13"/>
        <v>30950</v>
      </c>
      <c r="P40" s="24">
        <f t="shared" si="13"/>
        <v>4850</v>
      </c>
      <c r="Q40" s="24">
        <f t="shared" si="13"/>
        <v>4850</v>
      </c>
    </row>
    <row r="41" spans="1:17" ht="13.8" x14ac:dyDescent="0.25">
      <c r="A41" s="89" t="s">
        <v>78</v>
      </c>
      <c r="B41" s="90"/>
      <c r="C41" s="90"/>
      <c r="D41" s="40">
        <f>D23+D26+D30+D36+D40+D18+D11</f>
        <v>544559</v>
      </c>
      <c r="E41" s="40">
        <f t="shared" ref="E41:J41" si="14">E23+E26+E30+E36+E40+E18+E11</f>
        <v>552688.81999999995</v>
      </c>
      <c r="F41" s="40">
        <f t="shared" si="14"/>
        <v>597421</v>
      </c>
      <c r="G41" s="40">
        <f t="shared" si="14"/>
        <v>603680.6399999999</v>
      </c>
      <c r="H41" s="40">
        <f t="shared" si="14"/>
        <v>647366</v>
      </c>
      <c r="I41" s="40">
        <f t="shared" si="14"/>
        <v>681585.32000000007</v>
      </c>
      <c r="J41" s="40">
        <f t="shared" si="14"/>
        <v>705498</v>
      </c>
      <c r="K41" s="79"/>
      <c r="L41" s="40">
        <f t="shared" ref="L41:Q41" si="15">L23+L26+L30+L36+L40+L18+L11</f>
        <v>1081229</v>
      </c>
      <c r="M41" s="40">
        <f t="shared" si="15"/>
        <v>1081229</v>
      </c>
      <c r="N41" s="40">
        <f t="shared" si="15"/>
        <v>1049332</v>
      </c>
      <c r="O41" s="40">
        <f t="shared" si="15"/>
        <v>959519</v>
      </c>
      <c r="P41" s="40">
        <f t="shared" si="15"/>
        <v>343834</v>
      </c>
      <c r="Q41" s="40">
        <f t="shared" si="15"/>
        <v>89813</v>
      </c>
    </row>
    <row r="42" spans="1:17" ht="13.8" x14ac:dyDescent="0.25">
      <c r="A42" s="89" t="s">
        <v>148</v>
      </c>
      <c r="B42" s="90"/>
      <c r="C42" s="90"/>
      <c r="D42" s="40">
        <f t="shared" ref="D42:J43" si="16">D41</f>
        <v>544559</v>
      </c>
      <c r="E42" s="40">
        <f t="shared" si="16"/>
        <v>552688.81999999995</v>
      </c>
      <c r="F42" s="40">
        <f t="shared" si="16"/>
        <v>597421</v>
      </c>
      <c r="G42" s="40">
        <f t="shared" si="16"/>
        <v>603680.6399999999</v>
      </c>
      <c r="H42" s="40">
        <f t="shared" si="16"/>
        <v>647366</v>
      </c>
      <c r="I42" s="40">
        <f t="shared" si="16"/>
        <v>681585.32000000007</v>
      </c>
      <c r="J42" s="40">
        <f t="shared" si="16"/>
        <v>705498</v>
      </c>
      <c r="K42" s="79"/>
      <c r="L42" s="40">
        <f t="shared" ref="L42:Q43" si="17">L41</f>
        <v>1081229</v>
      </c>
      <c r="M42" s="40">
        <f t="shared" si="17"/>
        <v>1081229</v>
      </c>
      <c r="N42" s="40">
        <f t="shared" si="17"/>
        <v>1049332</v>
      </c>
      <c r="O42" s="40">
        <f t="shared" si="17"/>
        <v>959519</v>
      </c>
      <c r="P42" s="40">
        <f t="shared" si="17"/>
        <v>343834</v>
      </c>
      <c r="Q42" s="40">
        <f t="shared" si="17"/>
        <v>89813</v>
      </c>
    </row>
    <row r="43" spans="1:17" ht="13.8" x14ac:dyDescent="0.25">
      <c r="A43" s="91" t="s">
        <v>80</v>
      </c>
      <c r="B43" s="92"/>
      <c r="C43" s="92"/>
      <c r="D43" s="41">
        <f t="shared" si="16"/>
        <v>544559</v>
      </c>
      <c r="E43" s="41">
        <f t="shared" si="16"/>
        <v>552688.81999999995</v>
      </c>
      <c r="F43" s="41">
        <f t="shared" si="16"/>
        <v>597421</v>
      </c>
      <c r="G43" s="41">
        <f t="shared" si="16"/>
        <v>603680.6399999999</v>
      </c>
      <c r="H43" s="41">
        <f t="shared" si="16"/>
        <v>647366</v>
      </c>
      <c r="I43" s="41">
        <f t="shared" si="16"/>
        <v>681585.32000000007</v>
      </c>
      <c r="J43" s="41">
        <f t="shared" si="16"/>
        <v>705498</v>
      </c>
      <c r="K43" s="79"/>
      <c r="L43" s="41">
        <f t="shared" si="17"/>
        <v>1081229</v>
      </c>
      <c r="M43" s="41">
        <f t="shared" si="17"/>
        <v>1081229</v>
      </c>
      <c r="N43" s="41">
        <f t="shared" si="17"/>
        <v>1049332</v>
      </c>
      <c r="O43" s="41">
        <f t="shared" si="17"/>
        <v>959519</v>
      </c>
      <c r="P43" s="41">
        <f t="shared" si="17"/>
        <v>343834</v>
      </c>
      <c r="Q43" s="41">
        <f t="shared" si="17"/>
        <v>89813</v>
      </c>
    </row>
    <row r="44" spans="1:17" ht="6" customHeight="1" x14ac:dyDescent="0.25">
      <c r="A44" s="93"/>
      <c r="D44" s="94"/>
      <c r="E44" s="94"/>
      <c r="F44" s="86"/>
      <c r="G44" s="86"/>
      <c r="H44" s="86"/>
      <c r="I44" s="86"/>
      <c r="J44" s="86"/>
      <c r="K44" s="79"/>
      <c r="L44" s="86"/>
      <c r="M44" s="86"/>
      <c r="N44" s="86"/>
      <c r="O44" s="86"/>
      <c r="P44" s="94"/>
      <c r="Q44" s="94"/>
    </row>
    <row r="45" spans="1:17" ht="13.8" x14ac:dyDescent="0.25">
      <c r="A45" s="91" t="s">
        <v>81</v>
      </c>
      <c r="B45" s="92"/>
      <c r="C45" s="92"/>
      <c r="D45" s="41">
        <f t="shared" ref="D45:J45" si="18">D43</f>
        <v>544559</v>
      </c>
      <c r="E45" s="41">
        <f t="shared" si="18"/>
        <v>552688.81999999995</v>
      </c>
      <c r="F45" s="41">
        <f t="shared" si="18"/>
        <v>597421</v>
      </c>
      <c r="G45" s="41">
        <f t="shared" si="18"/>
        <v>603680.6399999999</v>
      </c>
      <c r="H45" s="41">
        <f t="shared" si="18"/>
        <v>647366</v>
      </c>
      <c r="I45" s="41">
        <f t="shared" si="18"/>
        <v>681585.32000000007</v>
      </c>
      <c r="J45" s="41">
        <f t="shared" si="18"/>
        <v>705498</v>
      </c>
      <c r="K45" s="79"/>
      <c r="L45" s="41">
        <f t="shared" ref="L45:Q45" si="19">L43</f>
        <v>1081229</v>
      </c>
      <c r="M45" s="41">
        <f t="shared" si="19"/>
        <v>1081229</v>
      </c>
      <c r="N45" s="41">
        <f t="shared" si="19"/>
        <v>1049332</v>
      </c>
      <c r="O45" s="41">
        <f t="shared" si="19"/>
        <v>959519</v>
      </c>
      <c r="P45" s="41">
        <f t="shared" si="19"/>
        <v>343834</v>
      </c>
      <c r="Q45" s="41">
        <f t="shared" si="19"/>
        <v>89813</v>
      </c>
    </row>
    <row r="46" spans="1:17" x14ac:dyDescent="0.3">
      <c r="L46" s="86"/>
      <c r="M46" s="86"/>
    </row>
    <row r="47" spans="1:17" x14ac:dyDescent="0.3">
      <c r="N47" s="51"/>
      <c r="O47" s="51"/>
    </row>
    <row r="48" spans="1:17" x14ac:dyDescent="0.3">
      <c r="L48" s="152"/>
      <c r="N48" s="51"/>
      <c r="O48" s="51"/>
    </row>
  </sheetData>
  <mergeCells count="6">
    <mergeCell ref="A18:C18"/>
    <mergeCell ref="A1:C1"/>
    <mergeCell ref="D1:O1"/>
    <mergeCell ref="A9:C9"/>
    <mergeCell ref="A11:C11"/>
    <mergeCell ref="A12:C12"/>
  </mergeCells>
  <printOptions horizontalCentered="1" verticalCentered="1"/>
  <pageMargins left="0.7" right="0.7" top="0.75" bottom="0.75" header="0.3" footer="0.3"/>
  <pageSetup scale="35" fitToHeight="0" orientation="landscape" r:id="rId1"/>
  <headerFooter>
    <oddFooter>&amp;RBudget Kick Off - 11.01.25</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20165-D441-48B5-A28B-F5F7B72CB517}">
  <sheetPr codeName="Sheet12">
    <tabColor rgb="FF92D050"/>
    <pageSetUpPr fitToPage="1"/>
  </sheetPr>
  <dimension ref="A1:U37"/>
  <sheetViews>
    <sheetView zoomScaleNormal="100" workbookViewId="0">
      <selection activeCell="C13" sqref="C13"/>
    </sheetView>
  </sheetViews>
  <sheetFormatPr defaultColWidth="9.109375" defaultRowHeight="14.4" x14ac:dyDescent="0.3"/>
  <cols>
    <col min="1" max="1" width="9.5546875" style="3" bestFit="1" customWidth="1"/>
    <col min="2" max="2" width="15.33203125" style="10" bestFit="1" customWidth="1"/>
    <col min="3" max="3" width="17.33203125" style="3" bestFit="1" customWidth="1"/>
    <col min="4" max="4" width="11" style="3" bestFit="1" customWidth="1"/>
    <col min="5" max="5" width="11.44140625" style="3" bestFit="1" customWidth="1"/>
    <col min="6" max="6" width="11" style="3" bestFit="1" customWidth="1"/>
    <col min="7" max="7" width="11.44140625" style="3" customWidth="1"/>
    <col min="8" max="8" width="11" style="3" bestFit="1" customWidth="1"/>
    <col min="9" max="10" width="11.44140625" style="3" customWidth="1"/>
    <col min="11" max="11" width="2.33203125" style="3" customWidth="1"/>
    <col min="12" max="12" width="11" style="3" bestFit="1" customWidth="1"/>
    <col min="13" max="15" width="10.6640625" style="3" bestFit="1" customWidth="1"/>
    <col min="16" max="16" width="11.33203125" bestFit="1" customWidth="1"/>
    <col min="17" max="17" width="11.6640625" bestFit="1" customWidth="1"/>
    <col min="18" max="18" width="11.109375" style="95" customWidth="1"/>
    <col min="19" max="19" width="5" bestFit="1" customWidth="1"/>
    <col min="20" max="20" width="7.5546875" bestFit="1" customWidth="1"/>
    <col min="21" max="21" width="17" style="3" bestFit="1" customWidth="1"/>
    <col min="22" max="22" width="25.33203125" style="3" bestFit="1" customWidth="1"/>
    <col min="23" max="23" width="23.88671875" style="3" bestFit="1" customWidth="1"/>
    <col min="24" max="24" width="23.44140625" style="3" bestFit="1" customWidth="1"/>
    <col min="25" max="16384" width="9.109375" style="3"/>
  </cols>
  <sheetData>
    <row r="1" spans="1:21" ht="75" customHeight="1" x14ac:dyDescent="0.3">
      <c r="A1" s="170" t="s">
        <v>149</v>
      </c>
      <c r="B1" s="170"/>
      <c r="C1" s="170"/>
      <c r="D1" s="170"/>
      <c r="E1" s="170"/>
      <c r="F1" s="170"/>
      <c r="G1" s="170"/>
      <c r="H1" s="170"/>
      <c r="I1" s="170"/>
      <c r="J1" s="170"/>
      <c r="K1" s="170"/>
      <c r="L1" s="170"/>
      <c r="M1" s="170"/>
      <c r="N1" s="170"/>
      <c r="O1" s="170"/>
      <c r="P1" s="170"/>
      <c r="Q1" s="170"/>
      <c r="R1" s="2"/>
    </row>
    <row r="2" spans="1:21" ht="6" customHeight="1" x14ac:dyDescent="0.3"/>
    <row r="3" spans="1:21" s="49" customFormat="1" ht="66" x14ac:dyDescent="0.3">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c r="R3" s="96"/>
    </row>
    <row r="4" spans="1:21" ht="6" customHeight="1" x14ac:dyDescent="0.3">
      <c r="K4" s="11"/>
    </row>
    <row r="5" spans="1:21" x14ac:dyDescent="0.3">
      <c r="A5" s="171" t="s">
        <v>69</v>
      </c>
      <c r="B5" s="171"/>
      <c r="C5" s="171"/>
      <c r="D5" s="12"/>
      <c r="E5" s="12"/>
      <c r="F5" s="12"/>
      <c r="G5" s="12"/>
      <c r="H5" s="12"/>
      <c r="I5" s="12"/>
      <c r="K5" s="11"/>
    </row>
    <row r="6" spans="1:21" x14ac:dyDescent="0.3">
      <c r="A6" s="172" t="s">
        <v>70</v>
      </c>
      <c r="B6" s="172"/>
      <c r="C6" s="172"/>
      <c r="D6" s="14"/>
      <c r="E6" s="14"/>
      <c r="F6" s="14"/>
      <c r="G6" s="14"/>
      <c r="H6" s="14"/>
      <c r="I6" s="14"/>
      <c r="K6" s="11"/>
    </row>
    <row r="7" spans="1:21" x14ac:dyDescent="0.3">
      <c r="A7" s="173" t="s">
        <v>150</v>
      </c>
      <c r="B7" s="173"/>
      <c r="C7" s="173"/>
      <c r="D7" s="15"/>
      <c r="E7" s="15"/>
      <c r="F7" s="15"/>
      <c r="G7" s="15"/>
      <c r="H7" s="15"/>
      <c r="I7" s="15"/>
      <c r="K7" s="11"/>
    </row>
    <row r="8" spans="1:21" x14ac:dyDescent="0.3">
      <c r="A8" s="174" t="s">
        <v>72</v>
      </c>
      <c r="B8" s="174"/>
      <c r="C8" s="174"/>
      <c r="D8" s="16"/>
      <c r="E8" s="16"/>
      <c r="F8" s="16"/>
      <c r="G8" s="16"/>
      <c r="H8" s="16"/>
      <c r="I8" s="16"/>
      <c r="K8" s="11"/>
    </row>
    <row r="9" spans="1:21" x14ac:dyDescent="0.3">
      <c r="A9" s="175" t="s">
        <v>11</v>
      </c>
      <c r="B9" s="175"/>
      <c r="C9" s="175"/>
      <c r="D9" s="17"/>
      <c r="E9" s="17"/>
      <c r="F9" s="17"/>
      <c r="G9" s="17"/>
      <c r="H9" s="17"/>
      <c r="I9" s="17"/>
      <c r="K9" s="11"/>
    </row>
    <row r="10" spans="1:21" x14ac:dyDescent="0.3">
      <c r="A10" s="50" t="s">
        <v>151</v>
      </c>
      <c r="B10" s="19" t="s">
        <v>35</v>
      </c>
      <c r="C10" s="20" t="s">
        <v>36</v>
      </c>
      <c r="D10" s="21">
        <v>111431</v>
      </c>
      <c r="E10" s="21">
        <v>0</v>
      </c>
      <c r="F10" s="21">
        <v>80496</v>
      </c>
      <c r="G10" s="21">
        <v>0</v>
      </c>
      <c r="H10" s="21">
        <v>0</v>
      </c>
      <c r="I10" s="21">
        <v>0</v>
      </c>
      <c r="J10" s="21">
        <v>0</v>
      </c>
      <c r="K10" s="23"/>
      <c r="L10" s="21">
        <v>0</v>
      </c>
      <c r="M10" s="21">
        <v>0</v>
      </c>
      <c r="N10" s="21">
        <v>0</v>
      </c>
      <c r="O10" s="21">
        <v>0</v>
      </c>
      <c r="P10" s="21" t="e">
        <f>+N10-#REF!</f>
        <v>#REF!</v>
      </c>
      <c r="Q10" s="21">
        <f>+N10-O10</f>
        <v>0</v>
      </c>
      <c r="R10" s="34"/>
    </row>
    <row r="11" spans="1:21" x14ac:dyDescent="0.3">
      <c r="A11" s="177" t="s">
        <v>74</v>
      </c>
      <c r="B11" s="177"/>
      <c r="C11" s="177"/>
      <c r="D11" s="24">
        <f t="shared" ref="D11:H11" si="0">SUM(D10:D10)</f>
        <v>111431</v>
      </c>
      <c r="E11" s="24">
        <f t="shared" si="0"/>
        <v>0</v>
      </c>
      <c r="F11" s="24">
        <f t="shared" si="0"/>
        <v>80496</v>
      </c>
      <c r="G11" s="24">
        <f t="shared" si="0"/>
        <v>0</v>
      </c>
      <c r="H11" s="24">
        <f t="shared" si="0"/>
        <v>0</v>
      </c>
      <c r="I11" s="24">
        <f t="shared" ref="I11:J11" si="1">SUM(I10:I10)</f>
        <v>0</v>
      </c>
      <c r="J11" s="24">
        <f t="shared" si="1"/>
        <v>0</v>
      </c>
      <c r="K11" s="26"/>
      <c r="L11" s="24">
        <f>SUM(L10:L10)</f>
        <v>0</v>
      </c>
      <c r="M11" s="24">
        <f>SUM(M10:M10)</f>
        <v>0</v>
      </c>
      <c r="N11" s="24">
        <f>SUM(N10:N10)</f>
        <v>0</v>
      </c>
      <c r="O11" s="24">
        <f>SUM(O10:O10)</f>
        <v>0</v>
      </c>
      <c r="P11" s="24" t="e">
        <f t="shared" ref="P11:Q11" si="2">SUM(P10:P10)</f>
        <v>#REF!</v>
      </c>
      <c r="Q11" s="24">
        <f t="shared" si="2"/>
        <v>0</v>
      </c>
      <c r="R11" s="34"/>
    </row>
    <row r="12" spans="1:21" x14ac:dyDescent="0.3">
      <c r="A12" s="175" t="s">
        <v>14</v>
      </c>
      <c r="B12" s="175"/>
      <c r="C12" s="175"/>
      <c r="D12" s="27"/>
      <c r="E12" s="27"/>
      <c r="F12" s="27"/>
      <c r="G12" s="27"/>
      <c r="H12" s="27"/>
      <c r="I12" s="27"/>
      <c r="J12" s="27"/>
      <c r="K12" s="29"/>
      <c r="L12" s="27"/>
      <c r="M12" s="27"/>
      <c r="N12" s="27"/>
      <c r="O12" s="27"/>
      <c r="P12" s="30"/>
      <c r="Q12" s="30"/>
      <c r="R12" s="67"/>
    </row>
    <row r="13" spans="1:21" x14ac:dyDescent="0.3">
      <c r="A13" s="50" t="s">
        <v>151</v>
      </c>
      <c r="B13" s="19" t="s">
        <v>41</v>
      </c>
      <c r="C13" s="20" t="s">
        <v>42</v>
      </c>
      <c r="D13" s="21">
        <v>1446</v>
      </c>
      <c r="E13" s="21">
        <v>0</v>
      </c>
      <c r="F13" s="21">
        <v>1278</v>
      </c>
      <c r="G13" s="21">
        <v>0</v>
      </c>
      <c r="H13" s="21">
        <v>0</v>
      </c>
      <c r="I13" s="21">
        <v>0</v>
      </c>
      <c r="J13" s="21">
        <v>0</v>
      </c>
      <c r="K13" s="23"/>
      <c r="L13" s="21">
        <v>0</v>
      </c>
      <c r="M13" s="21">
        <v>0</v>
      </c>
      <c r="N13" s="21">
        <v>0</v>
      </c>
      <c r="O13" s="21">
        <v>0</v>
      </c>
      <c r="P13" s="21" t="e">
        <f>+N13-#REF!</f>
        <v>#REF!</v>
      </c>
      <c r="Q13" s="21">
        <f>+N13-O13</f>
        <v>0</v>
      </c>
      <c r="R13" s="34"/>
      <c r="U13" s="94"/>
    </row>
    <row r="14" spans="1:21" x14ac:dyDescent="0.3">
      <c r="A14" s="50" t="s">
        <v>151</v>
      </c>
      <c r="B14" s="19" t="s">
        <v>15</v>
      </c>
      <c r="C14" s="20" t="s">
        <v>16</v>
      </c>
      <c r="D14" s="21">
        <v>6909</v>
      </c>
      <c r="E14" s="21">
        <v>0</v>
      </c>
      <c r="F14" s="21">
        <v>4991</v>
      </c>
      <c r="G14" s="21">
        <v>0</v>
      </c>
      <c r="H14" s="21">
        <v>0</v>
      </c>
      <c r="I14" s="21">
        <v>0</v>
      </c>
      <c r="J14" s="21">
        <v>0</v>
      </c>
      <c r="K14" s="23"/>
      <c r="L14" s="21">
        <v>0</v>
      </c>
      <c r="M14" s="21">
        <v>0</v>
      </c>
      <c r="N14" s="21">
        <v>0</v>
      </c>
      <c r="O14" s="21">
        <v>0</v>
      </c>
      <c r="P14" s="21" t="e">
        <f>+N14-#REF!</f>
        <v>#REF!</v>
      </c>
      <c r="Q14" s="21">
        <f>+N14-O14</f>
        <v>0</v>
      </c>
      <c r="R14" s="34"/>
    </row>
    <row r="15" spans="1:21" x14ac:dyDescent="0.3">
      <c r="A15" s="50" t="s">
        <v>151</v>
      </c>
      <c r="B15" s="19" t="s">
        <v>17</v>
      </c>
      <c r="C15" s="20" t="s">
        <v>18</v>
      </c>
      <c r="D15" s="21">
        <v>1616</v>
      </c>
      <c r="E15" s="21">
        <v>0</v>
      </c>
      <c r="F15" s="21">
        <v>1168</v>
      </c>
      <c r="G15" s="21">
        <v>0</v>
      </c>
      <c r="H15" s="21">
        <v>0</v>
      </c>
      <c r="I15" s="21">
        <v>0</v>
      </c>
      <c r="J15" s="21">
        <v>0</v>
      </c>
      <c r="K15" s="23"/>
      <c r="L15" s="21">
        <v>0</v>
      </c>
      <c r="M15" s="21">
        <v>0</v>
      </c>
      <c r="N15" s="21">
        <v>0</v>
      </c>
      <c r="O15" s="21">
        <v>0</v>
      </c>
      <c r="P15" s="21" t="e">
        <f>+N15-#REF!</f>
        <v>#REF!</v>
      </c>
      <c r="Q15" s="21">
        <f>+N15-O15</f>
        <v>0</v>
      </c>
      <c r="R15" s="34"/>
    </row>
    <row r="16" spans="1:21" x14ac:dyDescent="0.3">
      <c r="A16" s="50" t="s">
        <v>151</v>
      </c>
      <c r="B16" s="19" t="s">
        <v>43</v>
      </c>
      <c r="C16" s="20" t="s">
        <v>44</v>
      </c>
      <c r="D16" s="21">
        <v>15668</v>
      </c>
      <c r="E16" s="21">
        <v>0</v>
      </c>
      <c r="F16" s="21">
        <v>10892</v>
      </c>
      <c r="G16" s="21">
        <v>0</v>
      </c>
      <c r="H16" s="21">
        <v>0</v>
      </c>
      <c r="I16" s="21">
        <v>0</v>
      </c>
      <c r="J16" s="21">
        <v>0</v>
      </c>
      <c r="K16" s="23"/>
      <c r="L16" s="21">
        <v>0</v>
      </c>
      <c r="M16" s="21">
        <v>0</v>
      </c>
      <c r="N16" s="21">
        <v>0</v>
      </c>
      <c r="O16" s="21">
        <v>0</v>
      </c>
      <c r="P16" s="21" t="e">
        <f>+N16-#REF!</f>
        <v>#REF!</v>
      </c>
      <c r="Q16" s="21">
        <f>+N16-O16</f>
        <v>0</v>
      </c>
      <c r="R16" s="34"/>
    </row>
    <row r="17" spans="1:20" x14ac:dyDescent="0.3">
      <c r="A17" s="177" t="s">
        <v>75</v>
      </c>
      <c r="B17" s="177"/>
      <c r="C17" s="177"/>
      <c r="D17" s="24">
        <f t="shared" ref="D17:J17" si="3">SUM(D13:D16)</f>
        <v>25639</v>
      </c>
      <c r="E17" s="24">
        <f t="shared" si="3"/>
        <v>0</v>
      </c>
      <c r="F17" s="24">
        <f t="shared" si="3"/>
        <v>18329</v>
      </c>
      <c r="G17" s="24">
        <f t="shared" si="3"/>
        <v>0</v>
      </c>
      <c r="H17" s="24">
        <f t="shared" si="3"/>
        <v>0</v>
      </c>
      <c r="I17" s="24">
        <f t="shared" si="3"/>
        <v>0</v>
      </c>
      <c r="J17" s="24">
        <f t="shared" si="3"/>
        <v>0</v>
      </c>
      <c r="K17" s="26"/>
      <c r="L17" s="24">
        <f>SUM(L13:L16)</f>
        <v>0</v>
      </c>
      <c r="M17" s="24">
        <f>SUM(M13:M16)</f>
        <v>0</v>
      </c>
      <c r="N17" s="24">
        <f>SUM(N13:N16)</f>
        <v>0</v>
      </c>
      <c r="O17" s="24">
        <f>SUM(O13:O16)</f>
        <v>0</v>
      </c>
      <c r="P17" s="24" t="e">
        <f t="shared" ref="P17:Q17" si="4">SUM(P13:P16)</f>
        <v>#REF!</v>
      </c>
      <c r="Q17" s="24">
        <f t="shared" si="4"/>
        <v>0</v>
      </c>
      <c r="R17" s="34"/>
    </row>
    <row r="18" spans="1:20" x14ac:dyDescent="0.3">
      <c r="A18" s="175" t="s">
        <v>21</v>
      </c>
      <c r="B18" s="175"/>
      <c r="C18" s="175"/>
      <c r="D18" s="27"/>
      <c r="E18" s="27"/>
      <c r="F18" s="27"/>
      <c r="G18" s="27"/>
      <c r="H18" s="27"/>
      <c r="I18" s="27"/>
      <c r="J18" s="27"/>
      <c r="K18" s="29"/>
      <c r="L18" s="27"/>
      <c r="M18" s="27"/>
      <c r="N18" s="27"/>
      <c r="O18" s="27"/>
      <c r="P18" s="30"/>
      <c r="Q18" s="30"/>
      <c r="R18" s="67"/>
    </row>
    <row r="19" spans="1:20" x14ac:dyDescent="0.3">
      <c r="A19" s="50" t="s">
        <v>151</v>
      </c>
      <c r="B19" s="19" t="s">
        <v>152</v>
      </c>
      <c r="C19" s="20" t="s">
        <v>153</v>
      </c>
      <c r="D19" s="21">
        <v>50000</v>
      </c>
      <c r="E19" s="21">
        <v>267008.37</v>
      </c>
      <c r="F19" s="21">
        <v>100000</v>
      </c>
      <c r="G19" s="21">
        <v>332331.86</v>
      </c>
      <c r="H19" s="21">
        <v>200000</v>
      </c>
      <c r="I19" s="21">
        <v>332618.7</v>
      </c>
      <c r="J19" s="21">
        <v>200000</v>
      </c>
      <c r="K19" s="23"/>
      <c r="L19" s="21">
        <v>275000</v>
      </c>
      <c r="M19" s="21">
        <v>275000</v>
      </c>
      <c r="N19" s="21">
        <v>275000</v>
      </c>
      <c r="O19" s="21">
        <v>200000</v>
      </c>
      <c r="P19" s="21" t="e">
        <f>+N19-#REF!</f>
        <v>#REF!</v>
      </c>
      <c r="Q19" s="21">
        <f>+N19-O19</f>
        <v>75000</v>
      </c>
      <c r="R19" s="34"/>
    </row>
    <row r="20" spans="1:20" x14ac:dyDescent="0.3">
      <c r="A20" s="176" t="s">
        <v>76</v>
      </c>
      <c r="B20" s="176"/>
      <c r="C20" s="176"/>
      <c r="D20" s="24">
        <f t="shared" ref="D20:J20" si="5">SUM(D19:D19)</f>
        <v>50000</v>
      </c>
      <c r="E20" s="24">
        <f t="shared" si="5"/>
        <v>267008.37</v>
      </c>
      <c r="F20" s="24">
        <f t="shared" si="5"/>
        <v>100000</v>
      </c>
      <c r="G20" s="24">
        <f t="shared" si="5"/>
        <v>332331.86</v>
      </c>
      <c r="H20" s="24">
        <f t="shared" si="5"/>
        <v>200000</v>
      </c>
      <c r="I20" s="24">
        <f t="shared" si="5"/>
        <v>332618.7</v>
      </c>
      <c r="J20" s="24">
        <f t="shared" si="5"/>
        <v>200000</v>
      </c>
      <c r="K20" s="26"/>
      <c r="L20" s="24">
        <f t="shared" ref="L20:Q20" si="6">SUM(L19:L19)</f>
        <v>275000</v>
      </c>
      <c r="M20" s="24">
        <f t="shared" si="6"/>
        <v>275000</v>
      </c>
      <c r="N20" s="24">
        <f t="shared" si="6"/>
        <v>275000</v>
      </c>
      <c r="O20" s="24">
        <f t="shared" si="6"/>
        <v>200000</v>
      </c>
      <c r="P20" s="24" t="e">
        <f t="shared" si="6"/>
        <v>#REF!</v>
      </c>
      <c r="Q20" s="24">
        <f t="shared" si="6"/>
        <v>75000</v>
      </c>
      <c r="R20" s="34"/>
    </row>
    <row r="21" spans="1:20" x14ac:dyDescent="0.3">
      <c r="A21" s="175" t="s">
        <v>45</v>
      </c>
      <c r="B21" s="175"/>
      <c r="C21" s="175"/>
      <c r="D21" s="27"/>
      <c r="E21" s="27"/>
      <c r="F21" s="27"/>
      <c r="G21" s="27"/>
      <c r="H21" s="27"/>
      <c r="I21" s="27"/>
      <c r="J21" s="27"/>
      <c r="K21" s="29"/>
      <c r="L21" s="27"/>
      <c r="M21" s="27"/>
      <c r="N21" s="27"/>
      <c r="O21" s="27"/>
      <c r="P21" s="30"/>
      <c r="Q21" s="30"/>
      <c r="R21" s="67"/>
    </row>
    <row r="22" spans="1:20" x14ac:dyDescent="0.3">
      <c r="A22" s="50" t="s">
        <v>151</v>
      </c>
      <c r="B22" s="19" t="s">
        <v>46</v>
      </c>
      <c r="C22" s="20" t="s">
        <v>47</v>
      </c>
      <c r="D22" s="21">
        <v>4992</v>
      </c>
      <c r="E22" s="21">
        <v>252.1</v>
      </c>
      <c r="F22" s="21">
        <v>0</v>
      </c>
      <c r="G22" s="21">
        <v>0</v>
      </c>
      <c r="H22" s="21">
        <v>0</v>
      </c>
      <c r="I22" s="21">
        <v>0</v>
      </c>
      <c r="J22" s="21">
        <v>0</v>
      </c>
      <c r="K22" s="23"/>
      <c r="L22" s="21">
        <v>0</v>
      </c>
      <c r="M22" s="21">
        <v>0</v>
      </c>
      <c r="N22" s="21">
        <v>0</v>
      </c>
      <c r="O22" s="21">
        <v>0</v>
      </c>
      <c r="P22" s="21" t="e">
        <f>+N22-#REF!</f>
        <v>#REF!</v>
      </c>
      <c r="Q22" s="21">
        <f>+N22-O22</f>
        <v>0</v>
      </c>
      <c r="R22" s="34"/>
    </row>
    <row r="23" spans="1:20" x14ac:dyDescent="0.3">
      <c r="A23" s="177" t="s">
        <v>85</v>
      </c>
      <c r="B23" s="177"/>
      <c r="C23" s="177"/>
      <c r="D23" s="24">
        <f t="shared" ref="D23:J23" si="7">SUM(D22:D22)</f>
        <v>4992</v>
      </c>
      <c r="E23" s="24">
        <f t="shared" si="7"/>
        <v>252.1</v>
      </c>
      <c r="F23" s="24">
        <f t="shared" si="7"/>
        <v>0</v>
      </c>
      <c r="G23" s="24">
        <f t="shared" si="7"/>
        <v>0</v>
      </c>
      <c r="H23" s="24">
        <f t="shared" si="7"/>
        <v>0</v>
      </c>
      <c r="I23" s="24">
        <f t="shared" si="7"/>
        <v>0</v>
      </c>
      <c r="J23" s="24">
        <f t="shared" si="7"/>
        <v>0</v>
      </c>
      <c r="K23" s="26"/>
      <c r="L23" s="24">
        <f>SUM(L22:L22)</f>
        <v>0</v>
      </c>
      <c r="M23" s="24">
        <f>SUM(M22:M22)</f>
        <v>0</v>
      </c>
      <c r="N23" s="24">
        <f>SUM(N22:N22)</f>
        <v>0</v>
      </c>
      <c r="O23" s="24">
        <f>SUM(O22:O22)</f>
        <v>0</v>
      </c>
      <c r="P23" s="24" t="e">
        <f t="shared" ref="P23:Q23" si="8">SUM(P22:P22)</f>
        <v>#REF!</v>
      </c>
      <c r="Q23" s="24">
        <f t="shared" si="8"/>
        <v>0</v>
      </c>
      <c r="R23" s="34"/>
    </row>
    <row r="24" spans="1:20" x14ac:dyDescent="0.3">
      <c r="A24" s="178" t="s">
        <v>78</v>
      </c>
      <c r="B24" s="178"/>
      <c r="C24" s="178"/>
      <c r="D24" s="40">
        <f t="shared" ref="D24:J24" si="9">D11+D17+D20+D23</f>
        <v>192062</v>
      </c>
      <c r="E24" s="40">
        <f t="shared" si="9"/>
        <v>267260.46999999997</v>
      </c>
      <c r="F24" s="40">
        <f t="shared" si="9"/>
        <v>198825</v>
      </c>
      <c r="G24" s="40">
        <f t="shared" si="9"/>
        <v>332331.86</v>
      </c>
      <c r="H24" s="40">
        <f t="shared" si="9"/>
        <v>200000</v>
      </c>
      <c r="I24" s="40">
        <f t="shared" si="9"/>
        <v>332618.7</v>
      </c>
      <c r="J24" s="40">
        <f t="shared" si="9"/>
        <v>200000</v>
      </c>
      <c r="K24" s="26"/>
      <c r="L24" s="40">
        <f t="shared" ref="L24:Q24" si="10">L11+L17+L20+L23</f>
        <v>275000</v>
      </c>
      <c r="M24" s="40">
        <f t="shared" si="10"/>
        <v>275000</v>
      </c>
      <c r="N24" s="40">
        <f t="shared" si="10"/>
        <v>275000</v>
      </c>
      <c r="O24" s="40">
        <f t="shared" si="10"/>
        <v>200000</v>
      </c>
      <c r="P24" s="40" t="e">
        <f t="shared" si="10"/>
        <v>#REF!</v>
      </c>
      <c r="Q24" s="40">
        <f t="shared" si="10"/>
        <v>75000</v>
      </c>
      <c r="R24" s="34"/>
    </row>
    <row r="25" spans="1:20" x14ac:dyDescent="0.3">
      <c r="A25" s="178" t="s">
        <v>154</v>
      </c>
      <c r="B25" s="178"/>
      <c r="C25" s="178"/>
      <c r="D25" s="40">
        <f t="shared" ref="D25:J26" si="11">D24</f>
        <v>192062</v>
      </c>
      <c r="E25" s="40">
        <f t="shared" si="11"/>
        <v>267260.46999999997</v>
      </c>
      <c r="F25" s="40">
        <f t="shared" si="11"/>
        <v>198825</v>
      </c>
      <c r="G25" s="40">
        <f t="shared" si="11"/>
        <v>332331.86</v>
      </c>
      <c r="H25" s="40">
        <f t="shared" si="11"/>
        <v>200000</v>
      </c>
      <c r="I25" s="40">
        <f t="shared" si="11"/>
        <v>332618.7</v>
      </c>
      <c r="J25" s="40">
        <f t="shared" si="11"/>
        <v>200000</v>
      </c>
      <c r="K25" s="26"/>
      <c r="L25" s="40">
        <f t="shared" ref="L25:N26" si="12">L24</f>
        <v>275000</v>
      </c>
      <c r="M25" s="40">
        <f t="shared" si="12"/>
        <v>275000</v>
      </c>
      <c r="N25" s="40">
        <f t="shared" si="12"/>
        <v>275000</v>
      </c>
      <c r="O25" s="40">
        <f>O24</f>
        <v>200000</v>
      </c>
      <c r="P25" s="40" t="e">
        <f t="shared" ref="P25:Q26" si="13">P24</f>
        <v>#REF!</v>
      </c>
      <c r="Q25" s="40">
        <f t="shared" si="13"/>
        <v>75000</v>
      </c>
      <c r="R25" s="34"/>
    </row>
    <row r="26" spans="1:20" x14ac:dyDescent="0.3">
      <c r="A26" s="179" t="s">
        <v>80</v>
      </c>
      <c r="B26" s="179"/>
      <c r="C26" s="179"/>
      <c r="D26" s="41">
        <f t="shared" si="11"/>
        <v>192062</v>
      </c>
      <c r="E26" s="41">
        <f t="shared" si="11"/>
        <v>267260.46999999997</v>
      </c>
      <c r="F26" s="41">
        <f t="shared" si="11"/>
        <v>198825</v>
      </c>
      <c r="G26" s="41">
        <f t="shared" si="11"/>
        <v>332331.86</v>
      </c>
      <c r="H26" s="41">
        <f t="shared" si="11"/>
        <v>200000</v>
      </c>
      <c r="I26" s="41">
        <f t="shared" si="11"/>
        <v>332618.7</v>
      </c>
      <c r="J26" s="41">
        <f t="shared" si="11"/>
        <v>200000</v>
      </c>
      <c r="K26" s="26"/>
      <c r="L26" s="41">
        <f t="shared" si="12"/>
        <v>275000</v>
      </c>
      <c r="M26" s="41">
        <f t="shared" si="12"/>
        <v>275000</v>
      </c>
      <c r="N26" s="41">
        <f t="shared" si="12"/>
        <v>275000</v>
      </c>
      <c r="O26" s="41">
        <f>O25</f>
        <v>200000</v>
      </c>
      <c r="P26" s="41" t="e">
        <f t="shared" si="13"/>
        <v>#REF!</v>
      </c>
      <c r="Q26" s="41">
        <f t="shared" si="13"/>
        <v>75000</v>
      </c>
      <c r="R26" s="34"/>
    </row>
    <row r="27" spans="1:20" ht="6" customHeight="1" x14ac:dyDescent="0.3">
      <c r="D27" s="27"/>
      <c r="E27" s="27"/>
      <c r="F27" s="27"/>
      <c r="G27" s="27"/>
      <c r="H27" s="27"/>
      <c r="I27" s="27"/>
      <c r="J27" s="27"/>
      <c r="K27" s="29"/>
      <c r="L27" s="27"/>
      <c r="M27" s="27"/>
      <c r="N27" s="27"/>
      <c r="O27" s="27"/>
      <c r="P27" s="30"/>
      <c r="Q27" s="30"/>
      <c r="R27" s="67"/>
    </row>
    <row r="28" spans="1:20" x14ac:dyDescent="0.3">
      <c r="A28" s="179" t="s">
        <v>81</v>
      </c>
      <c r="B28" s="179"/>
      <c r="C28" s="179"/>
      <c r="D28" s="41">
        <f t="shared" ref="D28:J28" si="14">D26</f>
        <v>192062</v>
      </c>
      <c r="E28" s="41">
        <f t="shared" si="14"/>
        <v>267260.46999999997</v>
      </c>
      <c r="F28" s="41">
        <f t="shared" si="14"/>
        <v>198825</v>
      </c>
      <c r="G28" s="41">
        <f t="shared" si="14"/>
        <v>332331.86</v>
      </c>
      <c r="H28" s="41">
        <f t="shared" si="14"/>
        <v>200000</v>
      </c>
      <c r="I28" s="41">
        <f t="shared" si="14"/>
        <v>332618.7</v>
      </c>
      <c r="J28" s="41">
        <f t="shared" si="14"/>
        <v>200000</v>
      </c>
      <c r="K28" s="26"/>
      <c r="L28" s="41">
        <f>L26</f>
        <v>275000</v>
      </c>
      <c r="M28" s="41">
        <f>M26</f>
        <v>275000</v>
      </c>
      <c r="N28" s="41">
        <f>N26</f>
        <v>275000</v>
      </c>
      <c r="O28" s="41">
        <f>O26</f>
        <v>200000</v>
      </c>
      <c r="P28" s="41" t="e">
        <f t="shared" ref="P28:Q28" si="15">P26</f>
        <v>#REF!</v>
      </c>
      <c r="Q28" s="41">
        <f t="shared" si="15"/>
        <v>75000</v>
      </c>
      <c r="R28" s="34"/>
    </row>
    <row r="29" spans="1:20" ht="6" customHeight="1" x14ac:dyDescent="0.3">
      <c r="D29" s="30"/>
      <c r="E29" s="30"/>
      <c r="F29" s="30"/>
      <c r="G29" s="30"/>
      <c r="H29" s="30"/>
      <c r="I29" s="30"/>
      <c r="J29" s="30"/>
      <c r="K29" s="30"/>
      <c r="L29" s="30"/>
      <c r="M29" s="30"/>
      <c r="N29" s="30"/>
      <c r="O29" s="30"/>
    </row>
    <row r="30" spans="1:20" x14ac:dyDescent="0.3">
      <c r="S30" s="3"/>
      <c r="T30" s="3"/>
    </row>
    <row r="31" spans="1:20" x14ac:dyDescent="0.3">
      <c r="L31" s="97"/>
      <c r="M31" s="97"/>
      <c r="N31" s="97"/>
      <c r="S31" s="3"/>
      <c r="T31" s="3"/>
    </row>
    <row r="32" spans="1:20" x14ac:dyDescent="0.3">
      <c r="S32" s="3"/>
      <c r="T32" s="3"/>
    </row>
    <row r="33" spans="19:20" x14ac:dyDescent="0.3">
      <c r="S33" s="3"/>
      <c r="T33" s="3"/>
    </row>
    <row r="34" spans="19:20" x14ac:dyDescent="0.3">
      <c r="S34" s="3"/>
      <c r="T34" s="3"/>
    </row>
    <row r="35" spans="19:20" x14ac:dyDescent="0.3">
      <c r="S35" s="3"/>
      <c r="T35" s="3"/>
    </row>
    <row r="36" spans="19:20" x14ac:dyDescent="0.3">
      <c r="S36" s="3"/>
      <c r="T36" s="3"/>
    </row>
    <row r="37" spans="19:20" x14ac:dyDescent="0.3">
      <c r="S37" s="3"/>
      <c r="T37" s="3"/>
    </row>
  </sheetData>
  <mergeCells count="17">
    <mergeCell ref="A23:C23"/>
    <mergeCell ref="A24:C24"/>
    <mergeCell ref="A25:C25"/>
    <mergeCell ref="A26:C26"/>
    <mergeCell ref="A28:C28"/>
    <mergeCell ref="A21:C21"/>
    <mergeCell ref="A1:Q1"/>
    <mergeCell ref="A5:C5"/>
    <mergeCell ref="A6:C6"/>
    <mergeCell ref="A7:C7"/>
    <mergeCell ref="A8:C8"/>
    <mergeCell ref="A9:C9"/>
    <mergeCell ref="A11:C11"/>
    <mergeCell ref="A12:C12"/>
    <mergeCell ref="A17:C17"/>
    <mergeCell ref="A18:C18"/>
    <mergeCell ref="A20:C20"/>
  </mergeCells>
  <printOptions horizontalCentered="1" verticalCentered="1"/>
  <pageMargins left="0.7" right="0.7" top="0.75" bottom="0.75" header="0.3" footer="0.3"/>
  <pageSetup scale="64" fitToHeight="0" orientation="landscape" r:id="rId1"/>
  <headerFooter>
    <oddFooter>&amp;RBudget Kick Off - 11.01.25</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36843-4785-41D2-B31C-F3CE3AB6A467}">
  <sheetPr codeName="Sheet13">
    <tabColor rgb="FF92D050"/>
    <pageSetUpPr fitToPage="1"/>
  </sheetPr>
  <dimension ref="A1:Q57"/>
  <sheetViews>
    <sheetView zoomScaleNormal="100" zoomScaleSheetLayoutView="100" workbookViewId="0">
      <pane ySplit="3" topLeftCell="A40" activePane="bottomLeft" state="frozen"/>
      <selection activeCell="L26" sqref="L26"/>
      <selection pane="bottomLeft" activeCell="K3" sqref="K3"/>
    </sheetView>
  </sheetViews>
  <sheetFormatPr defaultColWidth="9" defaultRowHeight="14.4" x14ac:dyDescent="0.3"/>
  <cols>
    <col min="1" max="1" width="8" style="3" customWidth="1"/>
    <col min="2" max="2" width="14.109375" style="10" bestFit="1" customWidth="1"/>
    <col min="3" max="3" width="25" style="3" bestFit="1" customWidth="1"/>
    <col min="4" max="4" width="11" style="3" customWidth="1"/>
    <col min="5" max="5" width="11.44140625" style="3" customWidth="1"/>
    <col min="6" max="6" width="11" style="3" customWidth="1"/>
    <col min="7" max="7" width="11.44140625" style="3" customWidth="1"/>
    <col min="8" max="8" width="11" style="3" bestFit="1" customWidth="1"/>
    <col min="9" max="9" width="11.44140625" style="3" bestFit="1" customWidth="1"/>
    <col min="10" max="10" width="11" style="3" bestFit="1" customWidth="1"/>
    <col min="11" max="11" width="1.109375" style="3" customWidth="1"/>
    <col min="12" max="12" width="11.44140625" style="3" bestFit="1" customWidth="1"/>
    <col min="13" max="13" width="11.5546875" style="3" customWidth="1"/>
    <col min="14" max="14" width="12.33203125" customWidth="1"/>
    <col min="15" max="16" width="11.109375" bestFit="1" customWidth="1"/>
    <col min="17" max="17" width="11.33203125" style="77" bestFit="1" customWidth="1"/>
    <col min="18" max="16384" width="9" style="3"/>
  </cols>
  <sheetData>
    <row r="1" spans="1:17" ht="75" customHeight="1" x14ac:dyDescent="0.25">
      <c r="A1" s="170" t="s">
        <v>155</v>
      </c>
      <c r="B1" s="170"/>
      <c r="C1" s="170"/>
      <c r="D1" s="170"/>
      <c r="E1" s="170"/>
      <c r="F1" s="170"/>
      <c r="G1" s="170"/>
      <c r="H1" s="170"/>
      <c r="I1" s="170"/>
      <c r="J1" s="170"/>
      <c r="K1" s="170"/>
      <c r="L1" s="170"/>
      <c r="M1" s="170"/>
      <c r="N1" s="170"/>
      <c r="O1" s="170"/>
      <c r="P1" s="170"/>
      <c r="Q1" s="170"/>
    </row>
    <row r="2" spans="1:17" ht="6" customHeight="1" x14ac:dyDescent="0.25">
      <c r="N2" s="3"/>
      <c r="O2" s="3"/>
      <c r="P2" s="3"/>
      <c r="Q2" s="51"/>
    </row>
    <row r="3" spans="1:17" s="49" customFormat="1" ht="66" x14ac:dyDescent="0.3">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c r="N4" s="3"/>
      <c r="O4" s="3"/>
      <c r="P4" s="3"/>
      <c r="Q4" s="51"/>
    </row>
    <row r="5" spans="1:17" ht="13.8" x14ac:dyDescent="0.25">
      <c r="A5" s="12" t="s">
        <v>69</v>
      </c>
      <c r="B5" s="12"/>
      <c r="C5" s="12"/>
      <c r="D5" s="12"/>
      <c r="E5" s="12"/>
      <c r="F5" s="12"/>
      <c r="G5" s="12"/>
      <c r="K5" s="8"/>
      <c r="N5" s="3"/>
      <c r="O5" s="3"/>
      <c r="P5" s="3"/>
      <c r="Q5" s="51"/>
    </row>
    <row r="6" spans="1:17" ht="13.8" x14ac:dyDescent="0.25">
      <c r="A6" s="80" t="s">
        <v>70</v>
      </c>
      <c r="B6" s="80"/>
      <c r="C6" s="80"/>
      <c r="D6" s="80"/>
      <c r="E6" s="80"/>
      <c r="F6" s="80"/>
      <c r="G6" s="80"/>
      <c r="K6" s="8"/>
      <c r="N6" s="3"/>
      <c r="O6" s="3"/>
      <c r="P6" s="3"/>
      <c r="Q6" s="51"/>
    </row>
    <row r="7" spans="1:17" ht="13.8" x14ac:dyDescent="0.25">
      <c r="A7" s="12" t="s">
        <v>156</v>
      </c>
      <c r="B7" s="12"/>
      <c r="C7" s="12"/>
      <c r="D7" s="12"/>
      <c r="E7" s="12"/>
      <c r="F7" s="12"/>
      <c r="G7" s="12"/>
      <c r="K7" s="8"/>
      <c r="N7" s="3"/>
      <c r="O7" s="3"/>
      <c r="P7" s="3"/>
      <c r="Q7" s="51"/>
    </row>
    <row r="8" spans="1:17" ht="13.8" x14ac:dyDescent="0.25">
      <c r="A8" s="12" t="s">
        <v>72</v>
      </c>
      <c r="B8" s="12"/>
      <c r="C8" s="12"/>
      <c r="D8" s="12"/>
      <c r="E8" s="12"/>
      <c r="F8" s="12"/>
      <c r="G8" s="12"/>
      <c r="K8" s="8"/>
      <c r="N8" s="3"/>
      <c r="O8" s="3"/>
      <c r="P8" s="3"/>
      <c r="Q8" s="51"/>
    </row>
    <row r="9" spans="1:17" ht="13.8" x14ac:dyDescent="0.25">
      <c r="A9" s="82" t="s">
        <v>21</v>
      </c>
      <c r="B9" s="82"/>
      <c r="C9" s="82"/>
      <c r="D9" s="82"/>
      <c r="E9" s="82"/>
      <c r="F9" s="82"/>
      <c r="G9" s="82"/>
      <c r="K9" s="8"/>
      <c r="N9" s="3"/>
      <c r="O9" s="3"/>
      <c r="P9" s="3"/>
      <c r="Q9" s="51"/>
    </row>
    <row r="10" spans="1:17" ht="13.8" x14ac:dyDescent="0.25">
      <c r="A10" s="18" t="s">
        <v>157</v>
      </c>
      <c r="B10" s="19" t="s">
        <v>28</v>
      </c>
      <c r="C10" s="20" t="s">
        <v>29</v>
      </c>
      <c r="D10" s="21">
        <v>45000</v>
      </c>
      <c r="E10" s="21">
        <v>50729.35</v>
      </c>
      <c r="F10" s="21">
        <v>46171</v>
      </c>
      <c r="G10" s="21">
        <v>58516.4</v>
      </c>
      <c r="H10" s="21">
        <v>46171</v>
      </c>
      <c r="I10" s="21">
        <v>47442.04</v>
      </c>
      <c r="J10" s="34">
        <v>52514</v>
      </c>
      <c r="K10" s="79"/>
      <c r="L10" s="34">
        <v>54000</v>
      </c>
      <c r="M10" s="34">
        <v>54000</v>
      </c>
      <c r="N10" s="34">
        <v>54000</v>
      </c>
      <c r="O10" s="34">
        <v>52514</v>
      </c>
      <c r="P10" s="21">
        <f>+N10-J10</f>
        <v>1486</v>
      </c>
      <c r="Q10" s="21">
        <f>+N10-O10</f>
        <v>1486</v>
      </c>
    </row>
    <row r="11" spans="1:17" ht="13.8" x14ac:dyDescent="0.25">
      <c r="A11" s="18" t="s">
        <v>157</v>
      </c>
      <c r="B11" s="19" t="s">
        <v>144</v>
      </c>
      <c r="C11" s="20" t="s">
        <v>145</v>
      </c>
      <c r="D11" s="21">
        <v>58669</v>
      </c>
      <c r="E11" s="21">
        <v>70110.039999999994</v>
      </c>
      <c r="F11" s="21">
        <v>64616</v>
      </c>
      <c r="G11" s="21">
        <v>84149.71</v>
      </c>
      <c r="H11" s="21">
        <v>64616</v>
      </c>
      <c r="I11" s="21">
        <v>64243.09</v>
      </c>
      <c r="J11" s="34">
        <v>0</v>
      </c>
      <c r="K11" s="79"/>
      <c r="L11" s="34">
        <v>0</v>
      </c>
      <c r="M11" s="34">
        <v>0</v>
      </c>
      <c r="N11" s="34">
        <v>0</v>
      </c>
      <c r="O11" s="34">
        <v>0</v>
      </c>
      <c r="P11" s="21">
        <f t="shared" ref="P11:P13" si="0">+N11-J11</f>
        <v>0</v>
      </c>
      <c r="Q11" s="21">
        <f t="shared" ref="Q11:Q13" si="1">+N11-O11</f>
        <v>0</v>
      </c>
    </row>
    <row r="12" spans="1:17" ht="13.8" x14ac:dyDescent="0.25">
      <c r="A12" s="18" t="s">
        <v>157</v>
      </c>
      <c r="B12" s="19" t="s">
        <v>158</v>
      </c>
      <c r="C12" s="20" t="s">
        <v>159</v>
      </c>
      <c r="D12" s="21">
        <v>32000</v>
      </c>
      <c r="E12" s="21">
        <v>29280.63</v>
      </c>
      <c r="F12" s="21">
        <v>32000</v>
      </c>
      <c r="G12" s="21">
        <v>24599.599999999999</v>
      </c>
      <c r="H12" s="21">
        <v>32000</v>
      </c>
      <c r="I12" s="21">
        <v>36040</v>
      </c>
      <c r="J12" s="34">
        <v>31250</v>
      </c>
      <c r="K12" s="79"/>
      <c r="L12" s="34">
        <v>34500</v>
      </c>
      <c r="M12" s="34">
        <v>34500</v>
      </c>
      <c r="N12" s="34">
        <v>34500</v>
      </c>
      <c r="O12" s="34">
        <v>32000</v>
      </c>
      <c r="P12" s="21">
        <f t="shared" si="0"/>
        <v>3250</v>
      </c>
      <c r="Q12" s="21">
        <f t="shared" si="1"/>
        <v>2500</v>
      </c>
    </row>
    <row r="13" spans="1:17" ht="13.8" x14ac:dyDescent="0.25">
      <c r="A13" s="18" t="s">
        <v>157</v>
      </c>
      <c r="B13" s="19" t="s">
        <v>111</v>
      </c>
      <c r="C13" s="20" t="s">
        <v>112</v>
      </c>
      <c r="D13" s="21">
        <v>40000</v>
      </c>
      <c r="E13" s="21">
        <v>33230.730000000003</v>
      </c>
      <c r="F13" s="21">
        <v>20000</v>
      </c>
      <c r="G13" s="21">
        <v>23626.73</v>
      </c>
      <c r="H13" s="21">
        <v>20000</v>
      </c>
      <c r="I13" s="21">
        <v>27175.33</v>
      </c>
      <c r="J13" s="34">
        <v>20000</v>
      </c>
      <c r="K13" s="79"/>
      <c r="L13" s="34">
        <v>22500</v>
      </c>
      <c r="M13" s="34">
        <v>22500</v>
      </c>
      <c r="N13" s="34">
        <v>22500</v>
      </c>
      <c r="O13" s="34">
        <v>22289</v>
      </c>
      <c r="P13" s="21">
        <f t="shared" si="0"/>
        <v>2500</v>
      </c>
      <c r="Q13" s="21">
        <f t="shared" si="1"/>
        <v>211</v>
      </c>
    </row>
    <row r="14" spans="1:17" ht="13.8" x14ac:dyDescent="0.25">
      <c r="A14" s="83" t="s">
        <v>76</v>
      </c>
      <c r="B14" s="84"/>
      <c r="C14" s="84"/>
      <c r="D14" s="24">
        <f t="shared" ref="D14:G14" si="2">SUM(D10:D13)</f>
        <v>175669</v>
      </c>
      <c r="E14" s="24">
        <f t="shared" si="2"/>
        <v>183350.75</v>
      </c>
      <c r="F14" s="24">
        <f t="shared" si="2"/>
        <v>162787</v>
      </c>
      <c r="G14" s="24">
        <f t="shared" si="2"/>
        <v>190892.44000000003</v>
      </c>
      <c r="H14" s="24">
        <f t="shared" ref="H14:J14" si="3">SUM(H10:H13)</f>
        <v>162787</v>
      </c>
      <c r="I14" s="24">
        <f t="shared" si="3"/>
        <v>174900.46000000002</v>
      </c>
      <c r="J14" s="24">
        <f t="shared" si="3"/>
        <v>103764</v>
      </c>
      <c r="K14" s="79"/>
      <c r="L14" s="24">
        <f t="shared" ref="L14:Q14" si="4">SUM(L10:L13)</f>
        <v>111000</v>
      </c>
      <c r="M14" s="24">
        <f t="shared" si="4"/>
        <v>111000</v>
      </c>
      <c r="N14" s="24">
        <f t="shared" si="4"/>
        <v>111000</v>
      </c>
      <c r="O14" s="24">
        <f t="shared" si="4"/>
        <v>106803</v>
      </c>
      <c r="P14" s="24">
        <f t="shared" si="4"/>
        <v>7236</v>
      </c>
      <c r="Q14" s="24">
        <f t="shared" si="4"/>
        <v>4197</v>
      </c>
    </row>
    <row r="15" spans="1:17" ht="13.8" x14ac:dyDescent="0.25">
      <c r="A15" s="82" t="s">
        <v>133</v>
      </c>
      <c r="B15" s="82"/>
      <c r="C15" s="82"/>
      <c r="D15" s="94"/>
      <c r="E15" s="86"/>
      <c r="F15" s="86"/>
      <c r="G15" s="86"/>
      <c r="H15" s="86"/>
      <c r="I15" s="86"/>
      <c r="J15" s="86"/>
      <c r="K15" s="79"/>
      <c r="L15" s="86"/>
      <c r="M15" s="86"/>
      <c r="N15" s="86"/>
      <c r="O15" s="86"/>
      <c r="P15" s="98"/>
      <c r="Q15" s="51"/>
    </row>
    <row r="16" spans="1:17" ht="13.8" x14ac:dyDescent="0.25">
      <c r="A16" s="18" t="s">
        <v>157</v>
      </c>
      <c r="B16" s="19" t="s">
        <v>160</v>
      </c>
      <c r="C16" s="20" t="s">
        <v>161</v>
      </c>
      <c r="D16" s="21">
        <v>49000</v>
      </c>
      <c r="E16" s="21">
        <v>39462.230000000003</v>
      </c>
      <c r="F16" s="21">
        <v>54000</v>
      </c>
      <c r="G16" s="21">
        <v>42710.77</v>
      </c>
      <c r="H16" s="21">
        <v>54000</v>
      </c>
      <c r="I16" s="21">
        <v>44409.39</v>
      </c>
      <c r="J16" s="34">
        <v>54000</v>
      </c>
      <c r="K16" s="79"/>
      <c r="L16" s="34">
        <v>54000</v>
      </c>
      <c r="M16" s="34">
        <v>54000</v>
      </c>
      <c r="N16" s="34">
        <v>54000</v>
      </c>
      <c r="O16" s="34">
        <v>54000</v>
      </c>
      <c r="P16" s="21">
        <f t="shared" ref="P16:P20" si="5">+N16-J16</f>
        <v>0</v>
      </c>
      <c r="Q16" s="21">
        <f t="shared" ref="Q16:Q20" si="6">+N16-O16</f>
        <v>0</v>
      </c>
    </row>
    <row r="17" spans="1:17" ht="13.8" x14ac:dyDescent="0.25">
      <c r="A17" s="18" t="s">
        <v>157</v>
      </c>
      <c r="B17" s="19" t="s">
        <v>162</v>
      </c>
      <c r="C17" s="20" t="s">
        <v>163</v>
      </c>
      <c r="D17" s="21">
        <v>15500</v>
      </c>
      <c r="E17" s="21">
        <v>9070.17</v>
      </c>
      <c r="F17" s="21">
        <v>20000</v>
      </c>
      <c r="G17" s="21">
        <v>10596.87</v>
      </c>
      <c r="H17" s="21">
        <v>20000</v>
      </c>
      <c r="I17" s="21">
        <v>8360.44</v>
      </c>
      <c r="J17" s="34">
        <v>20000</v>
      </c>
      <c r="K17" s="79"/>
      <c r="L17" s="34">
        <v>20000</v>
      </c>
      <c r="M17" s="34">
        <v>20000</v>
      </c>
      <c r="N17" s="34">
        <v>20000</v>
      </c>
      <c r="O17" s="34">
        <v>20000</v>
      </c>
      <c r="P17" s="21">
        <f t="shared" si="5"/>
        <v>0</v>
      </c>
      <c r="Q17" s="21">
        <f t="shared" si="6"/>
        <v>0</v>
      </c>
    </row>
    <row r="18" spans="1:17" ht="13.8" x14ac:dyDescent="0.25">
      <c r="A18" s="18" t="s">
        <v>157</v>
      </c>
      <c r="B18" s="19" t="s">
        <v>164</v>
      </c>
      <c r="C18" s="20" t="s">
        <v>165</v>
      </c>
      <c r="D18" s="21">
        <v>9500</v>
      </c>
      <c r="E18" s="21">
        <v>12918.37</v>
      </c>
      <c r="F18" s="21">
        <v>9500</v>
      </c>
      <c r="G18" s="21">
        <v>11680.65</v>
      </c>
      <c r="H18" s="21">
        <v>10000</v>
      </c>
      <c r="I18" s="21">
        <v>15283.27</v>
      </c>
      <c r="J18" s="34">
        <v>11950</v>
      </c>
      <c r="K18" s="79"/>
      <c r="L18" s="34">
        <v>14944</v>
      </c>
      <c r="M18" s="34">
        <v>14944</v>
      </c>
      <c r="N18" s="34">
        <v>14944</v>
      </c>
      <c r="O18" s="34">
        <v>11950</v>
      </c>
      <c r="P18" s="21">
        <f t="shared" si="5"/>
        <v>2994</v>
      </c>
      <c r="Q18" s="21">
        <f t="shared" si="6"/>
        <v>2994</v>
      </c>
    </row>
    <row r="19" spans="1:17" ht="13.8" x14ac:dyDescent="0.25">
      <c r="A19" s="18" t="s">
        <v>157</v>
      </c>
      <c r="B19" s="19" t="s">
        <v>146</v>
      </c>
      <c r="C19" s="20" t="s">
        <v>147</v>
      </c>
      <c r="D19" s="21">
        <v>30000</v>
      </c>
      <c r="E19" s="21">
        <v>31649.5</v>
      </c>
      <c r="F19" s="21">
        <v>0</v>
      </c>
      <c r="G19" s="21">
        <v>0</v>
      </c>
      <c r="H19" s="21">
        <v>0</v>
      </c>
      <c r="I19" s="21">
        <v>0</v>
      </c>
      <c r="J19" s="21">
        <v>0</v>
      </c>
      <c r="K19" s="79"/>
      <c r="L19" s="21">
        <v>0</v>
      </c>
      <c r="M19" s="21">
        <v>0</v>
      </c>
      <c r="N19" s="21">
        <v>0</v>
      </c>
      <c r="O19" s="21">
        <v>0</v>
      </c>
      <c r="P19" s="21">
        <f t="shared" si="5"/>
        <v>0</v>
      </c>
      <c r="Q19" s="21">
        <f t="shared" si="6"/>
        <v>0</v>
      </c>
    </row>
    <row r="20" spans="1:17" ht="13.8" x14ac:dyDescent="0.25">
      <c r="A20" s="18" t="s">
        <v>157</v>
      </c>
      <c r="B20" s="19" t="s">
        <v>166</v>
      </c>
      <c r="C20" s="20" t="s">
        <v>167</v>
      </c>
      <c r="D20" s="21">
        <v>7000</v>
      </c>
      <c r="E20" s="21">
        <v>11905.34</v>
      </c>
      <c r="F20" s="21">
        <v>7000</v>
      </c>
      <c r="G20" s="21">
        <v>7425.99</v>
      </c>
      <c r="H20" s="21">
        <v>7000</v>
      </c>
      <c r="I20" s="21">
        <v>8674.4500000000007</v>
      </c>
      <c r="J20" s="34">
        <v>10500</v>
      </c>
      <c r="K20" s="79"/>
      <c r="L20" s="34">
        <v>15000</v>
      </c>
      <c r="M20" s="34">
        <v>15000</v>
      </c>
      <c r="N20" s="34">
        <v>15000</v>
      </c>
      <c r="O20" s="34">
        <v>10500</v>
      </c>
      <c r="P20" s="21">
        <f t="shared" si="5"/>
        <v>4500</v>
      </c>
      <c r="Q20" s="21">
        <f t="shared" si="6"/>
        <v>4500</v>
      </c>
    </row>
    <row r="21" spans="1:17" ht="13.8" x14ac:dyDescent="0.25">
      <c r="A21" s="83" t="s">
        <v>136</v>
      </c>
      <c r="B21" s="84"/>
      <c r="C21" s="84"/>
      <c r="D21" s="24">
        <f t="shared" ref="D21:J21" si="7">SUM(D16:D20)</f>
        <v>111000</v>
      </c>
      <c r="E21" s="24">
        <f t="shared" si="7"/>
        <v>105005.61</v>
      </c>
      <c r="F21" s="24">
        <f t="shared" si="7"/>
        <v>90500</v>
      </c>
      <c r="G21" s="24">
        <f t="shared" si="7"/>
        <v>72414.28</v>
      </c>
      <c r="H21" s="24">
        <f t="shared" si="7"/>
        <v>91000</v>
      </c>
      <c r="I21" s="24">
        <f t="shared" si="7"/>
        <v>76727.55</v>
      </c>
      <c r="J21" s="24">
        <f t="shared" si="7"/>
        <v>96450</v>
      </c>
      <c r="K21" s="79"/>
      <c r="L21" s="24">
        <f t="shared" ref="L21:Q21" si="8">SUM(L16:L20)</f>
        <v>103944</v>
      </c>
      <c r="M21" s="24">
        <f t="shared" si="8"/>
        <v>103944</v>
      </c>
      <c r="N21" s="24">
        <f t="shared" si="8"/>
        <v>103944</v>
      </c>
      <c r="O21" s="24">
        <f t="shared" si="8"/>
        <v>96450</v>
      </c>
      <c r="P21" s="24">
        <f t="shared" si="8"/>
        <v>7494</v>
      </c>
      <c r="Q21" s="24">
        <f t="shared" si="8"/>
        <v>7494</v>
      </c>
    </row>
    <row r="22" spans="1:17" ht="13.8" x14ac:dyDescent="0.25">
      <c r="A22" s="82" t="s">
        <v>30</v>
      </c>
      <c r="B22" s="82"/>
      <c r="C22" s="82"/>
      <c r="D22" s="94"/>
      <c r="E22" s="86"/>
      <c r="F22" s="86"/>
      <c r="G22" s="86"/>
      <c r="H22" s="86"/>
      <c r="I22" s="86"/>
      <c r="J22" s="86"/>
      <c r="K22" s="79"/>
      <c r="L22" s="86"/>
      <c r="M22" s="86"/>
      <c r="N22" s="86"/>
      <c r="O22" s="86"/>
      <c r="P22" s="98"/>
      <c r="Q22" s="51"/>
    </row>
    <row r="23" spans="1:17" ht="13.8" x14ac:dyDescent="0.25">
      <c r="A23" s="18" t="s">
        <v>157</v>
      </c>
      <c r="B23" s="19" t="s">
        <v>31</v>
      </c>
      <c r="C23" s="20" t="s">
        <v>32</v>
      </c>
      <c r="D23" s="21">
        <v>7500</v>
      </c>
      <c r="E23" s="21">
        <v>13492.75</v>
      </c>
      <c r="F23" s="21">
        <v>7500</v>
      </c>
      <c r="G23" s="21">
        <v>13036.73</v>
      </c>
      <c r="H23" s="21">
        <v>7500</v>
      </c>
      <c r="I23" s="21">
        <v>8554.49</v>
      </c>
      <c r="J23" s="34">
        <v>7500</v>
      </c>
      <c r="K23" s="79"/>
      <c r="L23" s="34">
        <v>8500</v>
      </c>
      <c r="M23" s="34">
        <v>8500</v>
      </c>
      <c r="N23" s="34">
        <v>8500</v>
      </c>
      <c r="O23" s="34">
        <v>7500</v>
      </c>
      <c r="P23" s="21">
        <f t="shared" ref="P23:P26" si="9">+N23-J23</f>
        <v>1000</v>
      </c>
      <c r="Q23" s="21">
        <f t="shared" ref="Q23:Q26" si="10">+N23-O23</f>
        <v>1000</v>
      </c>
    </row>
    <row r="24" spans="1:17" ht="13.8" x14ac:dyDescent="0.25">
      <c r="A24" s="18" t="s">
        <v>157</v>
      </c>
      <c r="B24" s="19" t="s">
        <v>137</v>
      </c>
      <c r="C24" s="20" t="s">
        <v>138</v>
      </c>
      <c r="D24" s="21">
        <v>40000</v>
      </c>
      <c r="E24" s="21">
        <v>42776.639999999999</v>
      </c>
      <c r="F24" s="21">
        <v>41500</v>
      </c>
      <c r="G24" s="21">
        <v>44091.22</v>
      </c>
      <c r="H24" s="21">
        <v>41500</v>
      </c>
      <c r="I24" s="21">
        <v>90471</v>
      </c>
      <c r="J24" s="34">
        <v>41525</v>
      </c>
      <c r="K24" s="79"/>
      <c r="L24" s="34">
        <v>42000</v>
      </c>
      <c r="M24" s="34">
        <v>42000</v>
      </c>
      <c r="N24" s="34">
        <v>42000</v>
      </c>
      <c r="O24" s="34">
        <v>41525</v>
      </c>
      <c r="P24" s="21">
        <f t="shared" si="9"/>
        <v>475</v>
      </c>
      <c r="Q24" s="21">
        <f t="shared" si="10"/>
        <v>475</v>
      </c>
    </row>
    <row r="25" spans="1:17" ht="13.8" x14ac:dyDescent="0.25">
      <c r="A25" s="18" t="s">
        <v>157</v>
      </c>
      <c r="B25" s="19" t="s">
        <v>168</v>
      </c>
      <c r="C25" s="20" t="s">
        <v>169</v>
      </c>
      <c r="D25" s="21">
        <v>200790</v>
      </c>
      <c r="E25" s="21">
        <v>263148.67</v>
      </c>
      <c r="F25" s="21">
        <v>200790</v>
      </c>
      <c r="G25" s="21">
        <v>232946.74</v>
      </c>
      <c r="H25" s="21">
        <v>200790</v>
      </c>
      <c r="I25" s="21">
        <v>201736.76</v>
      </c>
      <c r="J25" s="34">
        <v>244000</v>
      </c>
      <c r="K25" s="79"/>
      <c r="L25" s="34">
        <v>244000</v>
      </c>
      <c r="M25" s="34">
        <v>244000</v>
      </c>
      <c r="N25" s="34">
        <v>244000</v>
      </c>
      <c r="O25" s="34">
        <v>244000</v>
      </c>
      <c r="P25" s="21">
        <f t="shared" si="9"/>
        <v>0</v>
      </c>
      <c r="Q25" s="21">
        <f t="shared" si="10"/>
        <v>0</v>
      </c>
    </row>
    <row r="26" spans="1:17" ht="13.8" x14ac:dyDescent="0.25">
      <c r="A26" s="18" t="s">
        <v>157</v>
      </c>
      <c r="B26" s="19" t="s">
        <v>170</v>
      </c>
      <c r="C26" s="20" t="s">
        <v>171</v>
      </c>
      <c r="D26" s="21">
        <v>3400</v>
      </c>
      <c r="E26" s="21">
        <v>10210.17</v>
      </c>
      <c r="F26" s="21">
        <v>3400</v>
      </c>
      <c r="G26" s="21">
        <v>1581.48</v>
      </c>
      <c r="H26" s="21">
        <v>4000</v>
      </c>
      <c r="I26" s="21">
        <v>1581.05</v>
      </c>
      <c r="J26" s="34">
        <v>4000</v>
      </c>
      <c r="K26" s="79"/>
      <c r="L26" s="34">
        <v>4000</v>
      </c>
      <c r="M26" s="34">
        <v>4000</v>
      </c>
      <c r="N26" s="34">
        <v>4000</v>
      </c>
      <c r="O26" s="34">
        <v>4000</v>
      </c>
      <c r="P26" s="21">
        <f t="shared" si="9"/>
        <v>0</v>
      </c>
      <c r="Q26" s="21">
        <f t="shared" si="10"/>
        <v>0</v>
      </c>
    </row>
    <row r="27" spans="1:17" ht="13.8" x14ac:dyDescent="0.25">
      <c r="A27" s="83" t="s">
        <v>77</v>
      </c>
      <c r="B27" s="84"/>
      <c r="C27" s="84"/>
      <c r="D27" s="24">
        <f t="shared" ref="D27:J27" si="11">SUM(D23:D26)</f>
        <v>251690</v>
      </c>
      <c r="E27" s="24">
        <f t="shared" si="11"/>
        <v>329628.23</v>
      </c>
      <c r="F27" s="24">
        <f t="shared" si="11"/>
        <v>253190</v>
      </c>
      <c r="G27" s="24">
        <f t="shared" si="11"/>
        <v>291656.17</v>
      </c>
      <c r="H27" s="24">
        <f t="shared" si="11"/>
        <v>253790</v>
      </c>
      <c r="I27" s="24">
        <f t="shared" si="11"/>
        <v>302343.3</v>
      </c>
      <c r="J27" s="24">
        <f t="shared" si="11"/>
        <v>297025</v>
      </c>
      <c r="K27" s="79"/>
      <c r="L27" s="24">
        <f t="shared" ref="L27:Q27" si="12">SUM(L23:L26)</f>
        <v>298500</v>
      </c>
      <c r="M27" s="24">
        <f t="shared" si="12"/>
        <v>298500</v>
      </c>
      <c r="N27" s="24">
        <f t="shared" si="12"/>
        <v>298500</v>
      </c>
      <c r="O27" s="24">
        <f t="shared" si="12"/>
        <v>297025</v>
      </c>
      <c r="P27" s="24">
        <f t="shared" si="12"/>
        <v>1475</v>
      </c>
      <c r="Q27" s="24">
        <f t="shared" si="12"/>
        <v>1475</v>
      </c>
    </row>
    <row r="28" spans="1:17" ht="13.8" x14ac:dyDescent="0.25">
      <c r="A28" s="82" t="s">
        <v>54</v>
      </c>
      <c r="B28" s="82"/>
      <c r="C28" s="82"/>
      <c r="D28" s="94"/>
      <c r="E28" s="77"/>
      <c r="F28" s="86"/>
      <c r="G28" s="86"/>
      <c r="H28" s="86"/>
      <c r="I28" s="86"/>
      <c r="J28" s="86"/>
      <c r="K28" s="79"/>
      <c r="L28" s="98"/>
      <c r="M28" s="98"/>
      <c r="N28" s="98"/>
      <c r="O28" s="98"/>
      <c r="P28" s="98"/>
      <c r="Q28" s="51"/>
    </row>
    <row r="29" spans="1:17" ht="13.8" x14ac:dyDescent="0.25">
      <c r="A29" s="18" t="s">
        <v>157</v>
      </c>
      <c r="B29" s="19" t="s">
        <v>55</v>
      </c>
      <c r="C29" s="20" t="s">
        <v>56</v>
      </c>
      <c r="D29" s="21">
        <v>0</v>
      </c>
      <c r="E29" s="21">
        <v>0</v>
      </c>
      <c r="F29" s="21">
        <v>2600</v>
      </c>
      <c r="G29" s="21">
        <v>6597.05</v>
      </c>
      <c r="H29" s="21">
        <v>2600</v>
      </c>
      <c r="I29" s="21">
        <v>3596.13</v>
      </c>
      <c r="J29" s="34">
        <v>4775</v>
      </c>
      <c r="K29" s="79"/>
      <c r="L29" s="34">
        <v>5000</v>
      </c>
      <c r="M29" s="34">
        <v>5000</v>
      </c>
      <c r="N29" s="34">
        <v>5000</v>
      </c>
      <c r="O29" s="34">
        <v>4775</v>
      </c>
      <c r="P29" s="21">
        <f>+N29-J29</f>
        <v>225</v>
      </c>
      <c r="Q29" s="21">
        <f>+N29-O29</f>
        <v>225</v>
      </c>
    </row>
    <row r="30" spans="1:17" ht="13.8" x14ac:dyDescent="0.25">
      <c r="A30" s="83" t="s">
        <v>86</v>
      </c>
      <c r="B30" s="84"/>
      <c r="C30" s="84"/>
      <c r="D30" s="24">
        <f t="shared" ref="D30:J30" si="13">SUM(D29:D29)</f>
        <v>0</v>
      </c>
      <c r="E30" s="24">
        <f t="shared" si="13"/>
        <v>0</v>
      </c>
      <c r="F30" s="24">
        <f t="shared" si="13"/>
        <v>2600</v>
      </c>
      <c r="G30" s="24">
        <f t="shared" si="13"/>
        <v>6597.05</v>
      </c>
      <c r="H30" s="24">
        <f t="shared" si="13"/>
        <v>2600</v>
      </c>
      <c r="I30" s="24">
        <f t="shared" si="13"/>
        <v>3596.13</v>
      </c>
      <c r="J30" s="24">
        <f t="shared" si="13"/>
        <v>4775</v>
      </c>
      <c r="K30" s="79"/>
      <c r="L30" s="24">
        <f t="shared" ref="L30:Q30" si="14">SUM(L29:L29)</f>
        <v>5000</v>
      </c>
      <c r="M30" s="24">
        <f t="shared" si="14"/>
        <v>5000</v>
      </c>
      <c r="N30" s="24">
        <f t="shared" si="14"/>
        <v>5000</v>
      </c>
      <c r="O30" s="24">
        <f t="shared" si="14"/>
        <v>4775</v>
      </c>
      <c r="P30" s="24">
        <f t="shared" si="14"/>
        <v>225</v>
      </c>
      <c r="Q30" s="24">
        <f t="shared" si="14"/>
        <v>225</v>
      </c>
    </row>
    <row r="31" spans="1:17" ht="13.8" x14ac:dyDescent="0.25">
      <c r="A31" s="88" t="s">
        <v>172</v>
      </c>
      <c r="B31" s="88"/>
      <c r="C31" s="88"/>
      <c r="D31" s="94"/>
      <c r="E31" s="86"/>
      <c r="F31" s="99"/>
      <c r="G31" s="99"/>
      <c r="H31" s="99"/>
      <c r="I31" s="99"/>
      <c r="J31" s="100"/>
      <c r="K31" s="79"/>
      <c r="L31" s="100"/>
      <c r="M31" s="100"/>
      <c r="N31" s="100"/>
      <c r="O31" s="100"/>
      <c r="P31" s="98"/>
      <c r="Q31" s="51"/>
    </row>
    <row r="32" spans="1:17" ht="13.8" x14ac:dyDescent="0.25">
      <c r="A32" s="18" t="s">
        <v>157</v>
      </c>
      <c r="B32" s="19" t="s">
        <v>173</v>
      </c>
      <c r="C32" s="20" t="s">
        <v>174</v>
      </c>
      <c r="D32" s="94">
        <v>0</v>
      </c>
      <c r="E32" s="94">
        <v>0</v>
      </c>
      <c r="F32" s="94">
        <v>0</v>
      </c>
      <c r="G32" s="94">
        <v>0</v>
      </c>
      <c r="H32" s="94">
        <v>0</v>
      </c>
      <c r="I32" s="94">
        <v>0</v>
      </c>
      <c r="J32" s="86">
        <v>0</v>
      </c>
      <c r="K32" s="79"/>
      <c r="L32" s="86">
        <v>0</v>
      </c>
      <c r="M32" s="86">
        <v>0</v>
      </c>
      <c r="N32" s="86">
        <v>0</v>
      </c>
      <c r="O32" s="86">
        <v>0</v>
      </c>
      <c r="P32" s="21">
        <f t="shared" ref="P32:P33" si="15">+N32-J32</f>
        <v>0</v>
      </c>
      <c r="Q32" s="21">
        <f t="shared" ref="Q32:Q33" si="16">+N32-O32</f>
        <v>0</v>
      </c>
    </row>
    <row r="33" spans="1:17" ht="13.8" x14ac:dyDescent="0.25">
      <c r="A33" s="50" t="s">
        <v>157</v>
      </c>
      <c r="B33" s="19" t="s">
        <v>175</v>
      </c>
      <c r="C33" s="20" t="s">
        <v>176</v>
      </c>
      <c r="D33" s="21">
        <v>27188</v>
      </c>
      <c r="E33" s="21">
        <v>27187.88</v>
      </c>
      <c r="F33" s="34">
        <v>0</v>
      </c>
      <c r="G33" s="34">
        <v>0</v>
      </c>
      <c r="H33" s="34">
        <v>0</v>
      </c>
      <c r="I33" s="34">
        <v>0</v>
      </c>
      <c r="J33" s="34">
        <v>0</v>
      </c>
      <c r="K33" s="79"/>
      <c r="L33" s="34">
        <v>0</v>
      </c>
      <c r="M33" s="34">
        <v>0</v>
      </c>
      <c r="N33" s="34">
        <v>0</v>
      </c>
      <c r="O33" s="34">
        <v>0</v>
      </c>
      <c r="P33" s="21">
        <f t="shared" si="15"/>
        <v>0</v>
      </c>
      <c r="Q33" s="21">
        <f t="shared" si="16"/>
        <v>0</v>
      </c>
    </row>
    <row r="34" spans="1:17" ht="13.8" x14ac:dyDescent="0.25">
      <c r="A34" s="83" t="s">
        <v>177</v>
      </c>
      <c r="B34" s="84"/>
      <c r="C34" s="84"/>
      <c r="D34" s="24">
        <f>SUM(D32:D33)</f>
        <v>27188</v>
      </c>
      <c r="E34" s="24">
        <f>SUM(E32:E33)</f>
        <v>27187.88</v>
      </c>
      <c r="F34" s="24">
        <f t="shared" ref="F34:Q34" si="17">SUM(F32:F33)</f>
        <v>0</v>
      </c>
      <c r="G34" s="24">
        <f t="shared" si="17"/>
        <v>0</v>
      </c>
      <c r="H34" s="24">
        <f t="shared" si="17"/>
        <v>0</v>
      </c>
      <c r="I34" s="24">
        <f t="shared" si="17"/>
        <v>0</v>
      </c>
      <c r="J34" s="24">
        <f t="shared" si="17"/>
        <v>0</v>
      </c>
      <c r="K34" s="79"/>
      <c r="L34" s="24">
        <f t="shared" ref="L34:O34" si="18">SUM(L32:L33)</f>
        <v>0</v>
      </c>
      <c r="M34" s="24">
        <f t="shared" si="18"/>
        <v>0</v>
      </c>
      <c r="N34" s="24">
        <f t="shared" si="18"/>
        <v>0</v>
      </c>
      <c r="O34" s="24">
        <f t="shared" si="18"/>
        <v>0</v>
      </c>
      <c r="P34" s="24">
        <f t="shared" si="17"/>
        <v>0</v>
      </c>
      <c r="Q34" s="24">
        <f t="shared" si="17"/>
        <v>0</v>
      </c>
    </row>
    <row r="35" spans="1:17" ht="13.8" x14ac:dyDescent="0.25">
      <c r="A35" s="89" t="s">
        <v>78</v>
      </c>
      <c r="B35" s="90"/>
      <c r="C35" s="90"/>
      <c r="D35" s="40">
        <f t="shared" ref="D35:J35" si="19">D14+D21+D27+D30+D34</f>
        <v>565547</v>
      </c>
      <c r="E35" s="40">
        <f t="shared" si="19"/>
        <v>645172.47</v>
      </c>
      <c r="F35" s="61">
        <f t="shared" si="19"/>
        <v>509077</v>
      </c>
      <c r="G35" s="61">
        <f t="shared" si="19"/>
        <v>561559.94000000006</v>
      </c>
      <c r="H35" s="61">
        <f t="shared" si="19"/>
        <v>510177</v>
      </c>
      <c r="I35" s="61">
        <f t="shared" si="19"/>
        <v>557567.44000000006</v>
      </c>
      <c r="J35" s="61">
        <f t="shared" si="19"/>
        <v>502014</v>
      </c>
      <c r="K35" s="79"/>
      <c r="L35" s="61">
        <f t="shared" ref="L35:Q35" si="20">L14+L21+L27+L30+L34</f>
        <v>518444</v>
      </c>
      <c r="M35" s="61">
        <f t="shared" si="20"/>
        <v>518444</v>
      </c>
      <c r="N35" s="61">
        <f t="shared" si="20"/>
        <v>518444</v>
      </c>
      <c r="O35" s="61">
        <f t="shared" si="20"/>
        <v>505053</v>
      </c>
      <c r="P35" s="40">
        <f t="shared" si="20"/>
        <v>16430</v>
      </c>
      <c r="Q35" s="40">
        <f t="shared" si="20"/>
        <v>13391</v>
      </c>
    </row>
    <row r="36" spans="1:17" ht="13.8" x14ac:dyDescent="0.25">
      <c r="A36" s="12" t="s">
        <v>178</v>
      </c>
      <c r="B36" s="12"/>
      <c r="C36" s="12"/>
      <c r="D36" s="94"/>
      <c r="E36" s="86"/>
      <c r="F36" s="86"/>
      <c r="G36" s="86"/>
      <c r="H36" s="86"/>
      <c r="I36" s="86"/>
      <c r="J36" s="86"/>
      <c r="K36" s="8"/>
      <c r="L36" s="101"/>
      <c r="M36" s="101"/>
      <c r="N36" s="101"/>
      <c r="O36" s="101"/>
      <c r="P36" s="102"/>
      <c r="Q36" s="103"/>
    </row>
    <row r="37" spans="1:17" ht="13.8" x14ac:dyDescent="0.25">
      <c r="A37" s="82" t="s">
        <v>172</v>
      </c>
      <c r="B37" s="82"/>
      <c r="C37" s="82"/>
      <c r="D37" s="94"/>
      <c r="E37" s="86"/>
      <c r="F37" s="86"/>
      <c r="G37" s="86"/>
      <c r="H37" s="86"/>
      <c r="I37" s="86"/>
      <c r="J37" s="86"/>
      <c r="K37" s="8"/>
      <c r="L37" s="101"/>
      <c r="M37" s="101"/>
      <c r="N37" s="101"/>
      <c r="O37" s="101"/>
      <c r="P37" s="102"/>
      <c r="Q37" s="103"/>
    </row>
    <row r="38" spans="1:17" ht="13.8" x14ac:dyDescent="0.25">
      <c r="A38" s="18" t="s">
        <v>179</v>
      </c>
      <c r="B38" s="19" t="s">
        <v>180</v>
      </c>
      <c r="C38" s="20" t="s">
        <v>181</v>
      </c>
      <c r="D38" s="21">
        <v>10150</v>
      </c>
      <c r="E38" s="21">
        <v>10150</v>
      </c>
      <c r="F38" s="21">
        <v>10150</v>
      </c>
      <c r="G38" s="21">
        <v>10150</v>
      </c>
      <c r="H38" s="21">
        <v>10150</v>
      </c>
      <c r="I38" s="21">
        <v>10150</v>
      </c>
      <c r="J38" s="34">
        <v>10150</v>
      </c>
      <c r="K38" s="79"/>
      <c r="L38" s="34">
        <v>10150</v>
      </c>
      <c r="M38" s="34">
        <v>10150</v>
      </c>
      <c r="N38" s="34">
        <v>10150</v>
      </c>
      <c r="O38" s="34">
        <v>10150</v>
      </c>
      <c r="P38" s="21">
        <f t="shared" ref="P38:P42" si="21">+N38-J38</f>
        <v>0</v>
      </c>
      <c r="Q38" s="21">
        <f t="shared" ref="Q38:Q42" si="22">+N38-O38</f>
        <v>0</v>
      </c>
    </row>
    <row r="39" spans="1:17" ht="13.8" x14ac:dyDescent="0.25">
      <c r="A39" s="18" t="s">
        <v>179</v>
      </c>
      <c r="B39" s="19" t="s">
        <v>182</v>
      </c>
      <c r="C39" s="20" t="s">
        <v>183</v>
      </c>
      <c r="D39" s="21">
        <v>0</v>
      </c>
      <c r="E39" s="21">
        <v>0</v>
      </c>
      <c r="F39" s="21">
        <v>0</v>
      </c>
      <c r="G39" s="21">
        <v>0</v>
      </c>
      <c r="H39" s="21">
        <v>0</v>
      </c>
      <c r="I39" s="21">
        <v>0</v>
      </c>
      <c r="J39" s="34">
        <v>25000</v>
      </c>
      <c r="K39" s="79"/>
      <c r="L39" s="34">
        <v>25000</v>
      </c>
      <c r="M39" s="34">
        <v>25000</v>
      </c>
      <c r="N39" s="34">
        <v>25000</v>
      </c>
      <c r="O39" s="34">
        <v>25000</v>
      </c>
      <c r="P39" s="21">
        <f t="shared" si="21"/>
        <v>0</v>
      </c>
      <c r="Q39" s="21">
        <f t="shared" si="22"/>
        <v>0</v>
      </c>
    </row>
    <row r="40" spans="1:17" ht="13.8" x14ac:dyDescent="0.25">
      <c r="A40" s="18" t="s">
        <v>179</v>
      </c>
      <c r="B40" s="19" t="s">
        <v>184</v>
      </c>
      <c r="C40" s="20" t="s">
        <v>185</v>
      </c>
      <c r="D40" s="21">
        <v>7500</v>
      </c>
      <c r="E40" s="21">
        <v>0</v>
      </c>
      <c r="F40" s="21">
        <v>7500</v>
      </c>
      <c r="G40" s="21">
        <v>7500</v>
      </c>
      <c r="H40" s="21">
        <v>7500</v>
      </c>
      <c r="I40" s="21">
        <v>7500</v>
      </c>
      <c r="J40" s="34">
        <v>7500</v>
      </c>
      <c r="K40" s="79"/>
      <c r="L40" s="34">
        <v>7500</v>
      </c>
      <c r="M40" s="34">
        <v>7500</v>
      </c>
      <c r="N40" s="34">
        <v>7500</v>
      </c>
      <c r="O40" s="34">
        <v>7500</v>
      </c>
      <c r="P40" s="21">
        <f t="shared" si="21"/>
        <v>0</v>
      </c>
      <c r="Q40" s="21">
        <f t="shared" si="22"/>
        <v>0</v>
      </c>
    </row>
    <row r="41" spans="1:17" ht="13.8" x14ac:dyDescent="0.25">
      <c r="A41" s="18" t="s">
        <v>179</v>
      </c>
      <c r="B41" s="19" t="s">
        <v>186</v>
      </c>
      <c r="C41" s="20" t="s">
        <v>187</v>
      </c>
      <c r="D41" s="21">
        <v>827</v>
      </c>
      <c r="E41" s="21">
        <v>0</v>
      </c>
      <c r="F41" s="21">
        <v>827</v>
      </c>
      <c r="G41" s="21">
        <v>80</v>
      </c>
      <c r="H41" s="21">
        <v>827</v>
      </c>
      <c r="I41" s="21">
        <v>0</v>
      </c>
      <c r="J41" s="34">
        <v>827</v>
      </c>
      <c r="K41" s="79"/>
      <c r="L41" s="34">
        <v>827</v>
      </c>
      <c r="M41" s="34">
        <v>827</v>
      </c>
      <c r="N41" s="34">
        <v>827</v>
      </c>
      <c r="O41" s="34">
        <v>827</v>
      </c>
      <c r="P41" s="21">
        <f t="shared" si="21"/>
        <v>0</v>
      </c>
      <c r="Q41" s="21">
        <f t="shared" si="22"/>
        <v>0</v>
      </c>
    </row>
    <row r="42" spans="1:17" ht="13.8" x14ac:dyDescent="0.25">
      <c r="A42" s="18" t="s">
        <v>179</v>
      </c>
      <c r="B42" s="19" t="s">
        <v>188</v>
      </c>
      <c r="C42" s="20" t="s">
        <v>189</v>
      </c>
      <c r="D42" s="21">
        <v>10000</v>
      </c>
      <c r="E42" s="21">
        <v>10000</v>
      </c>
      <c r="F42" s="21">
        <v>10000</v>
      </c>
      <c r="G42" s="21">
        <v>10000</v>
      </c>
      <c r="H42" s="21">
        <v>10000</v>
      </c>
      <c r="I42" s="21">
        <v>10000</v>
      </c>
      <c r="J42" s="21">
        <v>10000</v>
      </c>
      <c r="K42" s="79"/>
      <c r="L42" s="21">
        <f>10000+7000</f>
        <v>17000</v>
      </c>
      <c r="M42" s="21">
        <f>10000+7000</f>
        <v>17000</v>
      </c>
      <c r="N42" s="21">
        <f>10000+7000</f>
        <v>17000</v>
      </c>
      <c r="O42" s="21">
        <v>10000</v>
      </c>
      <c r="P42" s="21">
        <f t="shared" si="21"/>
        <v>7000</v>
      </c>
      <c r="Q42" s="21">
        <f t="shared" si="22"/>
        <v>7000</v>
      </c>
    </row>
    <row r="43" spans="1:17" ht="13.8" x14ac:dyDescent="0.25">
      <c r="A43" s="83" t="s">
        <v>177</v>
      </c>
      <c r="B43" s="84"/>
      <c r="C43" s="84"/>
      <c r="D43" s="24">
        <f t="shared" ref="D43:G43" si="23">SUM(D38:D42)</f>
        <v>28477</v>
      </c>
      <c r="E43" s="24">
        <f t="shared" si="23"/>
        <v>20150</v>
      </c>
      <c r="F43" s="24">
        <f t="shared" si="23"/>
        <v>28477</v>
      </c>
      <c r="G43" s="24">
        <f t="shared" si="23"/>
        <v>27730</v>
      </c>
      <c r="H43" s="24">
        <f t="shared" ref="H43:J43" si="24">SUM(H38:H42)</f>
        <v>28477</v>
      </c>
      <c r="I43" s="24">
        <f t="shared" si="24"/>
        <v>27650</v>
      </c>
      <c r="J43" s="24">
        <f t="shared" si="24"/>
        <v>53477</v>
      </c>
      <c r="K43" s="79"/>
      <c r="L43" s="24">
        <f t="shared" ref="L43:Q43" si="25">SUM(L38:L42)</f>
        <v>60477</v>
      </c>
      <c r="M43" s="24">
        <f t="shared" si="25"/>
        <v>60477</v>
      </c>
      <c r="N43" s="24">
        <f t="shared" si="25"/>
        <v>60477</v>
      </c>
      <c r="O43" s="24">
        <f t="shared" si="25"/>
        <v>53477</v>
      </c>
      <c r="P43" s="24">
        <f t="shared" si="25"/>
        <v>7000</v>
      </c>
      <c r="Q43" s="24">
        <f t="shared" si="25"/>
        <v>7000</v>
      </c>
    </row>
    <row r="44" spans="1:17" ht="13.8" x14ac:dyDescent="0.25">
      <c r="A44" s="89" t="s">
        <v>190</v>
      </c>
      <c r="B44" s="90"/>
      <c r="C44" s="90"/>
      <c r="D44" s="40">
        <f t="shared" ref="D44:J44" si="26">D43</f>
        <v>28477</v>
      </c>
      <c r="E44" s="40">
        <f t="shared" si="26"/>
        <v>20150</v>
      </c>
      <c r="F44" s="40">
        <f t="shared" si="26"/>
        <v>28477</v>
      </c>
      <c r="G44" s="40">
        <f t="shared" si="26"/>
        <v>27730</v>
      </c>
      <c r="H44" s="40">
        <f t="shared" si="26"/>
        <v>28477</v>
      </c>
      <c r="I44" s="40">
        <f t="shared" si="26"/>
        <v>27650</v>
      </c>
      <c r="J44" s="40">
        <f t="shared" si="26"/>
        <v>53477</v>
      </c>
      <c r="K44" s="79"/>
      <c r="L44" s="40">
        <f t="shared" ref="L44:Q44" si="27">L43</f>
        <v>60477</v>
      </c>
      <c r="M44" s="40">
        <f t="shared" si="27"/>
        <v>60477</v>
      </c>
      <c r="N44" s="40">
        <f t="shared" si="27"/>
        <v>60477</v>
      </c>
      <c r="O44" s="40">
        <f t="shared" si="27"/>
        <v>53477</v>
      </c>
      <c r="P44" s="40">
        <f t="shared" si="27"/>
        <v>7000</v>
      </c>
      <c r="Q44" s="40">
        <f t="shared" si="27"/>
        <v>7000</v>
      </c>
    </row>
    <row r="45" spans="1:17" ht="13.8" x14ac:dyDescent="0.25">
      <c r="A45" s="89" t="s">
        <v>191</v>
      </c>
      <c r="B45" s="90"/>
      <c r="C45" s="90"/>
      <c r="D45" s="40">
        <f t="shared" ref="D45:J45" si="28">D35+D44</f>
        <v>594024</v>
      </c>
      <c r="E45" s="40">
        <f t="shared" si="28"/>
        <v>665322.47</v>
      </c>
      <c r="F45" s="40">
        <f t="shared" si="28"/>
        <v>537554</v>
      </c>
      <c r="G45" s="40">
        <f t="shared" si="28"/>
        <v>589289.94000000006</v>
      </c>
      <c r="H45" s="40">
        <f t="shared" si="28"/>
        <v>538654</v>
      </c>
      <c r="I45" s="40">
        <f t="shared" si="28"/>
        <v>585217.44000000006</v>
      </c>
      <c r="J45" s="40">
        <f t="shared" si="28"/>
        <v>555491</v>
      </c>
      <c r="K45" s="79"/>
      <c r="L45" s="40">
        <f t="shared" ref="L45:Q45" si="29">L35+L44</f>
        <v>578921</v>
      </c>
      <c r="M45" s="40">
        <f t="shared" si="29"/>
        <v>578921</v>
      </c>
      <c r="N45" s="40">
        <f t="shared" si="29"/>
        <v>578921</v>
      </c>
      <c r="O45" s="40">
        <f t="shared" si="29"/>
        <v>558530</v>
      </c>
      <c r="P45" s="40">
        <f t="shared" si="29"/>
        <v>23430</v>
      </c>
      <c r="Q45" s="40">
        <f t="shared" si="29"/>
        <v>20391</v>
      </c>
    </row>
    <row r="46" spans="1:17" ht="13.8" x14ac:dyDescent="0.25">
      <c r="A46" s="91" t="s">
        <v>80</v>
      </c>
      <c r="B46" s="92"/>
      <c r="C46" s="92"/>
      <c r="D46" s="41">
        <f t="shared" ref="D46:J46" si="30">D45</f>
        <v>594024</v>
      </c>
      <c r="E46" s="41">
        <f t="shared" si="30"/>
        <v>665322.47</v>
      </c>
      <c r="F46" s="41">
        <f t="shared" si="30"/>
        <v>537554</v>
      </c>
      <c r="G46" s="41">
        <f t="shared" si="30"/>
        <v>589289.94000000006</v>
      </c>
      <c r="H46" s="41">
        <f t="shared" si="30"/>
        <v>538654</v>
      </c>
      <c r="I46" s="41">
        <f t="shared" si="30"/>
        <v>585217.44000000006</v>
      </c>
      <c r="J46" s="41">
        <f t="shared" si="30"/>
        <v>555491</v>
      </c>
      <c r="K46" s="79"/>
      <c r="L46" s="41">
        <f t="shared" ref="L46:Q46" si="31">L45</f>
        <v>578921</v>
      </c>
      <c r="M46" s="41">
        <f t="shared" si="31"/>
        <v>578921</v>
      </c>
      <c r="N46" s="41">
        <f t="shared" si="31"/>
        <v>578921</v>
      </c>
      <c r="O46" s="41">
        <f t="shared" si="31"/>
        <v>558530</v>
      </c>
      <c r="P46" s="41">
        <f t="shared" si="31"/>
        <v>23430</v>
      </c>
      <c r="Q46" s="41">
        <f t="shared" si="31"/>
        <v>20391</v>
      </c>
    </row>
    <row r="47" spans="1:17" ht="6" customHeight="1" x14ac:dyDescent="0.25">
      <c r="D47" s="94"/>
      <c r="E47" s="86"/>
      <c r="F47" s="86"/>
      <c r="G47" s="86"/>
      <c r="H47" s="86"/>
      <c r="I47" s="86"/>
      <c r="J47" s="86"/>
      <c r="K47" s="79"/>
      <c r="L47" s="86"/>
      <c r="M47" s="86"/>
      <c r="N47" s="86"/>
      <c r="O47" s="86"/>
      <c r="P47" s="98"/>
      <c r="Q47" s="98"/>
    </row>
    <row r="48" spans="1:17" ht="13.8" x14ac:dyDescent="0.25">
      <c r="A48" s="91" t="s">
        <v>81</v>
      </c>
      <c r="B48" s="92"/>
      <c r="C48" s="92"/>
      <c r="D48" s="41">
        <f t="shared" ref="D48:J48" si="32">D46</f>
        <v>594024</v>
      </c>
      <c r="E48" s="41">
        <f t="shared" si="32"/>
        <v>665322.47</v>
      </c>
      <c r="F48" s="41">
        <f t="shared" si="32"/>
        <v>537554</v>
      </c>
      <c r="G48" s="41">
        <f t="shared" si="32"/>
        <v>589289.94000000006</v>
      </c>
      <c r="H48" s="41">
        <f t="shared" si="32"/>
        <v>538654</v>
      </c>
      <c r="I48" s="41">
        <f t="shared" si="32"/>
        <v>585217.44000000006</v>
      </c>
      <c r="J48" s="41">
        <f t="shared" si="32"/>
        <v>555491</v>
      </c>
      <c r="K48" s="79"/>
      <c r="L48" s="41">
        <f t="shared" ref="L48:Q48" si="33">L46</f>
        <v>578921</v>
      </c>
      <c r="M48" s="41">
        <f t="shared" si="33"/>
        <v>578921</v>
      </c>
      <c r="N48" s="41">
        <f t="shared" si="33"/>
        <v>578921</v>
      </c>
      <c r="O48" s="41">
        <f t="shared" si="33"/>
        <v>558530</v>
      </c>
      <c r="P48" s="41">
        <f t="shared" si="33"/>
        <v>23430</v>
      </c>
      <c r="Q48" s="41">
        <f t="shared" si="33"/>
        <v>20391</v>
      </c>
    </row>
    <row r="49" spans="4:15" x14ac:dyDescent="0.3">
      <c r="L49" s="94"/>
      <c r="M49" s="94"/>
      <c r="N49" s="3"/>
      <c r="O49" s="3"/>
    </row>
    <row r="51" spans="4:15" x14ac:dyDescent="0.3">
      <c r="L51" s="97"/>
    </row>
    <row r="54" spans="4:15" x14ac:dyDescent="0.3">
      <c r="D54" s="3" t="s">
        <v>192</v>
      </c>
    </row>
    <row r="57" spans="4:15" x14ac:dyDescent="0.3">
      <c r="O57" s="77"/>
    </row>
  </sheetData>
  <mergeCells count="1">
    <mergeCell ref="A1:Q1"/>
  </mergeCells>
  <printOptions horizontalCentered="1" verticalCentered="1"/>
  <pageMargins left="0.7" right="0.7" top="0.75" bottom="0.75" header="0.3" footer="0.3"/>
  <pageSetup scale="62" fitToHeight="0" orientation="landscape" r:id="rId1"/>
  <headerFooter>
    <oddFooter>&amp;RBudget Kick Off - 11.01.25</oddFooter>
  </headerFooter>
  <rowBreaks count="1" manualBreakCount="1">
    <brk id="35" max="18"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7E48F-2DA7-42B5-8152-B484A4194452}">
  <sheetPr codeName="Sheet14">
    <tabColor rgb="FF92D050"/>
    <pageSetUpPr fitToPage="1"/>
  </sheetPr>
  <dimension ref="A1:Q17"/>
  <sheetViews>
    <sheetView topLeftCell="A3" zoomScaleNormal="100" workbookViewId="0">
      <selection activeCell="K3" sqref="K1:K1048576"/>
    </sheetView>
  </sheetViews>
  <sheetFormatPr defaultColWidth="9.109375" defaultRowHeight="14.4" x14ac:dyDescent="0.3"/>
  <cols>
    <col min="1" max="1" width="9.5546875" style="3" bestFit="1" customWidth="1"/>
    <col min="2" max="2" width="14.33203125" style="10" bestFit="1" customWidth="1"/>
    <col min="3" max="3" width="17.5546875" style="3" bestFit="1" customWidth="1"/>
    <col min="4" max="4" width="11" style="3" bestFit="1" customWidth="1"/>
    <col min="5" max="5" width="11.44140625" style="3" bestFit="1" customWidth="1"/>
    <col min="6" max="6" width="11" style="3" bestFit="1" customWidth="1"/>
    <col min="7" max="7" width="11.44140625" style="3" customWidth="1"/>
    <col min="8" max="8" width="11" style="3" bestFit="1" customWidth="1"/>
    <col min="9" max="9" width="11.44140625" style="3" bestFit="1" customWidth="1"/>
    <col min="10" max="10" width="11.44140625" style="3" customWidth="1"/>
    <col min="11" max="11" width="1" style="3" customWidth="1"/>
    <col min="12" max="12" width="10.109375" style="3" bestFit="1" customWidth="1"/>
    <col min="13" max="13" width="9.88671875" style="3" bestFit="1" customWidth="1"/>
    <col min="14" max="14" width="11.6640625" bestFit="1" customWidth="1"/>
    <col min="15" max="15" width="11.109375" bestFit="1" customWidth="1"/>
    <col min="16" max="16" width="9" bestFit="1" customWidth="1"/>
    <col min="17" max="17" width="11.33203125" bestFit="1" customWidth="1"/>
    <col min="18" max="16384" width="9.109375" style="3"/>
  </cols>
  <sheetData>
    <row r="1" spans="1:17" ht="75" customHeight="1" x14ac:dyDescent="0.25">
      <c r="A1" s="170" t="s">
        <v>193</v>
      </c>
      <c r="B1" s="170"/>
      <c r="C1" s="170"/>
      <c r="D1" s="170"/>
      <c r="E1" s="170"/>
      <c r="F1" s="170"/>
      <c r="G1" s="170"/>
      <c r="H1" s="170"/>
      <c r="I1" s="170"/>
      <c r="J1" s="170"/>
      <c r="K1" s="170"/>
      <c r="L1" s="170"/>
      <c r="M1" s="170"/>
      <c r="N1" s="170"/>
      <c r="O1" s="170"/>
      <c r="P1" s="170"/>
      <c r="Q1" s="170"/>
    </row>
    <row r="2" spans="1:17" ht="6" customHeight="1" x14ac:dyDescent="0.3"/>
    <row r="3" spans="1:17" s="10" customFormat="1" ht="60.75" customHeight="1" x14ac:dyDescent="0.3">
      <c r="A3" s="68"/>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16.5" customHeight="1" x14ac:dyDescent="0.3">
      <c r="K4" s="8"/>
    </row>
    <row r="5" spans="1:17" x14ac:dyDescent="0.3">
      <c r="A5" s="12" t="s">
        <v>69</v>
      </c>
      <c r="B5" s="12"/>
      <c r="C5" s="12"/>
      <c r="D5" s="12"/>
      <c r="E5" s="12"/>
      <c r="F5" s="12"/>
      <c r="G5" s="12"/>
      <c r="K5" s="8"/>
    </row>
    <row r="6" spans="1:17" x14ac:dyDescent="0.3">
      <c r="A6" s="80" t="s">
        <v>70</v>
      </c>
      <c r="B6" s="80"/>
      <c r="C6" s="80"/>
      <c r="D6" s="80"/>
      <c r="E6" s="80"/>
      <c r="F6" s="80"/>
      <c r="G6" s="80"/>
      <c r="K6" s="8"/>
    </row>
    <row r="7" spans="1:17" x14ac:dyDescent="0.3">
      <c r="A7" s="12" t="s">
        <v>194</v>
      </c>
      <c r="B7" s="12"/>
      <c r="C7" s="12"/>
      <c r="D7" s="12"/>
      <c r="E7" s="12"/>
      <c r="F7" s="12"/>
      <c r="G7" s="12"/>
      <c r="K7" s="8"/>
    </row>
    <row r="8" spans="1:17" x14ac:dyDescent="0.3">
      <c r="A8" s="12" t="s">
        <v>72</v>
      </c>
      <c r="B8" s="12"/>
      <c r="C8" s="12"/>
      <c r="D8" s="12"/>
      <c r="E8" s="12"/>
      <c r="F8" s="12"/>
      <c r="G8" s="12"/>
      <c r="K8" s="8"/>
    </row>
    <row r="9" spans="1:17" x14ac:dyDescent="0.3">
      <c r="A9" s="82" t="s">
        <v>30</v>
      </c>
      <c r="B9" s="82"/>
      <c r="C9" s="82"/>
      <c r="D9" s="82"/>
      <c r="E9" s="82"/>
      <c r="F9" s="82"/>
      <c r="G9" s="82"/>
      <c r="K9" s="8"/>
    </row>
    <row r="10" spans="1:17" ht="13.8" x14ac:dyDescent="0.25">
      <c r="A10" s="50" t="s">
        <v>195</v>
      </c>
      <c r="B10" s="19" t="s">
        <v>137</v>
      </c>
      <c r="C10" s="20" t="s">
        <v>138</v>
      </c>
      <c r="D10" s="21">
        <v>38000</v>
      </c>
      <c r="E10" s="21">
        <v>33612.04</v>
      </c>
      <c r="F10" s="21">
        <v>42540</v>
      </c>
      <c r="G10" s="21">
        <v>39321.199999999997</v>
      </c>
      <c r="H10" s="21">
        <v>42540</v>
      </c>
      <c r="I10" s="21">
        <v>35033.440000000002</v>
      </c>
      <c r="J10" s="21">
        <v>42540</v>
      </c>
      <c r="K10" s="8"/>
      <c r="L10" s="21">
        <v>42540</v>
      </c>
      <c r="M10" s="21">
        <v>42540</v>
      </c>
      <c r="N10" s="21">
        <v>42540</v>
      </c>
      <c r="O10" s="21">
        <v>42540</v>
      </c>
      <c r="P10" s="21" t="e">
        <f>+N10-#REF!</f>
        <v>#REF!</v>
      </c>
      <c r="Q10" s="21">
        <f>+N10-O10</f>
        <v>0</v>
      </c>
    </row>
    <row r="11" spans="1:17" ht="13.8" x14ac:dyDescent="0.25">
      <c r="A11" s="188" t="s">
        <v>77</v>
      </c>
      <c r="B11" s="188"/>
      <c r="C11" s="188"/>
      <c r="D11" s="24">
        <f t="shared" ref="D11:J11" si="0">SUM(D10:D10)</f>
        <v>38000</v>
      </c>
      <c r="E11" s="24">
        <f t="shared" si="0"/>
        <v>33612.04</v>
      </c>
      <c r="F11" s="24">
        <f t="shared" si="0"/>
        <v>42540</v>
      </c>
      <c r="G11" s="24">
        <f t="shared" si="0"/>
        <v>39321.199999999997</v>
      </c>
      <c r="H11" s="24">
        <f t="shared" si="0"/>
        <v>42540</v>
      </c>
      <c r="I11" s="24">
        <f t="shared" si="0"/>
        <v>35033.440000000002</v>
      </c>
      <c r="J11" s="24">
        <f t="shared" si="0"/>
        <v>42540</v>
      </c>
      <c r="K11" s="8"/>
      <c r="L11" s="24">
        <f t="shared" ref="L11" si="1">SUM(L10:L10)</f>
        <v>42540</v>
      </c>
      <c r="M11" s="24">
        <f>SUM(M10:M10)</f>
        <v>42540</v>
      </c>
      <c r="N11" s="24">
        <f t="shared" ref="N11:Q11" si="2">SUM(N10:N10)</f>
        <v>42540</v>
      </c>
      <c r="O11" s="24">
        <f t="shared" si="2"/>
        <v>42540</v>
      </c>
      <c r="P11" s="24" t="e">
        <f t="shared" si="2"/>
        <v>#REF!</v>
      </c>
      <c r="Q11" s="24">
        <f t="shared" si="2"/>
        <v>0</v>
      </c>
    </row>
    <row r="12" spans="1:17" ht="13.8" x14ac:dyDescent="0.25">
      <c r="A12" s="189" t="s">
        <v>78</v>
      </c>
      <c r="B12" s="189"/>
      <c r="C12" s="189"/>
      <c r="D12" s="40">
        <f t="shared" ref="D12:J14" si="3">D11</f>
        <v>38000</v>
      </c>
      <c r="E12" s="40">
        <f t="shared" si="3"/>
        <v>33612.04</v>
      </c>
      <c r="F12" s="40">
        <f t="shared" si="3"/>
        <v>42540</v>
      </c>
      <c r="G12" s="40">
        <f t="shared" si="3"/>
        <v>39321.199999999997</v>
      </c>
      <c r="H12" s="40">
        <f t="shared" si="3"/>
        <v>42540</v>
      </c>
      <c r="I12" s="40">
        <f t="shared" si="3"/>
        <v>35033.440000000002</v>
      </c>
      <c r="J12" s="40">
        <f t="shared" si="3"/>
        <v>42540</v>
      </c>
      <c r="K12" s="8"/>
      <c r="L12" s="40">
        <f t="shared" ref="L12:Q14" si="4">L11</f>
        <v>42540</v>
      </c>
      <c r="M12" s="40">
        <f t="shared" si="4"/>
        <v>42540</v>
      </c>
      <c r="N12" s="40">
        <f t="shared" si="4"/>
        <v>42540</v>
      </c>
      <c r="O12" s="40">
        <f t="shared" si="4"/>
        <v>42540</v>
      </c>
      <c r="P12" s="40" t="e">
        <f t="shared" si="4"/>
        <v>#REF!</v>
      </c>
      <c r="Q12" s="40">
        <f t="shared" si="4"/>
        <v>0</v>
      </c>
    </row>
    <row r="13" spans="1:17" ht="13.8" x14ac:dyDescent="0.25">
      <c r="A13" s="189" t="s">
        <v>196</v>
      </c>
      <c r="B13" s="189"/>
      <c r="C13" s="189"/>
      <c r="D13" s="40">
        <f t="shared" si="3"/>
        <v>38000</v>
      </c>
      <c r="E13" s="40">
        <f t="shared" si="3"/>
        <v>33612.04</v>
      </c>
      <c r="F13" s="40">
        <f t="shared" si="3"/>
        <v>42540</v>
      </c>
      <c r="G13" s="40">
        <f t="shared" si="3"/>
        <v>39321.199999999997</v>
      </c>
      <c r="H13" s="40">
        <f t="shared" si="3"/>
        <v>42540</v>
      </c>
      <c r="I13" s="40">
        <f t="shared" si="3"/>
        <v>35033.440000000002</v>
      </c>
      <c r="J13" s="40">
        <f t="shared" si="3"/>
        <v>42540</v>
      </c>
      <c r="K13" s="8"/>
      <c r="L13" s="40">
        <f t="shared" si="4"/>
        <v>42540</v>
      </c>
      <c r="M13" s="40">
        <f t="shared" si="4"/>
        <v>42540</v>
      </c>
      <c r="N13" s="40">
        <f t="shared" si="4"/>
        <v>42540</v>
      </c>
      <c r="O13" s="40">
        <f t="shared" si="4"/>
        <v>42540</v>
      </c>
      <c r="P13" s="40" t="e">
        <f t="shared" si="4"/>
        <v>#REF!</v>
      </c>
      <c r="Q13" s="40">
        <f t="shared" si="4"/>
        <v>0</v>
      </c>
    </row>
    <row r="14" spans="1:17" ht="13.8" x14ac:dyDescent="0.25">
      <c r="A14" s="187" t="s">
        <v>80</v>
      </c>
      <c r="B14" s="187"/>
      <c r="C14" s="187"/>
      <c r="D14" s="41">
        <f t="shared" si="3"/>
        <v>38000</v>
      </c>
      <c r="E14" s="41">
        <f t="shared" si="3"/>
        <v>33612.04</v>
      </c>
      <c r="F14" s="41">
        <f t="shared" si="3"/>
        <v>42540</v>
      </c>
      <c r="G14" s="41">
        <f t="shared" si="3"/>
        <v>39321.199999999997</v>
      </c>
      <c r="H14" s="41">
        <f t="shared" si="3"/>
        <v>42540</v>
      </c>
      <c r="I14" s="41">
        <f t="shared" si="3"/>
        <v>35033.440000000002</v>
      </c>
      <c r="J14" s="41">
        <f t="shared" si="3"/>
        <v>42540</v>
      </c>
      <c r="K14" s="8"/>
      <c r="L14" s="41">
        <f t="shared" si="4"/>
        <v>42540</v>
      </c>
      <c r="M14" s="41">
        <f t="shared" si="4"/>
        <v>42540</v>
      </c>
      <c r="N14" s="41">
        <f t="shared" si="4"/>
        <v>42540</v>
      </c>
      <c r="O14" s="41">
        <f t="shared" si="4"/>
        <v>42540</v>
      </c>
      <c r="P14" s="41" t="e">
        <f t="shared" si="4"/>
        <v>#REF!</v>
      </c>
      <c r="Q14" s="41">
        <f t="shared" si="4"/>
        <v>0</v>
      </c>
    </row>
    <row r="15" spans="1:17" ht="6" customHeight="1" x14ac:dyDescent="0.3">
      <c r="D15" s="94"/>
      <c r="E15" s="94"/>
      <c r="F15" s="94"/>
      <c r="G15" s="94"/>
      <c r="H15" s="94"/>
      <c r="I15" s="94"/>
      <c r="J15" s="94"/>
      <c r="K15" s="8"/>
      <c r="L15" s="94"/>
      <c r="M15" s="94"/>
      <c r="N15" s="94"/>
      <c r="O15" s="94"/>
      <c r="P15" s="94"/>
    </row>
    <row r="16" spans="1:17" ht="13.8" x14ac:dyDescent="0.25">
      <c r="A16" s="187" t="s">
        <v>81</v>
      </c>
      <c r="B16" s="187"/>
      <c r="C16" s="187"/>
      <c r="D16" s="41">
        <f t="shared" ref="D16:J16" si="5">D14</f>
        <v>38000</v>
      </c>
      <c r="E16" s="41">
        <f t="shared" si="5"/>
        <v>33612.04</v>
      </c>
      <c r="F16" s="41">
        <f t="shared" si="5"/>
        <v>42540</v>
      </c>
      <c r="G16" s="41">
        <f t="shared" si="5"/>
        <v>39321.199999999997</v>
      </c>
      <c r="H16" s="41">
        <f t="shared" si="5"/>
        <v>42540</v>
      </c>
      <c r="I16" s="41">
        <f t="shared" si="5"/>
        <v>35033.440000000002</v>
      </c>
      <c r="J16" s="41">
        <f t="shared" si="5"/>
        <v>42540</v>
      </c>
      <c r="K16" s="8"/>
      <c r="L16" s="41">
        <f t="shared" ref="L16" si="6">L14</f>
        <v>42540</v>
      </c>
      <c r="M16" s="41">
        <f>M14</f>
        <v>42540</v>
      </c>
      <c r="N16" s="41">
        <f t="shared" ref="N16:Q16" si="7">N14</f>
        <v>42540</v>
      </c>
      <c r="O16" s="41">
        <f t="shared" si="7"/>
        <v>42540</v>
      </c>
      <c r="P16" s="41" t="e">
        <f t="shared" si="7"/>
        <v>#REF!</v>
      </c>
      <c r="Q16" s="41">
        <f t="shared" si="7"/>
        <v>0</v>
      </c>
    </row>
    <row r="17" spans="12:15" x14ac:dyDescent="0.3">
      <c r="L17" s="94"/>
      <c r="M17" s="94"/>
      <c r="N17" s="94"/>
      <c r="O17" s="94"/>
    </row>
  </sheetData>
  <mergeCells count="6">
    <mergeCell ref="A16:C16"/>
    <mergeCell ref="A1:Q1"/>
    <mergeCell ref="A11:C11"/>
    <mergeCell ref="A12:C12"/>
    <mergeCell ref="A13:C13"/>
    <mergeCell ref="A14:C14"/>
  </mergeCells>
  <printOptions horizontalCentered="1" verticalCentered="1"/>
  <pageMargins left="0.7" right="0.7" top="0.75" bottom="0.75" header="0.3" footer="0.3"/>
  <pageSetup scale="67" fitToHeight="0" orientation="landscape" r:id="rId1"/>
  <headerFooter>
    <oddFooter>&amp;RBudget Kick Off - 11.01.25</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71468-3EED-4E63-92B3-779835948688}">
  <sheetPr codeName="Sheet15">
    <tabColor rgb="FF92D050"/>
    <pageSetUpPr fitToPage="1"/>
  </sheetPr>
  <dimension ref="A1:Q24"/>
  <sheetViews>
    <sheetView zoomScaleNormal="100" workbookViewId="0">
      <selection activeCell="C12" sqref="C12"/>
    </sheetView>
  </sheetViews>
  <sheetFormatPr defaultColWidth="9.109375" defaultRowHeight="14.4" x14ac:dyDescent="0.3"/>
  <cols>
    <col min="1" max="1" width="9.5546875" style="3" bestFit="1" customWidth="1"/>
    <col min="2" max="2" width="14.33203125" style="3" bestFit="1" customWidth="1"/>
    <col min="3" max="3" width="19.88671875" style="3" bestFit="1" customWidth="1"/>
    <col min="4" max="4" width="12" style="3" bestFit="1" customWidth="1"/>
    <col min="5" max="6" width="12" style="3" customWidth="1"/>
    <col min="7" max="10" width="12" style="3" bestFit="1" customWidth="1"/>
    <col min="11" max="11" width="0.88671875" style="3" customWidth="1"/>
    <col min="12" max="12" width="12" style="3" bestFit="1" customWidth="1"/>
    <col min="13" max="13" width="12.5546875" bestFit="1" customWidth="1"/>
    <col min="14" max="14" width="14.33203125" bestFit="1" customWidth="1"/>
    <col min="15" max="15" width="12" bestFit="1" customWidth="1"/>
    <col min="16" max="17" width="12.5546875" bestFit="1" customWidth="1"/>
    <col min="18" max="16384" width="9.109375" style="3"/>
  </cols>
  <sheetData>
    <row r="1" spans="1:17" ht="75" customHeight="1" x14ac:dyDescent="0.25">
      <c r="A1" s="170" t="s">
        <v>197</v>
      </c>
      <c r="B1" s="170"/>
      <c r="C1" s="170"/>
      <c r="D1" s="170"/>
      <c r="E1" s="170"/>
      <c r="F1" s="170"/>
      <c r="G1" s="170"/>
      <c r="H1" s="170"/>
      <c r="I1" s="170"/>
      <c r="J1" s="170"/>
      <c r="K1" s="170"/>
      <c r="L1" s="170"/>
      <c r="M1" s="170"/>
      <c r="N1" s="170"/>
      <c r="O1" s="170"/>
      <c r="P1" s="170"/>
      <c r="Q1" s="170"/>
    </row>
    <row r="2" spans="1:17" ht="6" customHeight="1" x14ac:dyDescent="0.3"/>
    <row r="3" spans="1:17" s="103" customFormat="1" ht="52.8"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3">
      <c r="K4" s="8"/>
    </row>
    <row r="5" spans="1:17" x14ac:dyDescent="0.3">
      <c r="A5" s="12" t="s">
        <v>69</v>
      </c>
      <c r="B5" s="12"/>
      <c r="C5" s="12"/>
      <c r="D5" s="12"/>
      <c r="E5" s="12"/>
      <c r="F5" s="12"/>
      <c r="K5" s="8"/>
    </row>
    <row r="6" spans="1:17" x14ac:dyDescent="0.3">
      <c r="A6" s="80" t="s">
        <v>70</v>
      </c>
      <c r="B6" s="80"/>
      <c r="C6" s="80"/>
      <c r="D6" s="80"/>
      <c r="E6" s="80"/>
      <c r="F6" s="80"/>
      <c r="K6" s="8"/>
    </row>
    <row r="7" spans="1:17" x14ac:dyDescent="0.3">
      <c r="A7" s="12" t="s">
        <v>198</v>
      </c>
      <c r="B7" s="12"/>
      <c r="C7" s="12"/>
      <c r="D7" s="12"/>
      <c r="E7" s="12"/>
      <c r="F7" s="12"/>
      <c r="K7" s="8"/>
    </row>
    <row r="8" spans="1:17" x14ac:dyDescent="0.3">
      <c r="A8" s="12" t="s">
        <v>72</v>
      </c>
      <c r="B8" s="12"/>
      <c r="C8" s="12"/>
      <c r="D8" s="12"/>
      <c r="E8" s="12"/>
      <c r="F8" s="12"/>
      <c r="K8" s="8"/>
    </row>
    <row r="9" spans="1:17" ht="13.5" customHeight="1" x14ac:dyDescent="0.3">
      <c r="A9" s="82" t="s">
        <v>14</v>
      </c>
      <c r="B9" s="82"/>
      <c r="C9" s="82"/>
      <c r="D9" s="82"/>
      <c r="E9" s="82"/>
      <c r="F9" s="82"/>
      <c r="K9" s="8"/>
      <c r="P9" s="104"/>
    </row>
    <row r="10" spans="1:17" ht="13.8" x14ac:dyDescent="0.25">
      <c r="A10" s="50" t="s">
        <v>199</v>
      </c>
      <c r="B10" s="19" t="s">
        <v>57</v>
      </c>
      <c r="C10" s="20" t="s">
        <v>58</v>
      </c>
      <c r="D10" s="21">
        <v>3630865</v>
      </c>
      <c r="E10" s="21">
        <v>3181281.69</v>
      </c>
      <c r="F10" s="21">
        <v>3913132</v>
      </c>
      <c r="G10" s="21">
        <v>3708516.29</v>
      </c>
      <c r="H10" s="21">
        <v>5030005</v>
      </c>
      <c r="I10" s="21">
        <v>4535358.8600000003</v>
      </c>
      <c r="J10" s="21">
        <v>5488229</v>
      </c>
      <c r="K10" s="105"/>
      <c r="L10" s="21">
        <v>5904683</v>
      </c>
      <c r="M10" s="21">
        <v>5904683</v>
      </c>
      <c r="N10" s="21">
        <v>5904683</v>
      </c>
      <c r="O10" s="21">
        <v>5919179</v>
      </c>
      <c r="P10" s="21">
        <f>+N10-J10</f>
        <v>416454</v>
      </c>
      <c r="Q10" s="21">
        <f>+N10-O10</f>
        <v>-14496</v>
      </c>
    </row>
    <row r="11" spans="1:17" ht="13.8" x14ac:dyDescent="0.25">
      <c r="A11" s="50" t="s">
        <v>199</v>
      </c>
      <c r="B11" s="19" t="s">
        <v>106</v>
      </c>
      <c r="C11" s="20" t="s">
        <v>626</v>
      </c>
      <c r="D11" s="21">
        <v>220356</v>
      </c>
      <c r="E11" s="21">
        <v>184499.75</v>
      </c>
      <c r="F11" s="21">
        <v>212990</v>
      </c>
      <c r="G11" s="21">
        <v>192156.48</v>
      </c>
      <c r="H11" s="21">
        <v>239460</v>
      </c>
      <c r="I11" s="21">
        <v>214686.5</v>
      </c>
      <c r="J11" s="21">
        <v>264745</v>
      </c>
      <c r="K11" s="105"/>
      <c r="L11" s="21">
        <v>284940</v>
      </c>
      <c r="M11" s="21">
        <v>284940</v>
      </c>
      <c r="N11" s="21">
        <v>284940</v>
      </c>
      <c r="O11" s="21">
        <v>289070</v>
      </c>
      <c r="P11" s="21">
        <f>+N11-J11</f>
        <v>20195</v>
      </c>
      <c r="Q11" s="21">
        <f>+N11-O11</f>
        <v>-4130</v>
      </c>
    </row>
    <row r="12" spans="1:17" ht="13.8" x14ac:dyDescent="0.25">
      <c r="A12" s="50" t="s">
        <v>199</v>
      </c>
      <c r="B12" s="19" t="s">
        <v>200</v>
      </c>
      <c r="C12" s="20" t="s">
        <v>201</v>
      </c>
      <c r="D12" s="106">
        <v>4981</v>
      </c>
      <c r="E12" s="21">
        <v>808.29</v>
      </c>
      <c r="F12" s="21">
        <v>4568</v>
      </c>
      <c r="G12" s="21">
        <v>5317</v>
      </c>
      <c r="H12" s="21">
        <v>5317</v>
      </c>
      <c r="I12" s="21">
        <v>6022</v>
      </c>
      <c r="J12" s="21">
        <v>6022</v>
      </c>
      <c r="K12" s="105"/>
      <c r="L12" s="21">
        <v>6617</v>
      </c>
      <c r="M12" s="21">
        <v>6617</v>
      </c>
      <c r="N12" s="21">
        <v>6617</v>
      </c>
      <c r="O12" s="21">
        <v>6617</v>
      </c>
      <c r="P12" s="21">
        <f>+N12-J12</f>
        <v>595</v>
      </c>
      <c r="Q12" s="21">
        <f>+N12-O12</f>
        <v>0</v>
      </c>
    </row>
    <row r="13" spans="1:17" ht="13.8" x14ac:dyDescent="0.25">
      <c r="A13" s="83" t="s">
        <v>75</v>
      </c>
      <c r="B13" s="84"/>
      <c r="C13" s="84"/>
      <c r="D13" s="24">
        <f t="shared" ref="D13:J13" si="0">SUM(D10:D12)</f>
        <v>3856202</v>
      </c>
      <c r="E13" s="24">
        <f t="shared" si="0"/>
        <v>3366589.73</v>
      </c>
      <c r="F13" s="24">
        <f t="shared" si="0"/>
        <v>4130690</v>
      </c>
      <c r="G13" s="24">
        <f t="shared" si="0"/>
        <v>3905989.77</v>
      </c>
      <c r="H13" s="24">
        <f t="shared" si="0"/>
        <v>5274782</v>
      </c>
      <c r="I13" s="24">
        <f t="shared" si="0"/>
        <v>4756067.3600000003</v>
      </c>
      <c r="J13" s="24">
        <f t="shared" si="0"/>
        <v>5758996</v>
      </c>
      <c r="K13" s="105"/>
      <c r="L13" s="24">
        <f t="shared" ref="L13:Q13" si="1">SUM(L10:L12)</f>
        <v>6196240</v>
      </c>
      <c r="M13" s="24">
        <f t="shared" si="1"/>
        <v>6196240</v>
      </c>
      <c r="N13" s="24">
        <f t="shared" si="1"/>
        <v>6196240</v>
      </c>
      <c r="O13" s="24">
        <f t="shared" si="1"/>
        <v>6214866</v>
      </c>
      <c r="P13" s="24">
        <f t="shared" si="1"/>
        <v>437244</v>
      </c>
      <c r="Q13" s="24">
        <f t="shared" si="1"/>
        <v>-18626</v>
      </c>
    </row>
    <row r="14" spans="1:17" x14ac:dyDescent="0.3">
      <c r="A14" s="82" t="s">
        <v>45</v>
      </c>
      <c r="B14" s="82"/>
      <c r="C14" s="82"/>
      <c r="D14" s="107"/>
      <c r="E14" s="86"/>
      <c r="F14" s="86"/>
      <c r="G14" s="86"/>
      <c r="H14" s="86"/>
      <c r="I14" s="86"/>
      <c r="J14" s="86"/>
      <c r="K14" s="105"/>
      <c r="L14" s="86"/>
      <c r="M14" s="94"/>
      <c r="N14" s="94"/>
      <c r="O14" s="87"/>
      <c r="P14" s="1"/>
      <c r="Q14" s="1"/>
    </row>
    <row r="15" spans="1:17" ht="13.8" x14ac:dyDescent="0.25">
      <c r="A15" s="50" t="s">
        <v>199</v>
      </c>
      <c r="B15" s="19" t="s">
        <v>202</v>
      </c>
      <c r="C15" s="20" t="s">
        <v>203</v>
      </c>
      <c r="D15" s="21">
        <v>213975</v>
      </c>
      <c r="E15" s="21">
        <v>196460.63</v>
      </c>
      <c r="F15" s="21">
        <v>224496</v>
      </c>
      <c r="G15" s="21">
        <v>224313.88</v>
      </c>
      <c r="H15" s="21">
        <v>235530</v>
      </c>
      <c r="I15" s="21">
        <v>235672.9</v>
      </c>
      <c r="J15" s="21">
        <v>248058</v>
      </c>
      <c r="K15" s="105"/>
      <c r="L15" s="21">
        <f>350450-23407</f>
        <v>327043</v>
      </c>
      <c r="M15" s="21">
        <f>350450-23407</f>
        <v>327043</v>
      </c>
      <c r="N15" s="21">
        <f>350450-23407</f>
        <v>327043</v>
      </c>
      <c r="O15" s="21">
        <f>350450-23407</f>
        <v>327043</v>
      </c>
      <c r="P15" s="21">
        <f>+N15-J15</f>
        <v>78985</v>
      </c>
      <c r="Q15" s="21">
        <f>+N15-O15</f>
        <v>0</v>
      </c>
    </row>
    <row r="16" spans="1:17" ht="13.8" x14ac:dyDescent="0.25">
      <c r="A16" s="50" t="s">
        <v>199</v>
      </c>
      <c r="B16" s="19" t="s">
        <v>204</v>
      </c>
      <c r="C16" s="20" t="s">
        <v>205</v>
      </c>
      <c r="D16" s="21">
        <v>5000</v>
      </c>
      <c r="E16" s="21">
        <v>7782</v>
      </c>
      <c r="F16" s="21">
        <v>5000</v>
      </c>
      <c r="G16" s="21">
        <v>2000</v>
      </c>
      <c r="H16" s="21">
        <v>5000</v>
      </c>
      <c r="I16" s="21">
        <v>0</v>
      </c>
      <c r="J16" s="21">
        <v>5000</v>
      </c>
      <c r="K16" s="105"/>
      <c r="L16" s="21">
        <v>5000</v>
      </c>
      <c r="M16" s="21">
        <v>5000</v>
      </c>
      <c r="N16" s="21">
        <v>5000</v>
      </c>
      <c r="O16" s="21">
        <v>5000</v>
      </c>
      <c r="P16" s="21">
        <f>+N16-J16</f>
        <v>0</v>
      </c>
      <c r="Q16" s="21">
        <f>+N16-O16</f>
        <v>0</v>
      </c>
    </row>
    <row r="17" spans="1:17" ht="13.8" x14ac:dyDescent="0.25">
      <c r="A17" s="83" t="s">
        <v>85</v>
      </c>
      <c r="B17" s="84"/>
      <c r="C17" s="84"/>
      <c r="D17" s="24">
        <f t="shared" ref="D17:J17" si="2">SUM(D15:D16)</f>
        <v>218975</v>
      </c>
      <c r="E17" s="24">
        <f t="shared" si="2"/>
        <v>204242.63</v>
      </c>
      <c r="F17" s="24">
        <f t="shared" si="2"/>
        <v>229496</v>
      </c>
      <c r="G17" s="24">
        <f t="shared" si="2"/>
        <v>226313.88</v>
      </c>
      <c r="H17" s="24">
        <f t="shared" si="2"/>
        <v>240530</v>
      </c>
      <c r="I17" s="24">
        <f t="shared" si="2"/>
        <v>235672.9</v>
      </c>
      <c r="J17" s="24">
        <f t="shared" si="2"/>
        <v>253058</v>
      </c>
      <c r="K17" s="105"/>
      <c r="L17" s="24">
        <f t="shared" ref="L17:Q17" si="3">SUM(L15:L16)</f>
        <v>332043</v>
      </c>
      <c r="M17" s="24">
        <f t="shared" si="3"/>
        <v>332043</v>
      </c>
      <c r="N17" s="24">
        <f t="shared" si="3"/>
        <v>332043</v>
      </c>
      <c r="O17" s="24">
        <f t="shared" si="3"/>
        <v>332043</v>
      </c>
      <c r="P17" s="24">
        <f t="shared" si="3"/>
        <v>78985</v>
      </c>
      <c r="Q17" s="24">
        <f t="shared" si="3"/>
        <v>0</v>
      </c>
    </row>
    <row r="18" spans="1:17" ht="13.8" x14ac:dyDescent="0.25">
      <c r="A18" s="89" t="s">
        <v>78</v>
      </c>
      <c r="B18" s="90"/>
      <c r="C18" s="90"/>
      <c r="D18" s="40">
        <f t="shared" ref="D18:J18" si="4">D13+D17</f>
        <v>4075177</v>
      </c>
      <c r="E18" s="40">
        <f t="shared" si="4"/>
        <v>3570832.36</v>
      </c>
      <c r="F18" s="40">
        <f t="shared" si="4"/>
        <v>4360186</v>
      </c>
      <c r="G18" s="40">
        <f t="shared" si="4"/>
        <v>4132303.65</v>
      </c>
      <c r="H18" s="40">
        <f t="shared" si="4"/>
        <v>5515312</v>
      </c>
      <c r="I18" s="40">
        <f t="shared" si="4"/>
        <v>4991740.2600000007</v>
      </c>
      <c r="J18" s="40">
        <f t="shared" si="4"/>
        <v>6012054</v>
      </c>
      <c r="K18" s="105"/>
      <c r="L18" s="40">
        <f t="shared" ref="L18:Q18" si="5">L13+L17</f>
        <v>6528283</v>
      </c>
      <c r="M18" s="40">
        <f t="shared" si="5"/>
        <v>6528283</v>
      </c>
      <c r="N18" s="40">
        <f t="shared" si="5"/>
        <v>6528283</v>
      </c>
      <c r="O18" s="40">
        <f t="shared" si="5"/>
        <v>6546909</v>
      </c>
      <c r="P18" s="40">
        <f t="shared" si="5"/>
        <v>516229</v>
      </c>
      <c r="Q18" s="40">
        <f t="shared" si="5"/>
        <v>-18626</v>
      </c>
    </row>
    <row r="19" spans="1:17" ht="13.8" x14ac:dyDescent="0.25">
      <c r="A19" s="89" t="s">
        <v>206</v>
      </c>
      <c r="B19" s="90"/>
      <c r="C19" s="90"/>
      <c r="D19" s="40">
        <f t="shared" ref="D19:J20" si="6">D18</f>
        <v>4075177</v>
      </c>
      <c r="E19" s="40">
        <f t="shared" si="6"/>
        <v>3570832.36</v>
      </c>
      <c r="F19" s="40">
        <f t="shared" si="6"/>
        <v>4360186</v>
      </c>
      <c r="G19" s="40">
        <f t="shared" si="6"/>
        <v>4132303.65</v>
      </c>
      <c r="H19" s="40">
        <f t="shared" si="6"/>
        <v>5515312</v>
      </c>
      <c r="I19" s="40">
        <f t="shared" si="6"/>
        <v>4991740.2600000007</v>
      </c>
      <c r="J19" s="40">
        <f t="shared" si="6"/>
        <v>6012054</v>
      </c>
      <c r="K19" s="105"/>
      <c r="L19" s="40">
        <f t="shared" ref="L19:Q20" si="7">L18</f>
        <v>6528283</v>
      </c>
      <c r="M19" s="40">
        <f t="shared" si="7"/>
        <v>6528283</v>
      </c>
      <c r="N19" s="40">
        <f t="shared" si="7"/>
        <v>6528283</v>
      </c>
      <c r="O19" s="40">
        <f t="shared" si="7"/>
        <v>6546909</v>
      </c>
      <c r="P19" s="40">
        <f t="shared" si="7"/>
        <v>516229</v>
      </c>
      <c r="Q19" s="40">
        <f t="shared" si="7"/>
        <v>-18626</v>
      </c>
    </row>
    <row r="20" spans="1:17" ht="13.8" x14ac:dyDescent="0.25">
      <c r="A20" s="91" t="s">
        <v>80</v>
      </c>
      <c r="B20" s="92"/>
      <c r="C20" s="92"/>
      <c r="D20" s="41">
        <f t="shared" si="6"/>
        <v>4075177</v>
      </c>
      <c r="E20" s="41">
        <f t="shared" si="6"/>
        <v>3570832.36</v>
      </c>
      <c r="F20" s="41">
        <f t="shared" si="6"/>
        <v>4360186</v>
      </c>
      <c r="G20" s="41">
        <f t="shared" si="6"/>
        <v>4132303.65</v>
      </c>
      <c r="H20" s="41">
        <f t="shared" si="6"/>
        <v>5515312</v>
      </c>
      <c r="I20" s="41">
        <f t="shared" si="6"/>
        <v>4991740.2600000007</v>
      </c>
      <c r="J20" s="41">
        <f t="shared" si="6"/>
        <v>6012054</v>
      </c>
      <c r="K20" s="105"/>
      <c r="L20" s="41">
        <f t="shared" si="7"/>
        <v>6528283</v>
      </c>
      <c r="M20" s="41">
        <f t="shared" si="7"/>
        <v>6528283</v>
      </c>
      <c r="N20" s="41">
        <f t="shared" si="7"/>
        <v>6528283</v>
      </c>
      <c r="O20" s="41">
        <f t="shared" si="7"/>
        <v>6546909</v>
      </c>
      <c r="P20" s="41">
        <f t="shared" si="7"/>
        <v>516229</v>
      </c>
      <c r="Q20" s="41">
        <f t="shared" si="7"/>
        <v>-18626</v>
      </c>
    </row>
    <row r="21" spans="1:17" ht="6" customHeight="1" x14ac:dyDescent="0.25">
      <c r="D21" s="94"/>
      <c r="E21" s="86"/>
      <c r="F21" s="86"/>
      <c r="G21" s="86"/>
      <c r="H21" s="86"/>
      <c r="I21" s="86"/>
      <c r="J21" s="86"/>
      <c r="K21" s="105"/>
      <c r="L21" s="86"/>
      <c r="M21" s="94"/>
      <c r="N21" s="94"/>
      <c r="O21" s="94"/>
      <c r="P21" s="94"/>
      <c r="Q21" s="94"/>
    </row>
    <row r="22" spans="1:17" ht="13.8" x14ac:dyDescent="0.25">
      <c r="A22" s="91" t="s">
        <v>81</v>
      </c>
      <c r="B22" s="92"/>
      <c r="C22" s="92"/>
      <c r="D22" s="41">
        <f t="shared" ref="D22:J22" si="8">D20</f>
        <v>4075177</v>
      </c>
      <c r="E22" s="41">
        <f t="shared" si="8"/>
        <v>3570832.36</v>
      </c>
      <c r="F22" s="41">
        <f t="shared" si="8"/>
        <v>4360186</v>
      </c>
      <c r="G22" s="41">
        <f t="shared" si="8"/>
        <v>4132303.65</v>
      </c>
      <c r="H22" s="41">
        <f t="shared" si="8"/>
        <v>5515312</v>
      </c>
      <c r="I22" s="41">
        <f t="shared" si="8"/>
        <v>4991740.2600000007</v>
      </c>
      <c r="J22" s="41">
        <f t="shared" si="8"/>
        <v>6012054</v>
      </c>
      <c r="K22" s="105"/>
      <c r="L22" s="41">
        <f t="shared" ref="L22:Q22" si="9">L20</f>
        <v>6528283</v>
      </c>
      <c r="M22" s="41">
        <f t="shared" si="9"/>
        <v>6528283</v>
      </c>
      <c r="N22" s="41">
        <f t="shared" si="9"/>
        <v>6528283</v>
      </c>
      <c r="O22" s="41">
        <f t="shared" si="9"/>
        <v>6546909</v>
      </c>
      <c r="P22" s="41">
        <f t="shared" si="9"/>
        <v>516229</v>
      </c>
      <c r="Q22" s="41">
        <f t="shared" si="9"/>
        <v>-18626</v>
      </c>
    </row>
    <row r="23" spans="1:17" ht="6" customHeight="1" x14ac:dyDescent="0.3">
      <c r="G23" s="94"/>
      <c r="H23" s="94"/>
      <c r="I23" s="94"/>
      <c r="J23" s="94"/>
      <c r="K23" s="94"/>
      <c r="L23" s="94"/>
    </row>
    <row r="24" spans="1:17" x14ac:dyDescent="0.3">
      <c r="L24" s="97"/>
    </row>
  </sheetData>
  <mergeCells count="1">
    <mergeCell ref="A1:Q1"/>
  </mergeCells>
  <printOptions horizontalCentered="1" verticalCentered="1"/>
  <pageMargins left="0.7" right="0.7" top="0.75" bottom="0.75" header="0.3" footer="0.3"/>
  <pageSetup scale="42" fitToHeight="0" orientation="landscape" r:id="rId1"/>
  <headerFooter>
    <oddFooter>&amp;RBudget Kick Off - 11.01.25</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01D8-2EB8-4A5F-96BD-098B0930FA86}">
  <sheetPr codeName="Sheet16">
    <tabColor rgb="FF92D050"/>
    <pageSetUpPr fitToPage="1"/>
  </sheetPr>
  <dimension ref="A1:Q17"/>
  <sheetViews>
    <sheetView topLeftCell="A9" zoomScaleNormal="100" workbookViewId="0">
      <selection activeCell="K9" sqref="K9"/>
    </sheetView>
  </sheetViews>
  <sheetFormatPr defaultColWidth="9.109375" defaultRowHeight="14.4" x14ac:dyDescent="0.3"/>
  <cols>
    <col min="1" max="1" width="9.5546875" style="3" bestFit="1" customWidth="1"/>
    <col min="2" max="2" width="15.33203125" style="3" bestFit="1" customWidth="1"/>
    <col min="3" max="3" width="34.33203125" style="3" bestFit="1" customWidth="1"/>
    <col min="4" max="4" width="11.44140625" style="3" bestFit="1" customWidth="1"/>
    <col min="5" max="5" width="11" style="3" bestFit="1" customWidth="1"/>
    <col min="6" max="6" width="11.44140625" style="3" customWidth="1"/>
    <col min="7" max="7" width="11" style="3" bestFit="1" customWidth="1"/>
    <col min="8" max="8" width="11.44140625" style="3" customWidth="1"/>
    <col min="9" max="10" width="11" style="3" bestFit="1" customWidth="1"/>
    <col min="11" max="11" width="1" style="3" customWidth="1"/>
    <col min="12" max="12" width="10.109375" style="3" bestFit="1" customWidth="1"/>
    <col min="13" max="15" width="9" style="3" bestFit="1" customWidth="1"/>
    <col min="16" max="16" width="9" bestFit="1" customWidth="1"/>
    <col min="17" max="17" width="11.33203125" bestFit="1" customWidth="1"/>
    <col min="18" max="16384" width="9.109375" style="3"/>
  </cols>
  <sheetData>
    <row r="1" spans="1:17" s="4" customFormat="1" ht="75" customHeight="1" x14ac:dyDescent="0.25">
      <c r="A1" s="170" t="s">
        <v>207</v>
      </c>
      <c r="B1" s="170"/>
      <c r="C1" s="170"/>
      <c r="D1" s="170"/>
      <c r="E1" s="170"/>
      <c r="F1" s="170"/>
      <c r="G1" s="170"/>
      <c r="H1" s="170"/>
      <c r="I1" s="170"/>
      <c r="J1" s="170"/>
      <c r="K1" s="170"/>
      <c r="L1" s="170"/>
      <c r="M1" s="170"/>
      <c r="N1" s="170"/>
      <c r="O1" s="170"/>
      <c r="P1" s="170"/>
      <c r="Q1" s="170"/>
    </row>
    <row r="2" spans="1:17" s="4" customFormat="1" ht="6" customHeight="1" x14ac:dyDescent="0.25"/>
    <row r="3" spans="1:17" s="49" customFormat="1" ht="66" x14ac:dyDescent="0.3">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3">
      <c r="K4" s="11"/>
    </row>
    <row r="5" spans="1:17" x14ac:dyDescent="0.3">
      <c r="A5" s="171" t="s">
        <v>69</v>
      </c>
      <c r="B5" s="171"/>
      <c r="C5" s="171"/>
      <c r="D5" s="12"/>
      <c r="E5" s="12"/>
      <c r="F5" s="12"/>
      <c r="G5" s="12"/>
      <c r="H5" s="12"/>
      <c r="K5" s="11"/>
    </row>
    <row r="6" spans="1:17" x14ac:dyDescent="0.3">
      <c r="A6" s="172" t="s">
        <v>70</v>
      </c>
      <c r="B6" s="172"/>
      <c r="C6" s="172"/>
      <c r="D6" s="14"/>
      <c r="E6" s="14"/>
      <c r="F6" s="14"/>
      <c r="G6" s="14"/>
      <c r="H6" s="14"/>
      <c r="K6" s="11"/>
    </row>
    <row r="7" spans="1:17" x14ac:dyDescent="0.3">
      <c r="A7" s="173" t="s">
        <v>208</v>
      </c>
      <c r="B7" s="173"/>
      <c r="C7" s="173"/>
      <c r="D7" s="15"/>
      <c r="E7" s="15"/>
      <c r="F7" s="15"/>
      <c r="G7" s="15"/>
      <c r="H7" s="15"/>
      <c r="K7" s="11"/>
    </row>
    <row r="8" spans="1:17" x14ac:dyDescent="0.3">
      <c r="A8" s="174" t="s">
        <v>72</v>
      </c>
      <c r="B8" s="174"/>
      <c r="C8" s="174"/>
      <c r="D8" s="16"/>
      <c r="E8" s="16"/>
      <c r="F8" s="16"/>
      <c r="G8" s="16"/>
      <c r="H8" s="16"/>
      <c r="K8" s="11"/>
    </row>
    <row r="9" spans="1:17" x14ac:dyDescent="0.3">
      <c r="A9" s="175" t="s">
        <v>30</v>
      </c>
      <c r="B9" s="175"/>
      <c r="C9" s="175"/>
      <c r="D9" s="17"/>
      <c r="E9" s="17"/>
      <c r="F9" s="17"/>
      <c r="G9" s="17"/>
      <c r="H9" s="17"/>
      <c r="K9" s="11"/>
    </row>
    <row r="10" spans="1:17" ht="13.8" x14ac:dyDescent="0.25">
      <c r="A10" s="50" t="s">
        <v>209</v>
      </c>
      <c r="B10" s="19" t="s">
        <v>210</v>
      </c>
      <c r="C10" s="20" t="s">
        <v>211</v>
      </c>
      <c r="D10" s="21">
        <v>3350</v>
      </c>
      <c r="E10" s="21">
        <v>3202.1</v>
      </c>
      <c r="F10" s="21">
        <v>3500</v>
      </c>
      <c r="G10" s="21">
        <v>3310.19</v>
      </c>
      <c r="H10" s="21">
        <v>3500</v>
      </c>
      <c r="I10" s="21">
        <v>2042.82</v>
      </c>
      <c r="J10" s="21">
        <v>3500</v>
      </c>
      <c r="K10" s="23"/>
      <c r="L10" s="21">
        <v>3500</v>
      </c>
      <c r="M10" s="21">
        <v>3500</v>
      </c>
      <c r="N10" s="21">
        <v>3500</v>
      </c>
      <c r="O10" s="21">
        <v>3500</v>
      </c>
      <c r="P10" s="21">
        <f>+N10-J10</f>
        <v>0</v>
      </c>
      <c r="Q10" s="21">
        <f>+N10-O10</f>
        <v>0</v>
      </c>
    </row>
    <row r="11" spans="1:17" ht="13.8" x14ac:dyDescent="0.25">
      <c r="A11" s="177" t="s">
        <v>77</v>
      </c>
      <c r="B11" s="177"/>
      <c r="C11" s="177"/>
      <c r="D11" s="24">
        <f t="shared" ref="D11:J11" si="0">SUM(D10:D10)</f>
        <v>3350</v>
      </c>
      <c r="E11" s="24">
        <f t="shared" si="0"/>
        <v>3202.1</v>
      </c>
      <c r="F11" s="24">
        <f t="shared" si="0"/>
        <v>3500</v>
      </c>
      <c r="G11" s="24">
        <f t="shared" si="0"/>
        <v>3310.19</v>
      </c>
      <c r="H11" s="24">
        <f t="shared" si="0"/>
        <v>3500</v>
      </c>
      <c r="I11" s="24">
        <f t="shared" si="0"/>
        <v>2042.82</v>
      </c>
      <c r="J11" s="24">
        <f t="shared" si="0"/>
        <v>3500</v>
      </c>
      <c r="K11" s="26"/>
      <c r="L11" s="24">
        <f>SUM(L10:L10)</f>
        <v>3500</v>
      </c>
      <c r="M11" s="24">
        <f t="shared" ref="M11" si="1">SUM(M10:M10)</f>
        <v>3500</v>
      </c>
      <c r="N11" s="24">
        <f>SUM(N10:N10)</f>
        <v>3500</v>
      </c>
      <c r="O11" s="24">
        <f>SUM(O10:O10)</f>
        <v>3500</v>
      </c>
      <c r="P11" s="24">
        <f t="shared" ref="P11:Q11" si="2">SUM(P10:P10)</f>
        <v>0</v>
      </c>
      <c r="Q11" s="24">
        <f t="shared" si="2"/>
        <v>0</v>
      </c>
    </row>
    <row r="12" spans="1:17" ht="13.8" x14ac:dyDescent="0.25">
      <c r="A12" s="178" t="s">
        <v>78</v>
      </c>
      <c r="B12" s="178"/>
      <c r="C12" s="178"/>
      <c r="D12" s="40">
        <f t="shared" ref="D12:J14" si="3">D11</f>
        <v>3350</v>
      </c>
      <c r="E12" s="40">
        <f t="shared" si="3"/>
        <v>3202.1</v>
      </c>
      <c r="F12" s="40">
        <f t="shared" si="3"/>
        <v>3500</v>
      </c>
      <c r="G12" s="40">
        <f t="shared" si="3"/>
        <v>3310.19</v>
      </c>
      <c r="H12" s="40">
        <f t="shared" si="3"/>
        <v>3500</v>
      </c>
      <c r="I12" s="40">
        <f t="shared" si="3"/>
        <v>2042.82</v>
      </c>
      <c r="J12" s="40">
        <f t="shared" si="3"/>
        <v>3500</v>
      </c>
      <c r="K12" s="26"/>
      <c r="L12" s="40">
        <f t="shared" ref="L12:N14" si="4">L11</f>
        <v>3500</v>
      </c>
      <c r="M12" s="40">
        <f t="shared" si="4"/>
        <v>3500</v>
      </c>
      <c r="N12" s="40">
        <f t="shared" si="4"/>
        <v>3500</v>
      </c>
      <c r="O12" s="40">
        <f>O11</f>
        <v>3500</v>
      </c>
      <c r="P12" s="40">
        <f t="shared" ref="P12:Q14" si="5">P11</f>
        <v>0</v>
      </c>
      <c r="Q12" s="40">
        <f t="shared" si="5"/>
        <v>0</v>
      </c>
    </row>
    <row r="13" spans="1:17" ht="13.8" x14ac:dyDescent="0.25">
      <c r="A13" s="178" t="s">
        <v>212</v>
      </c>
      <c r="B13" s="178"/>
      <c r="C13" s="178"/>
      <c r="D13" s="40">
        <f t="shared" si="3"/>
        <v>3350</v>
      </c>
      <c r="E13" s="40">
        <f t="shared" si="3"/>
        <v>3202.1</v>
      </c>
      <c r="F13" s="40">
        <f t="shared" si="3"/>
        <v>3500</v>
      </c>
      <c r="G13" s="40">
        <f t="shared" si="3"/>
        <v>3310.19</v>
      </c>
      <c r="H13" s="40">
        <f t="shared" si="3"/>
        <v>3500</v>
      </c>
      <c r="I13" s="40">
        <f t="shared" si="3"/>
        <v>2042.82</v>
      </c>
      <c r="J13" s="40">
        <f t="shared" si="3"/>
        <v>3500</v>
      </c>
      <c r="K13" s="26"/>
      <c r="L13" s="40">
        <f t="shared" si="4"/>
        <v>3500</v>
      </c>
      <c r="M13" s="40">
        <f t="shared" si="4"/>
        <v>3500</v>
      </c>
      <c r="N13" s="40">
        <f t="shared" si="4"/>
        <v>3500</v>
      </c>
      <c r="O13" s="40">
        <f>O12</f>
        <v>3500</v>
      </c>
      <c r="P13" s="40">
        <f t="shared" si="5"/>
        <v>0</v>
      </c>
      <c r="Q13" s="40">
        <f t="shared" si="5"/>
        <v>0</v>
      </c>
    </row>
    <row r="14" spans="1:17" ht="13.8" x14ac:dyDescent="0.25">
      <c r="A14" s="179" t="s">
        <v>80</v>
      </c>
      <c r="B14" s="179"/>
      <c r="C14" s="179"/>
      <c r="D14" s="41">
        <f t="shared" si="3"/>
        <v>3350</v>
      </c>
      <c r="E14" s="41">
        <f t="shared" si="3"/>
        <v>3202.1</v>
      </c>
      <c r="F14" s="41">
        <f t="shared" si="3"/>
        <v>3500</v>
      </c>
      <c r="G14" s="41">
        <f t="shared" si="3"/>
        <v>3310.19</v>
      </c>
      <c r="H14" s="41">
        <f t="shared" si="3"/>
        <v>3500</v>
      </c>
      <c r="I14" s="41">
        <f t="shared" si="3"/>
        <v>2042.82</v>
      </c>
      <c r="J14" s="41">
        <f t="shared" si="3"/>
        <v>3500</v>
      </c>
      <c r="K14" s="26"/>
      <c r="L14" s="41">
        <f t="shared" si="4"/>
        <v>3500</v>
      </c>
      <c r="M14" s="41">
        <f t="shared" si="4"/>
        <v>3500</v>
      </c>
      <c r="N14" s="41">
        <f t="shared" si="4"/>
        <v>3500</v>
      </c>
      <c r="O14" s="41">
        <f>O13</f>
        <v>3500</v>
      </c>
      <c r="P14" s="41">
        <f t="shared" si="5"/>
        <v>0</v>
      </c>
      <c r="Q14" s="41">
        <f t="shared" si="5"/>
        <v>0</v>
      </c>
    </row>
    <row r="15" spans="1:17" ht="6" customHeight="1" x14ac:dyDescent="0.25">
      <c r="D15" s="30"/>
      <c r="E15" s="27"/>
      <c r="F15" s="30"/>
      <c r="G15" s="27"/>
      <c r="H15" s="27"/>
      <c r="I15" s="30"/>
      <c r="J15" s="30"/>
      <c r="K15" s="108"/>
      <c r="L15" s="30"/>
      <c r="M15" s="27"/>
      <c r="N15" s="30"/>
      <c r="O15" s="30"/>
      <c r="P15" s="30"/>
      <c r="Q15" s="30"/>
    </row>
    <row r="16" spans="1:17" ht="13.8" x14ac:dyDescent="0.25">
      <c r="A16" s="179" t="s">
        <v>81</v>
      </c>
      <c r="B16" s="179"/>
      <c r="C16" s="179"/>
      <c r="D16" s="41">
        <f t="shared" ref="D16:J16" si="6">D14</f>
        <v>3350</v>
      </c>
      <c r="E16" s="41">
        <f t="shared" si="6"/>
        <v>3202.1</v>
      </c>
      <c r="F16" s="41">
        <f t="shared" si="6"/>
        <v>3500</v>
      </c>
      <c r="G16" s="41">
        <f t="shared" si="6"/>
        <v>3310.19</v>
      </c>
      <c r="H16" s="41">
        <f t="shared" si="6"/>
        <v>3500</v>
      </c>
      <c r="I16" s="41">
        <f t="shared" si="6"/>
        <v>2042.82</v>
      </c>
      <c r="J16" s="41">
        <f t="shared" si="6"/>
        <v>3500</v>
      </c>
      <c r="K16" s="26"/>
      <c r="L16" s="41">
        <f>L14</f>
        <v>3500</v>
      </c>
      <c r="M16" s="41">
        <f t="shared" ref="M16" si="7">M14</f>
        <v>3500</v>
      </c>
      <c r="N16" s="41">
        <f>N14</f>
        <v>3500</v>
      </c>
      <c r="O16" s="41">
        <f>O14</f>
        <v>3500</v>
      </c>
      <c r="P16" s="41">
        <f t="shared" ref="P16:Q16" si="8">P14</f>
        <v>0</v>
      </c>
      <c r="Q16" s="41">
        <f t="shared" si="8"/>
        <v>0</v>
      </c>
    </row>
    <row r="17" spans="12:15" x14ac:dyDescent="0.3">
      <c r="L17" s="30"/>
      <c r="M17" s="30"/>
      <c r="N17" s="30"/>
      <c r="O17" s="30"/>
    </row>
  </sheetData>
  <mergeCells count="11">
    <mergeCell ref="A11:C11"/>
    <mergeCell ref="A12:C12"/>
    <mergeCell ref="A13:C13"/>
    <mergeCell ref="A14:C14"/>
    <mergeCell ref="A16:C16"/>
    <mergeCell ref="A9:C9"/>
    <mergeCell ref="A1:Q1"/>
    <mergeCell ref="A5:C5"/>
    <mergeCell ref="A6:C6"/>
    <mergeCell ref="A7:C7"/>
    <mergeCell ref="A8:C8"/>
  </mergeCells>
  <printOptions horizontalCentered="1" verticalCentered="1"/>
  <pageMargins left="0.7" right="0.7" top="0.75" bottom="0.75" header="0.3" footer="0.3"/>
  <pageSetup scale="27" fitToHeight="0" orientation="landscape" r:id="rId1"/>
  <headerFooter>
    <oddFooter>&amp;RBudget Kick Off - 11.01.25</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1555E-438A-4FA7-B287-A8BF03930FF7}">
  <sheetPr codeName="Sheet18">
    <tabColor rgb="FF92D050"/>
    <pageSetUpPr fitToPage="1"/>
  </sheetPr>
  <dimension ref="A1:Q226"/>
  <sheetViews>
    <sheetView zoomScaleNormal="100" workbookViewId="0">
      <pane ySplit="4" topLeftCell="A74" activePane="bottomLeft" state="frozen"/>
      <selection activeCell="W29" sqref="W29"/>
      <selection pane="bottomLeft" activeCell="C102" sqref="C102"/>
    </sheetView>
  </sheetViews>
  <sheetFormatPr defaultColWidth="9.109375" defaultRowHeight="14.4" x14ac:dyDescent="0.3"/>
  <cols>
    <col min="1" max="1" width="9.5546875" style="3" bestFit="1" customWidth="1"/>
    <col min="2" max="2" width="15.33203125" style="3" bestFit="1" customWidth="1"/>
    <col min="3" max="3" width="29.5546875" style="3" bestFit="1" customWidth="1"/>
    <col min="4" max="7" width="13" style="3" customWidth="1"/>
    <col min="8" max="8" width="13.5546875" style="3" customWidth="1"/>
    <col min="9" max="9" width="13" style="3" customWidth="1"/>
    <col min="10" max="10" width="13.5546875" style="3" bestFit="1" customWidth="1"/>
    <col min="11" max="11" width="1" style="3" customWidth="1"/>
    <col min="12" max="13" width="12.88671875" style="3" bestFit="1" customWidth="1"/>
    <col min="14" max="14" width="16.33203125" style="3" bestFit="1" customWidth="1"/>
    <col min="15" max="15" width="12.88671875" style="3" bestFit="1" customWidth="1"/>
    <col min="16" max="16" width="13.44140625" bestFit="1" customWidth="1"/>
    <col min="17" max="17" width="13.88671875" bestFit="1" customWidth="1"/>
    <col min="18" max="16384" width="9.109375" style="3"/>
  </cols>
  <sheetData>
    <row r="1" spans="1:17" s="109" customFormat="1" ht="75" customHeight="1" x14ac:dyDescent="0.25">
      <c r="A1" s="170" t="s">
        <v>213</v>
      </c>
      <c r="B1" s="170"/>
      <c r="C1" s="170"/>
      <c r="D1" s="170"/>
      <c r="E1" s="170"/>
      <c r="F1" s="170"/>
      <c r="G1" s="170"/>
      <c r="H1" s="170"/>
      <c r="I1" s="170"/>
      <c r="J1" s="170"/>
      <c r="K1" s="170"/>
      <c r="L1" s="170"/>
      <c r="M1" s="170"/>
      <c r="N1" s="170"/>
      <c r="O1" s="170"/>
      <c r="P1" s="170"/>
      <c r="Q1" s="170"/>
    </row>
    <row r="2" spans="1:17" s="109" customFormat="1" ht="6" customHeight="1" x14ac:dyDescent="0.25"/>
    <row r="3" spans="1:17" s="111" customFormat="1" ht="39.6" x14ac:dyDescent="0.25">
      <c r="A3" s="110"/>
      <c r="B3" s="9" t="s">
        <v>0</v>
      </c>
      <c r="C3" s="9" t="s">
        <v>1</v>
      </c>
      <c r="D3" s="7" t="s">
        <v>3</v>
      </c>
      <c r="E3" s="7" t="s">
        <v>2</v>
      </c>
      <c r="F3" s="7" t="s">
        <v>4</v>
      </c>
      <c r="G3" s="7" t="s">
        <v>5</v>
      </c>
      <c r="H3" s="7" t="s">
        <v>6</v>
      </c>
      <c r="I3" s="7" t="s">
        <v>7</v>
      </c>
      <c r="J3" s="7" t="s">
        <v>8</v>
      </c>
      <c r="K3" s="8"/>
      <c r="L3" s="7" t="s">
        <v>214</v>
      </c>
      <c r="M3" s="7" t="s">
        <v>215</v>
      </c>
      <c r="N3" s="7" t="s">
        <v>216</v>
      </c>
      <c r="O3" s="7" t="s">
        <v>217</v>
      </c>
      <c r="P3" s="7" t="s">
        <v>218</v>
      </c>
      <c r="Q3" s="7" t="s">
        <v>68</v>
      </c>
    </row>
    <row r="4" spans="1:17" ht="6" customHeight="1" x14ac:dyDescent="0.3">
      <c r="K4" s="11"/>
    </row>
    <row r="5" spans="1:17" x14ac:dyDescent="0.3">
      <c r="A5" s="171" t="s">
        <v>69</v>
      </c>
      <c r="B5" s="171"/>
      <c r="C5" s="171"/>
      <c r="D5" s="12"/>
      <c r="E5" s="12"/>
      <c r="F5" s="12"/>
      <c r="G5" s="12"/>
      <c r="K5" s="11"/>
    </row>
    <row r="6" spans="1:17" x14ac:dyDescent="0.3">
      <c r="A6" s="172" t="s">
        <v>70</v>
      </c>
      <c r="B6" s="172"/>
      <c r="C6" s="172"/>
      <c r="D6" s="14"/>
      <c r="E6" s="14"/>
      <c r="F6" s="14"/>
      <c r="G6" s="14"/>
      <c r="K6" s="11"/>
    </row>
    <row r="7" spans="1:17" x14ac:dyDescent="0.3">
      <c r="A7" s="173" t="s">
        <v>219</v>
      </c>
      <c r="B7" s="173"/>
      <c r="C7" s="173"/>
      <c r="D7" s="15"/>
      <c r="E7" s="15"/>
      <c r="F7" s="15"/>
      <c r="G7" s="15"/>
      <c r="K7" s="11"/>
    </row>
    <row r="8" spans="1:17" x14ac:dyDescent="0.3">
      <c r="A8" s="174" t="s">
        <v>220</v>
      </c>
      <c r="B8" s="174"/>
      <c r="C8" s="174"/>
      <c r="D8" s="16"/>
      <c r="E8" s="16"/>
      <c r="F8" s="16"/>
      <c r="G8" s="16"/>
      <c r="K8" s="11"/>
    </row>
    <row r="9" spans="1:17" ht="15.75" customHeight="1" x14ac:dyDescent="0.3">
      <c r="A9" s="175" t="s">
        <v>11</v>
      </c>
      <c r="B9" s="175"/>
      <c r="C9" s="175"/>
      <c r="D9" s="17"/>
      <c r="E9" s="17"/>
      <c r="F9" s="17"/>
      <c r="G9" s="17"/>
      <c r="K9" s="11"/>
    </row>
    <row r="10" spans="1:17" ht="13.8" x14ac:dyDescent="0.25">
      <c r="A10" s="50" t="s">
        <v>221</v>
      </c>
      <c r="B10" s="19" t="s">
        <v>35</v>
      </c>
      <c r="C10" s="20" t="s">
        <v>36</v>
      </c>
      <c r="D10" s="21">
        <v>1289314</v>
      </c>
      <c r="E10" s="21">
        <v>1288939.45</v>
      </c>
      <c r="F10" s="21">
        <v>1335900</v>
      </c>
      <c r="G10" s="21">
        <v>1385689.46</v>
      </c>
      <c r="H10" s="21">
        <v>1498476</v>
      </c>
      <c r="I10" s="21">
        <v>1566517.74</v>
      </c>
      <c r="J10" s="21">
        <v>1790115</v>
      </c>
      <c r="K10" s="23"/>
      <c r="L10" s="21">
        <v>1907330</v>
      </c>
      <c r="M10" s="21">
        <v>1907330</v>
      </c>
      <c r="N10" s="21">
        <v>1907330</v>
      </c>
      <c r="O10" s="21">
        <v>1907330</v>
      </c>
      <c r="P10" s="21">
        <f>+N10-J10</f>
        <v>117215</v>
      </c>
      <c r="Q10" s="21">
        <f>+N10-O10</f>
        <v>0</v>
      </c>
    </row>
    <row r="11" spans="1:17" ht="13.8" x14ac:dyDescent="0.25">
      <c r="A11" s="50" t="s">
        <v>221</v>
      </c>
      <c r="B11" s="19" t="s">
        <v>37</v>
      </c>
      <c r="C11" s="20" t="s">
        <v>38</v>
      </c>
      <c r="D11" s="21">
        <v>0</v>
      </c>
      <c r="E11" s="21">
        <v>0</v>
      </c>
      <c r="F11" s="21">
        <v>0</v>
      </c>
      <c r="G11" s="21">
        <v>0</v>
      </c>
      <c r="H11" s="21">
        <v>0</v>
      </c>
      <c r="I11" s="21">
        <v>0</v>
      </c>
      <c r="J11" s="21">
        <v>0</v>
      </c>
      <c r="K11" s="23"/>
      <c r="L11" s="21">
        <v>0</v>
      </c>
      <c r="M11" s="21">
        <v>0</v>
      </c>
      <c r="N11" s="21">
        <v>0</v>
      </c>
      <c r="O11" s="21">
        <v>0</v>
      </c>
      <c r="P11" s="21">
        <f>+N11-J11</f>
        <v>0</v>
      </c>
      <c r="Q11" s="21">
        <f>+N11-O11</f>
        <v>0</v>
      </c>
    </row>
    <row r="12" spans="1:17" ht="13.8" x14ac:dyDescent="0.25">
      <c r="A12" s="50" t="s">
        <v>221</v>
      </c>
      <c r="B12" s="19" t="s">
        <v>39</v>
      </c>
      <c r="C12" s="20" t="s">
        <v>40</v>
      </c>
      <c r="D12" s="21">
        <v>99850</v>
      </c>
      <c r="E12" s="21">
        <v>90970.99</v>
      </c>
      <c r="F12" s="21">
        <v>99913</v>
      </c>
      <c r="G12" s="21">
        <v>76074.289999999994</v>
      </c>
      <c r="H12" s="21">
        <v>94058</v>
      </c>
      <c r="I12" s="21">
        <v>86043.65</v>
      </c>
      <c r="J12" s="21">
        <v>105090</v>
      </c>
      <c r="K12" s="23"/>
      <c r="L12" s="21">
        <v>105090</v>
      </c>
      <c r="M12" s="21">
        <v>105090</v>
      </c>
      <c r="N12" s="21">
        <v>105090</v>
      </c>
      <c r="O12" s="21">
        <v>105090</v>
      </c>
      <c r="P12" s="21">
        <f>+N12-J12</f>
        <v>0</v>
      </c>
      <c r="Q12" s="21">
        <f>+N12-O12</f>
        <v>0</v>
      </c>
    </row>
    <row r="13" spans="1:17" ht="13.8" x14ac:dyDescent="0.25">
      <c r="A13" s="50" t="s">
        <v>221</v>
      </c>
      <c r="B13" s="19" t="s">
        <v>222</v>
      </c>
      <c r="C13" s="20" t="s">
        <v>266</v>
      </c>
      <c r="D13" s="21">
        <v>0</v>
      </c>
      <c r="E13" s="21">
        <v>0</v>
      </c>
      <c r="F13" s="21">
        <v>0</v>
      </c>
      <c r="G13" s="21">
        <v>0</v>
      </c>
      <c r="H13" s="21">
        <v>12398</v>
      </c>
      <c r="I13" s="21">
        <v>17182.91</v>
      </c>
      <c r="J13" s="21">
        <v>4536</v>
      </c>
      <c r="K13" s="23"/>
      <c r="L13" s="21">
        <v>6261</v>
      </c>
      <c r="M13" s="21">
        <v>6261</v>
      </c>
      <c r="N13" s="21">
        <v>6261</v>
      </c>
      <c r="O13" s="21">
        <v>6261</v>
      </c>
      <c r="P13" s="21">
        <f>+N13-J13</f>
        <v>1725</v>
      </c>
      <c r="Q13" s="21">
        <v>0</v>
      </c>
    </row>
    <row r="14" spans="1:17" ht="14.25" customHeight="1" x14ac:dyDescent="0.25">
      <c r="A14" s="50" t="s">
        <v>221</v>
      </c>
      <c r="B14" s="19" t="s">
        <v>223</v>
      </c>
      <c r="C14" s="20" t="s">
        <v>224</v>
      </c>
      <c r="D14" s="21">
        <v>0</v>
      </c>
      <c r="E14" s="21">
        <v>0</v>
      </c>
      <c r="F14" s="21">
        <v>0</v>
      </c>
      <c r="G14" s="21">
        <v>0</v>
      </c>
      <c r="H14" s="21">
        <v>0</v>
      </c>
      <c r="I14" s="21">
        <v>0</v>
      </c>
      <c r="J14" s="21">
        <v>16983</v>
      </c>
      <c r="K14" s="23"/>
      <c r="L14" s="21">
        <v>26665</v>
      </c>
      <c r="M14" s="21">
        <v>26665</v>
      </c>
      <c r="N14" s="21">
        <v>26665</v>
      </c>
      <c r="O14" s="21">
        <v>26665</v>
      </c>
      <c r="P14" s="21">
        <f t="shared" ref="P14" si="0">+N14-J14</f>
        <v>9682</v>
      </c>
      <c r="Q14" s="21">
        <f t="shared" ref="Q14" si="1">+N14-O14</f>
        <v>0</v>
      </c>
    </row>
    <row r="15" spans="1:17" ht="13.8" x14ac:dyDescent="0.25">
      <c r="A15" s="177" t="s">
        <v>74</v>
      </c>
      <c r="B15" s="177"/>
      <c r="C15" s="177"/>
      <c r="D15" s="24">
        <f>SUM(D10:D14)</f>
        <v>1389164</v>
      </c>
      <c r="E15" s="24">
        <f t="shared" ref="E15:J15" si="2">SUM(E10:E14)</f>
        <v>1379910.44</v>
      </c>
      <c r="F15" s="24">
        <f t="shared" si="2"/>
        <v>1435813</v>
      </c>
      <c r="G15" s="24">
        <f t="shared" si="2"/>
        <v>1461763.75</v>
      </c>
      <c r="H15" s="24">
        <f t="shared" si="2"/>
        <v>1604932</v>
      </c>
      <c r="I15" s="24">
        <f t="shared" si="2"/>
        <v>1669744.2999999998</v>
      </c>
      <c r="J15" s="24">
        <f t="shared" si="2"/>
        <v>1916724</v>
      </c>
      <c r="K15" s="26"/>
      <c r="L15" s="24">
        <f>SUM(L10:L14)</f>
        <v>2045346</v>
      </c>
      <c r="M15" s="24">
        <f t="shared" ref="M15:O15" si="3">SUM(M10:M14)</f>
        <v>2045346</v>
      </c>
      <c r="N15" s="24">
        <f t="shared" si="3"/>
        <v>2045346</v>
      </c>
      <c r="O15" s="24">
        <f t="shared" si="3"/>
        <v>2045346</v>
      </c>
      <c r="P15" s="24">
        <f>SUM(P10:P14)</f>
        <v>128622</v>
      </c>
      <c r="Q15" s="24">
        <f t="shared" ref="Q15" si="4">SUM(Q10:Q14)</f>
        <v>0</v>
      </c>
    </row>
    <row r="16" spans="1:17" ht="13.8" x14ac:dyDescent="0.25">
      <c r="A16" s="175" t="s">
        <v>14</v>
      </c>
      <c r="B16" s="175"/>
      <c r="C16" s="175"/>
      <c r="D16" s="27"/>
      <c r="E16" s="30"/>
      <c r="F16" s="27"/>
      <c r="G16" s="30"/>
      <c r="H16" s="27"/>
      <c r="I16" s="27"/>
      <c r="J16" s="27"/>
      <c r="K16" s="29"/>
      <c r="L16" s="27"/>
      <c r="M16" s="27"/>
      <c r="N16" s="27"/>
      <c r="O16" s="27"/>
      <c r="P16" s="30"/>
      <c r="Q16" s="30"/>
    </row>
    <row r="17" spans="1:17" ht="13.8" x14ac:dyDescent="0.25">
      <c r="A17" s="50" t="s">
        <v>221</v>
      </c>
      <c r="B17" s="19" t="s">
        <v>41</v>
      </c>
      <c r="C17" s="20" t="s">
        <v>42</v>
      </c>
      <c r="D17" s="21">
        <v>81467</v>
      </c>
      <c r="E17" s="21">
        <v>51015.31</v>
      </c>
      <c r="F17" s="21">
        <v>88620</v>
      </c>
      <c r="G17" s="21">
        <v>59392.2</v>
      </c>
      <c r="H17" s="21">
        <v>84569</v>
      </c>
      <c r="I17" s="21">
        <v>46491.81</v>
      </c>
      <c r="J17" s="21">
        <v>42671</v>
      </c>
      <c r="K17" s="23"/>
      <c r="L17" s="21">
        <v>51925</v>
      </c>
      <c r="M17" s="21">
        <v>51925</v>
      </c>
      <c r="N17" s="21">
        <v>51925</v>
      </c>
      <c r="O17" s="21">
        <v>51925</v>
      </c>
      <c r="P17" s="21">
        <f t="shared" ref="P17:P22" si="5">+N17-J17</f>
        <v>9254</v>
      </c>
      <c r="Q17" s="21">
        <f t="shared" ref="Q17:Q22" si="6">+N17-O17</f>
        <v>0</v>
      </c>
    </row>
    <row r="18" spans="1:17" ht="13.8" x14ac:dyDescent="0.25">
      <c r="A18" s="50" t="s">
        <v>221</v>
      </c>
      <c r="B18" s="19" t="s">
        <v>15</v>
      </c>
      <c r="C18" s="20" t="s">
        <v>16</v>
      </c>
      <c r="D18" s="21">
        <v>12758</v>
      </c>
      <c r="E18" s="21">
        <v>13733.95</v>
      </c>
      <c r="F18" s="21">
        <v>13369</v>
      </c>
      <c r="G18" s="21">
        <v>13154.73</v>
      </c>
      <c r="H18" s="21">
        <v>21008</v>
      </c>
      <c r="I18" s="21">
        <v>21092.29</v>
      </c>
      <c r="J18" s="21">
        <v>27358</v>
      </c>
      <c r="K18" s="23"/>
      <c r="L18" s="21">
        <v>29147</v>
      </c>
      <c r="M18" s="21">
        <v>29147</v>
      </c>
      <c r="N18" s="21">
        <v>29147</v>
      </c>
      <c r="O18" s="21">
        <v>29147</v>
      </c>
      <c r="P18" s="21">
        <f t="shared" si="5"/>
        <v>1789</v>
      </c>
      <c r="Q18" s="21">
        <f t="shared" si="6"/>
        <v>0</v>
      </c>
    </row>
    <row r="19" spans="1:17" ht="13.8" x14ac:dyDescent="0.25">
      <c r="A19" s="50" t="s">
        <v>221</v>
      </c>
      <c r="B19" s="19" t="s">
        <v>17</v>
      </c>
      <c r="C19" s="20" t="s">
        <v>18</v>
      </c>
      <c r="D19" s="21">
        <v>20143</v>
      </c>
      <c r="E19" s="21">
        <v>20514.23</v>
      </c>
      <c r="F19" s="21">
        <v>20820</v>
      </c>
      <c r="G19" s="21">
        <v>20661.93</v>
      </c>
      <c r="H19" s="21">
        <v>23272</v>
      </c>
      <c r="I19" s="21">
        <v>23905.65</v>
      </c>
      <c r="J19" s="21">
        <v>27794</v>
      </c>
      <c r="K19" s="23"/>
      <c r="L19" s="21">
        <v>29658</v>
      </c>
      <c r="M19" s="21">
        <v>29658</v>
      </c>
      <c r="N19" s="21">
        <v>29658</v>
      </c>
      <c r="O19" s="21">
        <v>29658</v>
      </c>
      <c r="P19" s="21">
        <f t="shared" si="5"/>
        <v>1864</v>
      </c>
      <c r="Q19" s="21">
        <f t="shared" si="6"/>
        <v>0</v>
      </c>
    </row>
    <row r="20" spans="1:17" ht="13.8" x14ac:dyDescent="0.25">
      <c r="A20" s="50" t="s">
        <v>221</v>
      </c>
      <c r="B20" s="19" t="s">
        <v>43</v>
      </c>
      <c r="C20" s="20" t="s">
        <v>44</v>
      </c>
      <c r="D20" s="21">
        <v>429865</v>
      </c>
      <c r="E20" s="21">
        <v>439917.04</v>
      </c>
      <c r="F20" s="21">
        <v>410850</v>
      </c>
      <c r="G20" s="21">
        <v>403223.11</v>
      </c>
      <c r="H20" s="21">
        <v>441879</v>
      </c>
      <c r="I20" s="21">
        <v>453659.15</v>
      </c>
      <c r="J20" s="21">
        <v>515576</v>
      </c>
      <c r="K20" s="23"/>
      <c r="L20" s="21">
        <v>547474</v>
      </c>
      <c r="M20" s="21">
        <v>547474</v>
      </c>
      <c r="N20" s="21">
        <v>547474</v>
      </c>
      <c r="O20" s="21">
        <v>547474</v>
      </c>
      <c r="P20" s="21">
        <f>+N20-J20</f>
        <v>31898</v>
      </c>
      <c r="Q20" s="21">
        <f t="shared" si="6"/>
        <v>0</v>
      </c>
    </row>
    <row r="21" spans="1:17" ht="13.8" x14ac:dyDescent="0.25">
      <c r="A21" s="50" t="s">
        <v>221</v>
      </c>
      <c r="B21" s="19" t="s">
        <v>59</v>
      </c>
      <c r="C21" s="20" t="s">
        <v>60</v>
      </c>
      <c r="D21" s="21">
        <v>60000</v>
      </c>
      <c r="E21" s="21">
        <v>13869.65</v>
      </c>
      <c r="F21" s="21">
        <v>60000</v>
      </c>
      <c r="G21" s="21">
        <v>17994</v>
      </c>
      <c r="H21" s="21">
        <v>60000</v>
      </c>
      <c r="I21" s="21">
        <v>5232</v>
      </c>
      <c r="J21" s="21">
        <v>60000</v>
      </c>
      <c r="K21" s="23"/>
      <c r="L21" s="21">
        <v>60000</v>
      </c>
      <c r="M21" s="21">
        <v>60000</v>
      </c>
      <c r="N21" s="21">
        <v>60000</v>
      </c>
      <c r="O21" s="21">
        <v>60000</v>
      </c>
      <c r="P21" s="21">
        <f t="shared" si="5"/>
        <v>0</v>
      </c>
      <c r="Q21" s="21">
        <f t="shared" si="6"/>
        <v>0</v>
      </c>
    </row>
    <row r="22" spans="1:17" ht="13.8" x14ac:dyDescent="0.25">
      <c r="A22" s="50" t="s">
        <v>221</v>
      </c>
      <c r="B22" s="19" t="s">
        <v>19</v>
      </c>
      <c r="C22" s="20" t="s">
        <v>20</v>
      </c>
      <c r="D22" s="21">
        <v>20547</v>
      </c>
      <c r="E22" s="21">
        <v>21097.67</v>
      </c>
      <c r="F22" s="21">
        <v>21761</v>
      </c>
      <c r="G22" s="21">
        <v>23187.08</v>
      </c>
      <c r="H22" s="21">
        <v>25984</v>
      </c>
      <c r="I22" s="21">
        <v>25984.16</v>
      </c>
      <c r="J22" s="21">
        <v>30701</v>
      </c>
      <c r="K22" s="23"/>
      <c r="L22" s="21">
        <v>30244</v>
      </c>
      <c r="M22" s="21">
        <v>30244</v>
      </c>
      <c r="N22" s="21">
        <v>30244</v>
      </c>
      <c r="O22" s="21">
        <v>30244</v>
      </c>
      <c r="P22" s="21">
        <f t="shared" si="5"/>
        <v>-457</v>
      </c>
      <c r="Q22" s="21">
        <f t="shared" si="6"/>
        <v>0</v>
      </c>
    </row>
    <row r="23" spans="1:17" ht="13.8" x14ac:dyDescent="0.25">
      <c r="A23" s="177" t="s">
        <v>75</v>
      </c>
      <c r="B23" s="177"/>
      <c r="C23" s="177"/>
      <c r="D23" s="24">
        <f t="shared" ref="D23" si="7">SUM(D17:D22)</f>
        <v>624780</v>
      </c>
      <c r="E23" s="24">
        <f>SUM(E17:E22)</f>
        <v>560147.85000000009</v>
      </c>
      <c r="F23" s="24">
        <f t="shared" ref="F23" si="8">SUM(F17:F22)</f>
        <v>615420</v>
      </c>
      <c r="G23" s="24">
        <f>SUM(G17:G22)</f>
        <v>537613.04999999993</v>
      </c>
      <c r="H23" s="24">
        <f t="shared" ref="H23:J23" si="9">SUM(H17:H22)</f>
        <v>656712</v>
      </c>
      <c r="I23" s="24">
        <f t="shared" si="9"/>
        <v>576365.06000000006</v>
      </c>
      <c r="J23" s="24">
        <f t="shared" si="9"/>
        <v>704100</v>
      </c>
      <c r="K23" s="26"/>
      <c r="L23" s="24">
        <f t="shared" ref="L23:O23" si="10">SUM(L17:L22)</f>
        <v>748448</v>
      </c>
      <c r="M23" s="24">
        <f t="shared" si="10"/>
        <v>748448</v>
      </c>
      <c r="N23" s="24">
        <f t="shared" si="10"/>
        <v>748448</v>
      </c>
      <c r="O23" s="24">
        <f t="shared" si="10"/>
        <v>748448</v>
      </c>
      <c r="P23" s="24">
        <f>SUM(P17:P22)</f>
        <v>44348</v>
      </c>
      <c r="Q23" s="24">
        <f>SUM(Q17:Q22)</f>
        <v>0</v>
      </c>
    </row>
    <row r="24" spans="1:17" ht="13.8" x14ac:dyDescent="0.25">
      <c r="A24" s="175" t="s">
        <v>21</v>
      </c>
      <c r="B24" s="175"/>
      <c r="C24" s="175"/>
      <c r="D24" s="27"/>
      <c r="E24" s="30"/>
      <c r="F24" s="27"/>
      <c r="G24" s="30"/>
      <c r="H24" s="27"/>
      <c r="I24" s="27"/>
      <c r="J24" s="27"/>
      <c r="K24" s="29"/>
      <c r="L24" s="27"/>
      <c r="M24" s="27"/>
      <c r="N24" s="27"/>
      <c r="O24" s="27"/>
      <c r="P24" s="30"/>
      <c r="Q24" s="30"/>
    </row>
    <row r="25" spans="1:17" ht="13.8" x14ac:dyDescent="0.25">
      <c r="A25" s="50" t="s">
        <v>221</v>
      </c>
      <c r="B25" s="19" t="s">
        <v>225</v>
      </c>
      <c r="C25" s="20" t="s">
        <v>226</v>
      </c>
      <c r="D25" s="27">
        <v>0</v>
      </c>
      <c r="E25" s="21">
        <v>0</v>
      </c>
      <c r="F25" s="27">
        <v>0</v>
      </c>
      <c r="G25" s="27">
        <v>0</v>
      </c>
      <c r="H25" s="27">
        <v>0</v>
      </c>
      <c r="I25" s="27">
        <v>0</v>
      </c>
      <c r="J25" s="27">
        <v>0</v>
      </c>
      <c r="K25" s="29"/>
      <c r="L25" s="27">
        <v>0</v>
      </c>
      <c r="M25" s="27">
        <v>0</v>
      </c>
      <c r="N25" s="27">
        <v>0</v>
      </c>
      <c r="O25" s="27">
        <v>0</v>
      </c>
      <c r="P25" s="21">
        <f t="shared" ref="P25:P30" si="11">+N25-J25</f>
        <v>0</v>
      </c>
      <c r="Q25" s="21">
        <f t="shared" ref="Q25:Q30" si="12">+N25-O25</f>
        <v>0</v>
      </c>
    </row>
    <row r="26" spans="1:17" ht="13.8" x14ac:dyDescent="0.25">
      <c r="A26" s="50" t="s">
        <v>221</v>
      </c>
      <c r="B26" s="19" t="s">
        <v>227</v>
      </c>
      <c r="C26" s="20" t="s">
        <v>228</v>
      </c>
      <c r="D26" s="27">
        <v>0</v>
      </c>
      <c r="E26" s="21">
        <v>0</v>
      </c>
      <c r="F26" s="27">
        <v>0</v>
      </c>
      <c r="G26" s="27">
        <v>0</v>
      </c>
      <c r="H26" s="27">
        <v>0</v>
      </c>
      <c r="I26" s="27">
        <v>0</v>
      </c>
      <c r="J26" s="21">
        <v>32177</v>
      </c>
      <c r="K26" s="29"/>
      <c r="L26" s="21">
        <v>32177</v>
      </c>
      <c r="M26" s="21">
        <v>32177</v>
      </c>
      <c r="N26" s="21">
        <v>32177</v>
      </c>
      <c r="O26" s="21">
        <v>32177</v>
      </c>
      <c r="P26" s="21">
        <f t="shared" si="11"/>
        <v>0</v>
      </c>
      <c r="Q26" s="21">
        <f t="shared" si="12"/>
        <v>0</v>
      </c>
    </row>
    <row r="27" spans="1:17" ht="13.8" x14ac:dyDescent="0.25">
      <c r="A27" s="50" t="s">
        <v>221</v>
      </c>
      <c r="B27" s="19" t="s">
        <v>28</v>
      </c>
      <c r="C27" s="20" t="s">
        <v>29</v>
      </c>
      <c r="D27" s="21">
        <v>5000</v>
      </c>
      <c r="E27" s="21">
        <v>26745.79</v>
      </c>
      <c r="F27" s="21">
        <v>7500</v>
      </c>
      <c r="G27" s="21">
        <v>25005.18</v>
      </c>
      <c r="H27" s="21">
        <v>7500</v>
      </c>
      <c r="I27" s="21">
        <v>22177.83</v>
      </c>
      <c r="J27" s="21">
        <v>7500</v>
      </c>
      <c r="K27" s="23"/>
      <c r="L27" s="21">
        <v>7500</v>
      </c>
      <c r="M27" s="21">
        <v>7500</v>
      </c>
      <c r="N27" s="21">
        <v>7500</v>
      </c>
      <c r="O27" s="21">
        <v>7500</v>
      </c>
      <c r="P27" s="21">
        <f t="shared" si="11"/>
        <v>0</v>
      </c>
      <c r="Q27" s="21">
        <f t="shared" si="12"/>
        <v>0</v>
      </c>
    </row>
    <row r="28" spans="1:17" ht="13.8" x14ac:dyDescent="0.25">
      <c r="A28" s="50" t="s">
        <v>221</v>
      </c>
      <c r="B28" s="19" t="s">
        <v>144</v>
      </c>
      <c r="C28" s="20" t="s">
        <v>145</v>
      </c>
      <c r="D28" s="21">
        <v>0</v>
      </c>
      <c r="E28" s="21">
        <v>0</v>
      </c>
      <c r="F28" s="21">
        <v>0</v>
      </c>
      <c r="G28" s="21">
        <v>0</v>
      </c>
      <c r="H28" s="21">
        <v>0</v>
      </c>
      <c r="I28" s="21">
        <v>0</v>
      </c>
      <c r="J28" s="21">
        <v>0</v>
      </c>
      <c r="K28" s="23"/>
      <c r="L28" s="21">
        <v>0</v>
      </c>
      <c r="M28" s="21">
        <v>0</v>
      </c>
      <c r="N28" s="21">
        <v>0</v>
      </c>
      <c r="O28" s="21">
        <v>0</v>
      </c>
      <c r="P28" s="21">
        <f t="shared" si="11"/>
        <v>0</v>
      </c>
      <c r="Q28" s="21">
        <f t="shared" si="12"/>
        <v>0</v>
      </c>
    </row>
    <row r="29" spans="1:17" ht="13.8" x14ac:dyDescent="0.25">
      <c r="A29" s="50" t="s">
        <v>221</v>
      </c>
      <c r="B29" s="19" t="s">
        <v>229</v>
      </c>
      <c r="C29" s="20" t="s">
        <v>230</v>
      </c>
      <c r="D29" s="21">
        <v>0</v>
      </c>
      <c r="E29" s="21">
        <v>0</v>
      </c>
      <c r="F29" s="21">
        <v>0</v>
      </c>
      <c r="G29" s="21">
        <v>0</v>
      </c>
      <c r="H29" s="21">
        <v>0</v>
      </c>
      <c r="I29" s="21">
        <v>0</v>
      </c>
      <c r="J29" s="21">
        <v>0</v>
      </c>
      <c r="K29" s="23"/>
      <c r="L29" s="21">
        <v>0</v>
      </c>
      <c r="M29" s="21">
        <v>0</v>
      </c>
      <c r="N29" s="21">
        <v>0</v>
      </c>
      <c r="O29" s="21">
        <v>0</v>
      </c>
      <c r="P29" s="21">
        <f t="shared" si="11"/>
        <v>0</v>
      </c>
      <c r="Q29" s="21">
        <f t="shared" si="12"/>
        <v>0</v>
      </c>
    </row>
    <row r="30" spans="1:17" ht="13.8" x14ac:dyDescent="0.25">
      <c r="A30" s="50" t="s">
        <v>221</v>
      </c>
      <c r="B30" s="19" t="s">
        <v>111</v>
      </c>
      <c r="C30" s="20" t="s">
        <v>112</v>
      </c>
      <c r="D30" s="21">
        <v>3000</v>
      </c>
      <c r="E30" s="21">
        <v>1215.6300000000001</v>
      </c>
      <c r="F30" s="21">
        <v>3000</v>
      </c>
      <c r="G30" s="21">
        <v>10853.9</v>
      </c>
      <c r="H30" s="21">
        <v>3000</v>
      </c>
      <c r="I30" s="21">
        <v>6948.63</v>
      </c>
      <c r="J30" s="21">
        <v>3000</v>
      </c>
      <c r="K30" s="23"/>
      <c r="L30" s="21">
        <v>4456</v>
      </c>
      <c r="M30" s="21">
        <v>4456</v>
      </c>
      <c r="N30" s="21">
        <v>4456</v>
      </c>
      <c r="O30" s="21">
        <v>4456</v>
      </c>
      <c r="P30" s="21">
        <f t="shared" si="11"/>
        <v>1456</v>
      </c>
      <c r="Q30" s="21">
        <f t="shared" si="12"/>
        <v>0</v>
      </c>
    </row>
    <row r="31" spans="1:17" ht="13.8" x14ac:dyDescent="0.25">
      <c r="A31" s="177" t="s">
        <v>76</v>
      </c>
      <c r="B31" s="177"/>
      <c r="C31" s="177"/>
      <c r="D31" s="24">
        <f t="shared" ref="D31:J31" si="13">SUM(D25:D30)</f>
        <v>8000</v>
      </c>
      <c r="E31" s="24">
        <f t="shared" si="13"/>
        <v>27961.420000000002</v>
      </c>
      <c r="F31" s="24">
        <f t="shared" si="13"/>
        <v>10500</v>
      </c>
      <c r="G31" s="24">
        <f t="shared" si="13"/>
        <v>35859.08</v>
      </c>
      <c r="H31" s="24">
        <f t="shared" si="13"/>
        <v>10500</v>
      </c>
      <c r="I31" s="24">
        <f t="shared" si="13"/>
        <v>29126.460000000003</v>
      </c>
      <c r="J31" s="24">
        <f t="shared" si="13"/>
        <v>42677</v>
      </c>
      <c r="K31" s="26"/>
      <c r="L31" s="24">
        <f>SUM(L25:L30)</f>
        <v>44133</v>
      </c>
      <c r="M31" s="24">
        <f t="shared" ref="M31:Q31" si="14">SUM(M25:M30)</f>
        <v>44133</v>
      </c>
      <c r="N31" s="24">
        <f t="shared" si="14"/>
        <v>44133</v>
      </c>
      <c r="O31" s="24">
        <f t="shared" si="14"/>
        <v>44133</v>
      </c>
      <c r="P31" s="24">
        <f t="shared" si="14"/>
        <v>1456</v>
      </c>
      <c r="Q31" s="24">
        <f t="shared" si="14"/>
        <v>0</v>
      </c>
    </row>
    <row r="32" spans="1:17" ht="13.8" x14ac:dyDescent="0.25">
      <c r="A32" s="175" t="s">
        <v>45</v>
      </c>
      <c r="B32" s="175"/>
      <c r="C32" s="175"/>
      <c r="D32" s="27"/>
      <c r="E32" s="30"/>
      <c r="F32" s="27"/>
      <c r="G32" s="30"/>
      <c r="H32" s="27"/>
      <c r="I32" s="27"/>
      <c r="J32" s="27"/>
      <c r="K32" s="29"/>
      <c r="L32" s="27"/>
      <c r="M32" s="27"/>
      <c r="N32" s="27"/>
      <c r="O32" s="27"/>
      <c r="P32" s="30"/>
      <c r="Q32" s="30"/>
    </row>
    <row r="33" spans="1:17" ht="13.8" x14ac:dyDescent="0.25">
      <c r="A33" s="50" t="s">
        <v>221</v>
      </c>
      <c r="B33" s="19" t="s">
        <v>22</v>
      </c>
      <c r="C33" s="20" t="s">
        <v>23</v>
      </c>
      <c r="D33" s="21">
        <v>3081.66</v>
      </c>
      <c r="E33" s="21">
        <v>2250</v>
      </c>
      <c r="F33" s="21">
        <v>8780.7099999999991</v>
      </c>
      <c r="G33" s="21">
        <v>2250</v>
      </c>
      <c r="H33" s="21">
        <v>2250</v>
      </c>
      <c r="I33" s="21">
        <v>3917.23</v>
      </c>
      <c r="J33" s="21">
        <v>2250</v>
      </c>
      <c r="K33" s="23"/>
      <c r="L33" s="21">
        <v>2250</v>
      </c>
      <c r="M33" s="21">
        <v>2250</v>
      </c>
      <c r="N33" s="21">
        <v>2250</v>
      </c>
      <c r="O33" s="21">
        <v>2250</v>
      </c>
      <c r="P33" s="21">
        <f>+N33-J33</f>
        <v>0</v>
      </c>
      <c r="Q33" s="21">
        <f>+N33-O33</f>
        <v>0</v>
      </c>
    </row>
    <row r="34" spans="1:17" ht="13.8" x14ac:dyDescent="0.25">
      <c r="A34" s="50" t="s">
        <v>221</v>
      </c>
      <c r="B34" s="19" t="s">
        <v>46</v>
      </c>
      <c r="C34" s="20" t="s">
        <v>47</v>
      </c>
      <c r="D34" s="21">
        <v>26197.99</v>
      </c>
      <c r="E34" s="21">
        <v>8880</v>
      </c>
      <c r="F34" s="21">
        <v>20270</v>
      </c>
      <c r="G34" s="21">
        <v>19295</v>
      </c>
      <c r="H34" s="21">
        <v>19295</v>
      </c>
      <c r="I34" s="21">
        <v>18699.25</v>
      </c>
      <c r="J34" s="21">
        <v>19295</v>
      </c>
      <c r="K34" s="23"/>
      <c r="L34" s="21">
        <v>19295</v>
      </c>
      <c r="M34" s="21">
        <v>19295</v>
      </c>
      <c r="N34" s="21">
        <v>19295</v>
      </c>
      <c r="O34" s="21">
        <v>19295</v>
      </c>
      <c r="P34" s="21">
        <f>+N34-J34</f>
        <v>0</v>
      </c>
      <c r="Q34" s="21">
        <f>+N34-O34</f>
        <v>0</v>
      </c>
    </row>
    <row r="35" spans="1:17" ht="13.8" x14ac:dyDescent="0.25">
      <c r="A35" s="177" t="s">
        <v>85</v>
      </c>
      <c r="B35" s="177"/>
      <c r="C35" s="177"/>
      <c r="D35" s="24">
        <f t="shared" ref="D35" si="15">SUM(D33:D34)</f>
        <v>29279.65</v>
      </c>
      <c r="E35" s="24">
        <f>SUM(E33:E34)</f>
        <v>11130</v>
      </c>
      <c r="F35" s="24">
        <f t="shared" ref="F35" si="16">SUM(F33:F34)</f>
        <v>29050.71</v>
      </c>
      <c r="G35" s="24">
        <f>SUM(G33:G34)</f>
        <v>21545</v>
      </c>
      <c r="H35" s="24">
        <f t="shared" ref="H35:J35" si="17">SUM(H33:H34)</f>
        <v>21545</v>
      </c>
      <c r="I35" s="24">
        <f t="shared" si="17"/>
        <v>22616.48</v>
      </c>
      <c r="J35" s="24">
        <f t="shared" si="17"/>
        <v>21545</v>
      </c>
      <c r="K35" s="26"/>
      <c r="L35" s="24">
        <f t="shared" ref="L35:O35" si="18">SUM(L33:L34)</f>
        <v>21545</v>
      </c>
      <c r="M35" s="24">
        <f t="shared" si="18"/>
        <v>21545</v>
      </c>
      <c r="N35" s="24">
        <f t="shared" si="18"/>
        <v>21545</v>
      </c>
      <c r="O35" s="24">
        <f t="shared" si="18"/>
        <v>21545</v>
      </c>
      <c r="P35" s="24">
        <f>SUM(P33:P34)</f>
        <v>0</v>
      </c>
      <c r="Q35" s="24">
        <f>SUM(Q33:Q34)</f>
        <v>0</v>
      </c>
    </row>
    <row r="36" spans="1:17" ht="13.8" x14ac:dyDescent="0.25">
      <c r="A36" s="175" t="s">
        <v>30</v>
      </c>
      <c r="B36" s="175"/>
      <c r="C36" s="175"/>
      <c r="D36" s="27"/>
      <c r="E36" s="30"/>
      <c r="F36" s="27"/>
      <c r="G36" s="30"/>
      <c r="H36" s="27"/>
      <c r="I36" s="27"/>
      <c r="J36" s="27"/>
      <c r="K36" s="29"/>
      <c r="L36" s="27"/>
      <c r="M36" s="27"/>
      <c r="N36" s="27"/>
      <c r="O36" s="27"/>
      <c r="P36" s="30"/>
      <c r="Q36" s="30"/>
    </row>
    <row r="37" spans="1:17" ht="13.8" x14ac:dyDescent="0.25">
      <c r="A37" s="50" t="s">
        <v>221</v>
      </c>
      <c r="B37" s="19" t="s">
        <v>31</v>
      </c>
      <c r="C37" s="20" t="s">
        <v>32</v>
      </c>
      <c r="D37" s="21">
        <v>9000</v>
      </c>
      <c r="E37" s="21">
        <v>3034.21</v>
      </c>
      <c r="F37" s="21">
        <v>9000</v>
      </c>
      <c r="G37" s="21">
        <v>15190.84</v>
      </c>
      <c r="H37" s="21">
        <v>9000</v>
      </c>
      <c r="I37" s="21">
        <v>13544.81</v>
      </c>
      <c r="J37" s="21">
        <v>9000</v>
      </c>
      <c r="K37" s="23"/>
      <c r="L37" s="21">
        <v>9000</v>
      </c>
      <c r="M37" s="21">
        <v>9000</v>
      </c>
      <c r="N37" s="21">
        <v>9000</v>
      </c>
      <c r="O37" s="21">
        <v>9000</v>
      </c>
      <c r="P37" s="21">
        <f>+N37-J37</f>
        <v>0</v>
      </c>
      <c r="Q37" s="21">
        <f>+N37-O37</f>
        <v>0</v>
      </c>
    </row>
    <row r="38" spans="1:17" ht="13.8" x14ac:dyDescent="0.25">
      <c r="A38" s="50" t="s">
        <v>221</v>
      </c>
      <c r="B38" s="19" t="s">
        <v>51</v>
      </c>
      <c r="C38" s="20" t="s">
        <v>48</v>
      </c>
      <c r="D38" s="21">
        <v>13500</v>
      </c>
      <c r="E38" s="21">
        <v>7355.96</v>
      </c>
      <c r="F38" s="21">
        <v>13500</v>
      </c>
      <c r="G38" s="21">
        <v>13581.34</v>
      </c>
      <c r="H38" s="21">
        <v>13500</v>
      </c>
      <c r="I38" s="21">
        <v>6769.54</v>
      </c>
      <c r="J38" s="21">
        <v>13500</v>
      </c>
      <c r="K38" s="23"/>
      <c r="L38" s="21">
        <v>13500</v>
      </c>
      <c r="M38" s="21">
        <v>13500</v>
      </c>
      <c r="N38" s="21">
        <v>13500</v>
      </c>
      <c r="O38" s="21">
        <v>13500</v>
      </c>
      <c r="P38" s="21">
        <f>+N38-J38</f>
        <v>0</v>
      </c>
      <c r="Q38" s="21">
        <f>+N38-O38</f>
        <v>0</v>
      </c>
    </row>
    <row r="39" spans="1:17" ht="13.8" x14ac:dyDescent="0.25">
      <c r="A39" s="50" t="s">
        <v>221</v>
      </c>
      <c r="B39" s="19" t="s">
        <v>52</v>
      </c>
      <c r="C39" s="20" t="s">
        <v>49</v>
      </c>
      <c r="D39" s="21">
        <v>2000</v>
      </c>
      <c r="E39" s="21">
        <v>3055.46</v>
      </c>
      <c r="F39" s="21">
        <v>2000</v>
      </c>
      <c r="G39" s="21">
        <v>3107.51</v>
      </c>
      <c r="H39" s="21">
        <v>2000</v>
      </c>
      <c r="I39" s="21">
        <v>4275.03</v>
      </c>
      <c r="J39" s="21">
        <v>2000</v>
      </c>
      <c r="K39" s="23"/>
      <c r="L39" s="21">
        <v>2000</v>
      </c>
      <c r="M39" s="21">
        <v>2000</v>
      </c>
      <c r="N39" s="21">
        <v>2000</v>
      </c>
      <c r="O39" s="21">
        <v>2000</v>
      </c>
      <c r="P39" s="21">
        <f>+N39-J39</f>
        <v>0</v>
      </c>
      <c r="Q39" s="21">
        <f>+N39-O39</f>
        <v>0</v>
      </c>
    </row>
    <row r="40" spans="1:17" ht="13.8" x14ac:dyDescent="0.25">
      <c r="A40" s="50" t="s">
        <v>221</v>
      </c>
      <c r="B40" s="19" t="s">
        <v>33</v>
      </c>
      <c r="C40" s="20" t="s">
        <v>34</v>
      </c>
      <c r="D40" s="21">
        <v>4000</v>
      </c>
      <c r="E40" s="21">
        <v>379.6</v>
      </c>
      <c r="F40" s="21">
        <v>4000</v>
      </c>
      <c r="G40" s="21">
        <v>4222.5600000000004</v>
      </c>
      <c r="H40" s="21">
        <v>4000</v>
      </c>
      <c r="I40" s="21">
        <v>4905.82</v>
      </c>
      <c r="J40" s="21">
        <v>4000</v>
      </c>
      <c r="K40" s="23"/>
      <c r="L40" s="21">
        <v>4000</v>
      </c>
      <c r="M40" s="21">
        <v>4000</v>
      </c>
      <c r="N40" s="21">
        <v>4000</v>
      </c>
      <c r="O40" s="21">
        <v>4000</v>
      </c>
      <c r="P40" s="21">
        <f>+N40-J40</f>
        <v>0</v>
      </c>
      <c r="Q40" s="21">
        <f>+N40-O40</f>
        <v>0</v>
      </c>
    </row>
    <row r="41" spans="1:17" ht="13.8" x14ac:dyDescent="0.25">
      <c r="A41" s="177" t="s">
        <v>77</v>
      </c>
      <c r="B41" s="177"/>
      <c r="C41" s="177"/>
      <c r="D41" s="24">
        <f t="shared" ref="D41" si="19">SUM(D37:D40)</f>
        <v>28500</v>
      </c>
      <c r="E41" s="24">
        <f>SUM(E37:E40)</f>
        <v>13825.230000000001</v>
      </c>
      <c r="F41" s="24">
        <f t="shared" ref="F41" si="20">SUM(F37:F40)</f>
        <v>28500</v>
      </c>
      <c r="G41" s="24">
        <f>SUM(G37:G40)</f>
        <v>36102.25</v>
      </c>
      <c r="H41" s="24">
        <f t="shared" ref="H41:J41" si="21">SUM(H37:H40)</f>
        <v>28500</v>
      </c>
      <c r="I41" s="24">
        <f t="shared" si="21"/>
        <v>29495.199999999997</v>
      </c>
      <c r="J41" s="24">
        <f t="shared" si="21"/>
        <v>28500</v>
      </c>
      <c r="K41" s="26"/>
      <c r="L41" s="24">
        <f t="shared" ref="L41:O41" si="22">SUM(L37:L40)</f>
        <v>28500</v>
      </c>
      <c r="M41" s="24">
        <f t="shared" si="22"/>
        <v>28500</v>
      </c>
      <c r="N41" s="24">
        <f t="shared" si="22"/>
        <v>28500</v>
      </c>
      <c r="O41" s="24">
        <f t="shared" si="22"/>
        <v>28500</v>
      </c>
      <c r="P41" s="24">
        <f>SUM(P37:P40)</f>
        <v>0</v>
      </c>
      <c r="Q41" s="24">
        <f>SUM(Q37:Q40)</f>
        <v>0</v>
      </c>
    </row>
    <row r="42" spans="1:17" ht="13.8" x14ac:dyDescent="0.25">
      <c r="A42" s="175" t="s">
        <v>54</v>
      </c>
      <c r="B42" s="175"/>
      <c r="C42" s="175"/>
      <c r="D42" s="27"/>
      <c r="E42" s="30"/>
      <c r="F42" s="27"/>
      <c r="G42" s="30"/>
      <c r="H42" s="27"/>
      <c r="I42" s="27"/>
      <c r="J42" s="27"/>
      <c r="K42" s="29"/>
      <c r="L42" s="27"/>
      <c r="M42" s="27"/>
      <c r="N42" s="27"/>
      <c r="O42" s="27"/>
      <c r="P42" s="3"/>
      <c r="Q42" s="3"/>
    </row>
    <row r="43" spans="1:17" ht="13.8" x14ac:dyDescent="0.25">
      <c r="A43" s="52" t="s">
        <v>221</v>
      </c>
      <c r="B43" s="32" t="s">
        <v>114</v>
      </c>
      <c r="C43" s="33" t="s">
        <v>115</v>
      </c>
      <c r="D43" s="21">
        <v>0</v>
      </c>
      <c r="E43" s="21">
        <v>0</v>
      </c>
      <c r="F43" s="21">
        <v>0</v>
      </c>
      <c r="G43" s="21">
        <v>0</v>
      </c>
      <c r="H43" s="21">
        <v>0</v>
      </c>
      <c r="I43" s="21">
        <v>0</v>
      </c>
      <c r="J43" s="21">
        <v>0</v>
      </c>
      <c r="K43" s="23"/>
      <c r="L43" s="21">
        <v>0</v>
      </c>
      <c r="M43" s="21">
        <v>0</v>
      </c>
      <c r="N43" s="21">
        <v>0</v>
      </c>
      <c r="O43" s="21">
        <v>0</v>
      </c>
      <c r="P43" s="21">
        <v>0</v>
      </c>
      <c r="Q43" s="21">
        <v>0</v>
      </c>
    </row>
    <row r="44" spans="1:17" ht="13.8" x14ac:dyDescent="0.25">
      <c r="A44" s="52" t="s">
        <v>221</v>
      </c>
      <c r="B44" s="32" t="s">
        <v>55</v>
      </c>
      <c r="C44" s="33" t="s">
        <v>56</v>
      </c>
      <c r="D44" s="21">
        <v>0</v>
      </c>
      <c r="E44" s="21">
        <v>2846.29</v>
      </c>
      <c r="F44" s="21">
        <v>0</v>
      </c>
      <c r="G44" s="21">
        <v>0</v>
      </c>
      <c r="H44" s="21">
        <v>0</v>
      </c>
      <c r="I44" s="21">
        <v>0</v>
      </c>
      <c r="J44" s="21">
        <v>0</v>
      </c>
      <c r="K44" s="23"/>
      <c r="L44" s="21">
        <v>0</v>
      </c>
      <c r="M44" s="21">
        <v>0</v>
      </c>
      <c r="N44" s="21">
        <v>0</v>
      </c>
      <c r="O44" s="21">
        <v>0</v>
      </c>
      <c r="P44" s="21">
        <v>0</v>
      </c>
      <c r="Q44" s="21">
        <v>0</v>
      </c>
    </row>
    <row r="45" spans="1:17" ht="13.8" x14ac:dyDescent="0.25">
      <c r="A45" s="177" t="s">
        <v>86</v>
      </c>
      <c r="B45" s="177"/>
      <c r="C45" s="177"/>
      <c r="D45" s="24">
        <f t="shared" ref="D45" si="23">SUM(D43:D44)</f>
        <v>0</v>
      </c>
      <c r="E45" s="24">
        <f t="shared" ref="E45" si="24">SUM(E44:E44)</f>
        <v>2846.29</v>
      </c>
      <c r="F45" s="24">
        <f t="shared" ref="F45" si="25">SUM(F43:F44)</f>
        <v>0</v>
      </c>
      <c r="G45" s="24">
        <f>SUM(G44:G44)</f>
        <v>0</v>
      </c>
      <c r="H45" s="24">
        <f t="shared" ref="H45:I45" si="26">SUM(H43:H44)</f>
        <v>0</v>
      </c>
      <c r="I45" s="24">
        <f t="shared" si="26"/>
        <v>0</v>
      </c>
      <c r="J45" s="24">
        <f>SUM(J43:J44)</f>
        <v>0</v>
      </c>
      <c r="K45" s="26"/>
      <c r="L45" s="24">
        <f t="shared" ref="L45:O45" si="27">SUM(L43:L44)</f>
        <v>0</v>
      </c>
      <c r="M45" s="24">
        <f t="shared" si="27"/>
        <v>0</v>
      </c>
      <c r="N45" s="24">
        <f t="shared" si="27"/>
        <v>0</v>
      </c>
      <c r="O45" s="24">
        <f t="shared" si="27"/>
        <v>0</v>
      </c>
      <c r="P45" s="24">
        <f t="shared" ref="P45:Q45" si="28">SUM(P44:P44)</f>
        <v>0</v>
      </c>
      <c r="Q45" s="24">
        <f t="shared" si="28"/>
        <v>0</v>
      </c>
    </row>
    <row r="46" spans="1:17" ht="13.8" x14ac:dyDescent="0.25">
      <c r="A46" s="178" t="s">
        <v>231</v>
      </c>
      <c r="B46" s="178"/>
      <c r="C46" s="178"/>
      <c r="D46" s="40">
        <f t="shared" ref="D46" si="29">D15+D23+D31+D35+D41+D45</f>
        <v>2079723.65</v>
      </c>
      <c r="E46" s="40">
        <f>E15+E23+E31+E35+E41+E45</f>
        <v>1995821.23</v>
      </c>
      <c r="F46" s="40">
        <f t="shared" ref="F46" si="30">F15+F23+F31+F35+F41+F45</f>
        <v>2119283.71</v>
      </c>
      <c r="G46" s="40">
        <f>G15+G23+G31+G35+G41+G45</f>
        <v>2092883.13</v>
      </c>
      <c r="H46" s="40">
        <f t="shared" ref="H46:I46" si="31">H15+H23+H31+H35+H41+H45</f>
        <v>2322189</v>
      </c>
      <c r="I46" s="40">
        <f t="shared" si="31"/>
        <v>2327347.5</v>
      </c>
      <c r="J46" s="40">
        <f>J15+J23+J31+J35+J41+J45</f>
        <v>2713546</v>
      </c>
      <c r="K46" s="26"/>
      <c r="L46" s="40">
        <f t="shared" ref="L46:O46" si="32">L15+L23+L31+L35+L41+L45</f>
        <v>2887972</v>
      </c>
      <c r="M46" s="40">
        <f t="shared" si="32"/>
        <v>2887972</v>
      </c>
      <c r="N46" s="40">
        <f t="shared" si="32"/>
        <v>2887972</v>
      </c>
      <c r="O46" s="40">
        <f t="shared" si="32"/>
        <v>2887972</v>
      </c>
      <c r="P46" s="40">
        <f>P15+P23+P31+P35+P41+P45</f>
        <v>174426</v>
      </c>
      <c r="Q46" s="40">
        <f>Q15+Q23+Q31+Q35+Q41+Q45</f>
        <v>0</v>
      </c>
    </row>
    <row r="47" spans="1:17" ht="13.8" x14ac:dyDescent="0.25">
      <c r="A47" s="174" t="s">
        <v>232</v>
      </c>
      <c r="B47" s="174"/>
      <c r="C47" s="174"/>
      <c r="D47" s="27"/>
      <c r="E47" s="30"/>
      <c r="F47" s="27"/>
      <c r="G47" s="30"/>
      <c r="H47" s="27"/>
      <c r="I47" s="27"/>
      <c r="J47" s="27"/>
      <c r="K47" s="29"/>
      <c r="L47" s="27"/>
      <c r="M47" s="27"/>
      <c r="N47" s="27"/>
      <c r="O47" s="27"/>
      <c r="P47" s="30"/>
      <c r="Q47" s="30"/>
    </row>
    <row r="48" spans="1:17" ht="13.8" x14ac:dyDescent="0.25">
      <c r="A48" s="175" t="s">
        <v>11</v>
      </c>
      <c r="B48" s="175"/>
      <c r="C48" s="175"/>
      <c r="D48" s="27"/>
      <c r="E48" s="30"/>
      <c r="F48" s="27"/>
      <c r="G48" s="30"/>
      <c r="H48" s="27"/>
      <c r="I48" s="27"/>
      <c r="J48" s="27"/>
      <c r="K48" s="29"/>
      <c r="L48" s="27"/>
      <c r="M48" s="27"/>
      <c r="N48" s="27"/>
      <c r="O48" s="27"/>
      <c r="P48" s="30"/>
      <c r="Q48" s="30"/>
    </row>
    <row r="49" spans="1:17" ht="13.8" x14ac:dyDescent="0.25">
      <c r="A49" s="50" t="s">
        <v>233</v>
      </c>
      <c r="B49" s="19" t="s">
        <v>35</v>
      </c>
      <c r="C49" s="20" t="s">
        <v>36</v>
      </c>
      <c r="D49" s="21">
        <v>66165</v>
      </c>
      <c r="E49" s="21">
        <v>66922.97</v>
      </c>
      <c r="F49" s="21">
        <v>71012</v>
      </c>
      <c r="G49" s="21">
        <v>71136.67</v>
      </c>
      <c r="H49" s="21">
        <v>76191</v>
      </c>
      <c r="I49" s="21">
        <v>72176.800000000003</v>
      </c>
      <c r="J49" s="21">
        <v>81752</v>
      </c>
      <c r="K49" s="23"/>
      <c r="L49" s="21">
        <v>88380</v>
      </c>
      <c r="M49" s="21">
        <v>88380</v>
      </c>
      <c r="N49" s="21">
        <v>88380</v>
      </c>
      <c r="O49" s="21">
        <v>88380</v>
      </c>
      <c r="P49" s="21">
        <f>+N49-J49</f>
        <v>6628</v>
      </c>
      <c r="Q49" s="21">
        <f>+N49-O49</f>
        <v>0</v>
      </c>
    </row>
    <row r="50" spans="1:17" ht="13.8" x14ac:dyDescent="0.25">
      <c r="A50" s="50" t="s">
        <v>233</v>
      </c>
      <c r="B50" s="19" t="s">
        <v>37</v>
      </c>
      <c r="C50" s="20" t="s">
        <v>38</v>
      </c>
      <c r="D50" s="21">
        <v>30664</v>
      </c>
      <c r="E50" s="21">
        <v>32137.57</v>
      </c>
      <c r="F50" s="21">
        <v>32623</v>
      </c>
      <c r="G50" s="21">
        <v>32654.09</v>
      </c>
      <c r="H50" s="21">
        <v>34707</v>
      </c>
      <c r="I50" s="21">
        <v>36718.559999999998</v>
      </c>
      <c r="J50" s="21">
        <v>36808</v>
      </c>
      <c r="K50" s="23"/>
      <c r="L50" s="21">
        <v>42573</v>
      </c>
      <c r="M50" s="21">
        <v>42573</v>
      </c>
      <c r="N50" s="21">
        <v>42573</v>
      </c>
      <c r="O50" s="21">
        <v>42573</v>
      </c>
      <c r="P50" s="21">
        <f>+N50-J50</f>
        <v>5765</v>
      </c>
      <c r="Q50" s="21">
        <f>+N50-O50</f>
        <v>0</v>
      </c>
    </row>
    <row r="51" spans="1:17" ht="13.8" x14ac:dyDescent="0.25">
      <c r="A51" s="50" t="s">
        <v>233</v>
      </c>
      <c r="B51" s="19" t="s">
        <v>39</v>
      </c>
      <c r="C51" s="20" t="s">
        <v>40</v>
      </c>
      <c r="D51" s="21">
        <v>500</v>
      </c>
      <c r="E51" s="21">
        <v>10091.76</v>
      </c>
      <c r="F51" s="21">
        <v>541</v>
      </c>
      <c r="G51" s="21">
        <v>8961.7900000000009</v>
      </c>
      <c r="H51" s="21">
        <v>2618</v>
      </c>
      <c r="I51" s="21">
        <v>3928.59</v>
      </c>
      <c r="J51" s="21">
        <v>8354</v>
      </c>
      <c r="K51" s="23"/>
      <c r="L51" s="21">
        <v>8354</v>
      </c>
      <c r="M51" s="21">
        <v>8354</v>
      </c>
      <c r="N51" s="21">
        <v>8354</v>
      </c>
      <c r="O51" s="21">
        <v>8354</v>
      </c>
      <c r="P51" s="21">
        <f>+N51-J51</f>
        <v>0</v>
      </c>
      <c r="Q51" s="21">
        <f>+N51-O51</f>
        <v>0</v>
      </c>
    </row>
    <row r="52" spans="1:17" ht="13.8" x14ac:dyDescent="0.25">
      <c r="A52" s="177" t="s">
        <v>74</v>
      </c>
      <c r="B52" s="177"/>
      <c r="C52" s="177"/>
      <c r="D52" s="24">
        <f t="shared" ref="D52" si="33">SUM(D49:D51)</f>
        <v>97329</v>
      </c>
      <c r="E52" s="24">
        <f t="shared" ref="E52:F52" si="34">SUM(E49:E51)</f>
        <v>109152.3</v>
      </c>
      <c r="F52" s="24">
        <f t="shared" si="34"/>
        <v>104176</v>
      </c>
      <c r="G52" s="24">
        <f>SUM(G49:G51)</f>
        <v>112752.54999999999</v>
      </c>
      <c r="H52" s="24">
        <f t="shared" ref="H52:J52" si="35">SUM(H49:H51)</f>
        <v>113516</v>
      </c>
      <c r="I52" s="24">
        <f t="shared" si="35"/>
        <v>112823.95</v>
      </c>
      <c r="J52" s="24">
        <f t="shared" si="35"/>
        <v>126914</v>
      </c>
      <c r="K52" s="26"/>
      <c r="L52" s="24">
        <f t="shared" ref="L52:Q52" si="36">SUM(L49:L51)</f>
        <v>139307</v>
      </c>
      <c r="M52" s="24">
        <f t="shared" si="36"/>
        <v>139307</v>
      </c>
      <c r="N52" s="24">
        <f t="shared" si="36"/>
        <v>139307</v>
      </c>
      <c r="O52" s="24">
        <f t="shared" si="36"/>
        <v>139307</v>
      </c>
      <c r="P52" s="24">
        <f t="shared" si="36"/>
        <v>12393</v>
      </c>
      <c r="Q52" s="24">
        <f t="shared" si="36"/>
        <v>0</v>
      </c>
    </row>
    <row r="53" spans="1:17" ht="13.8" x14ac:dyDescent="0.25">
      <c r="A53" s="175" t="s">
        <v>14</v>
      </c>
      <c r="B53" s="175"/>
      <c r="C53" s="175"/>
      <c r="D53" s="27"/>
      <c r="E53" s="30"/>
      <c r="F53" s="27"/>
      <c r="G53" s="30"/>
      <c r="H53" s="27"/>
      <c r="I53" s="27"/>
      <c r="J53" s="27"/>
      <c r="K53" s="29"/>
      <c r="L53" s="27"/>
      <c r="M53" s="27"/>
      <c r="N53" s="27"/>
      <c r="O53" s="27"/>
      <c r="P53" s="30"/>
      <c r="Q53" s="30"/>
    </row>
    <row r="54" spans="1:17" ht="13.8" x14ac:dyDescent="0.25">
      <c r="A54" s="50" t="s">
        <v>233</v>
      </c>
      <c r="B54" s="19" t="s">
        <v>15</v>
      </c>
      <c r="C54" s="20" t="s">
        <v>16</v>
      </c>
      <c r="D54" s="21">
        <v>6035</v>
      </c>
      <c r="E54" s="21">
        <v>6744.9</v>
      </c>
      <c r="F54" s="21">
        <v>6459</v>
      </c>
      <c r="G54" s="21">
        <v>6942.9</v>
      </c>
      <c r="H54" s="21">
        <v>7038</v>
      </c>
      <c r="I54" s="21">
        <v>7379.42</v>
      </c>
      <c r="J54" s="21">
        <v>7870</v>
      </c>
      <c r="K54" s="23"/>
      <c r="L54" s="21">
        <v>8637</v>
      </c>
      <c r="M54" s="21">
        <v>8637</v>
      </c>
      <c r="N54" s="21">
        <v>8637</v>
      </c>
      <c r="O54" s="21">
        <v>8637</v>
      </c>
      <c r="P54" s="21">
        <f>+N54-J54</f>
        <v>767</v>
      </c>
      <c r="Q54" s="21">
        <f>+N54-O54</f>
        <v>0</v>
      </c>
    </row>
    <row r="55" spans="1:17" ht="13.8" x14ac:dyDescent="0.25">
      <c r="A55" s="50" t="s">
        <v>233</v>
      </c>
      <c r="B55" s="19" t="s">
        <v>17</v>
      </c>
      <c r="C55" s="20" t="s">
        <v>18</v>
      </c>
      <c r="D55" s="21">
        <v>1421</v>
      </c>
      <c r="E55" s="21">
        <v>1577.44</v>
      </c>
      <c r="F55" s="21">
        <v>1511</v>
      </c>
      <c r="G55" s="21">
        <v>1623.75</v>
      </c>
      <c r="H55" s="21">
        <v>1646</v>
      </c>
      <c r="I55" s="21">
        <v>1725.84</v>
      </c>
      <c r="J55" s="21">
        <v>1842</v>
      </c>
      <c r="K55" s="23"/>
      <c r="L55" s="21">
        <v>2020</v>
      </c>
      <c r="M55" s="21">
        <v>2020</v>
      </c>
      <c r="N55" s="21">
        <v>2020</v>
      </c>
      <c r="O55" s="21">
        <v>2020</v>
      </c>
      <c r="P55" s="21">
        <f>+N55-J55</f>
        <v>178</v>
      </c>
      <c r="Q55" s="21">
        <f>+N55-O55</f>
        <v>0</v>
      </c>
    </row>
    <row r="56" spans="1:17" ht="13.8" x14ac:dyDescent="0.25">
      <c r="A56" s="50" t="s">
        <v>233</v>
      </c>
      <c r="B56" s="19" t="s">
        <v>43</v>
      </c>
      <c r="C56" s="20" t="s">
        <v>44</v>
      </c>
      <c r="D56" s="21">
        <v>9473</v>
      </c>
      <c r="E56" s="21">
        <v>10718.88</v>
      </c>
      <c r="F56" s="21">
        <v>9682</v>
      </c>
      <c r="G56" s="21">
        <v>10742.02</v>
      </c>
      <c r="H56" s="21">
        <v>14297</v>
      </c>
      <c r="I56" s="21">
        <v>10801.4</v>
      </c>
      <c r="J56" s="21">
        <v>11490</v>
      </c>
      <c r="K56" s="23"/>
      <c r="L56" s="21">
        <v>12334</v>
      </c>
      <c r="M56" s="21">
        <v>12334</v>
      </c>
      <c r="N56" s="21">
        <v>12334</v>
      </c>
      <c r="O56" s="21">
        <v>12334</v>
      </c>
      <c r="P56" s="21">
        <f>+N56-J56</f>
        <v>844</v>
      </c>
      <c r="Q56" s="21">
        <f>+N56-O56</f>
        <v>0</v>
      </c>
    </row>
    <row r="57" spans="1:17" ht="13.8" x14ac:dyDescent="0.25">
      <c r="A57" s="50" t="s">
        <v>233</v>
      </c>
      <c r="B57" s="19" t="s">
        <v>19</v>
      </c>
      <c r="C57" s="20" t="s">
        <v>20</v>
      </c>
      <c r="D57" s="21">
        <v>6112</v>
      </c>
      <c r="E57" s="21">
        <v>5827.22</v>
      </c>
      <c r="F57" s="21">
        <v>6472</v>
      </c>
      <c r="G57" s="21">
        <v>6894.66</v>
      </c>
      <c r="H57" s="21">
        <v>7726</v>
      </c>
      <c r="I57" s="21">
        <v>7726.37</v>
      </c>
      <c r="J57" s="21">
        <v>9129</v>
      </c>
      <c r="K57" s="23"/>
      <c r="L57" s="21">
        <v>8993</v>
      </c>
      <c r="M57" s="21">
        <v>8993</v>
      </c>
      <c r="N57" s="21">
        <v>8993</v>
      </c>
      <c r="O57" s="21">
        <v>8993</v>
      </c>
      <c r="P57" s="21">
        <f>+N57-J57</f>
        <v>-136</v>
      </c>
      <c r="Q57" s="21">
        <f>+N57-O57</f>
        <v>0</v>
      </c>
    </row>
    <row r="58" spans="1:17" ht="13.8" x14ac:dyDescent="0.25">
      <c r="A58" s="177" t="s">
        <v>75</v>
      </c>
      <c r="B58" s="177"/>
      <c r="C58" s="177"/>
      <c r="D58" s="24">
        <f t="shared" ref="D58" si="37">SUM(D54:D57)</f>
        <v>23041</v>
      </c>
      <c r="E58" s="24">
        <f>SUM(E54:E57)</f>
        <v>24868.440000000002</v>
      </c>
      <c r="F58" s="24">
        <f t="shared" ref="F58" si="38">SUM(F54:F57)</f>
        <v>24124</v>
      </c>
      <c r="G58" s="24">
        <f>SUM(G54:G57)</f>
        <v>26203.329999999998</v>
      </c>
      <c r="H58" s="24">
        <f t="shared" ref="H58:J58" si="39">SUM(H54:H57)</f>
        <v>30707</v>
      </c>
      <c r="I58" s="24">
        <f t="shared" si="39"/>
        <v>27633.03</v>
      </c>
      <c r="J58" s="24">
        <f t="shared" si="39"/>
        <v>30331</v>
      </c>
      <c r="K58" s="26"/>
      <c r="L58" s="24">
        <f t="shared" ref="L58:O58" si="40">SUM(L54:L57)</f>
        <v>31984</v>
      </c>
      <c r="M58" s="24">
        <f t="shared" si="40"/>
        <v>31984</v>
      </c>
      <c r="N58" s="24">
        <f t="shared" si="40"/>
        <v>31984</v>
      </c>
      <c r="O58" s="24">
        <f t="shared" si="40"/>
        <v>31984</v>
      </c>
      <c r="P58" s="24">
        <f>SUM(P54:P57)</f>
        <v>1653</v>
      </c>
      <c r="Q58" s="24">
        <f>SUM(Q54:Q57)</f>
        <v>0</v>
      </c>
    </row>
    <row r="59" spans="1:17" ht="13.8" x14ac:dyDescent="0.25">
      <c r="A59" s="175" t="s">
        <v>21</v>
      </c>
      <c r="B59" s="175"/>
      <c r="C59" s="175"/>
      <c r="D59" s="27"/>
      <c r="E59" s="30"/>
      <c r="F59" s="27"/>
      <c r="G59" s="30"/>
      <c r="H59" s="27"/>
      <c r="I59" s="27"/>
      <c r="J59" s="27"/>
      <c r="K59" s="29"/>
      <c r="L59" s="27"/>
      <c r="M59" s="27"/>
      <c r="N59" s="27"/>
      <c r="O59" s="27"/>
      <c r="P59" s="30"/>
      <c r="Q59" s="30"/>
    </row>
    <row r="60" spans="1:17" ht="13.8" x14ac:dyDescent="0.25">
      <c r="A60" s="50" t="s">
        <v>233</v>
      </c>
      <c r="B60" s="19" t="s">
        <v>225</v>
      </c>
      <c r="C60" s="20" t="s">
        <v>226</v>
      </c>
      <c r="D60" s="21">
        <v>400</v>
      </c>
      <c r="E60" s="21">
        <v>400</v>
      </c>
      <c r="F60" s="21">
        <v>400</v>
      </c>
      <c r="G60" s="21">
        <v>168.29</v>
      </c>
      <c r="H60" s="21">
        <v>400</v>
      </c>
      <c r="I60" s="21">
        <v>0</v>
      </c>
      <c r="J60" s="21">
        <v>400</v>
      </c>
      <c r="K60" s="23"/>
      <c r="L60" s="21">
        <v>400</v>
      </c>
      <c r="M60" s="21">
        <v>400</v>
      </c>
      <c r="N60" s="21">
        <v>400</v>
      </c>
      <c r="O60" s="21">
        <v>400</v>
      </c>
      <c r="P60" s="21">
        <f>+N60-J60</f>
        <v>0</v>
      </c>
      <c r="Q60" s="21">
        <f>+N60-O60</f>
        <v>0</v>
      </c>
    </row>
    <row r="61" spans="1:17" ht="13.8" x14ac:dyDescent="0.25">
      <c r="A61" s="50" t="s">
        <v>233</v>
      </c>
      <c r="B61" s="19" t="s">
        <v>158</v>
      </c>
      <c r="C61" s="20" t="s">
        <v>159</v>
      </c>
      <c r="D61" s="21">
        <v>2756</v>
      </c>
      <c r="E61" s="21">
        <v>0</v>
      </c>
      <c r="F61" s="21">
        <v>0</v>
      </c>
      <c r="G61" s="21">
        <v>0</v>
      </c>
      <c r="H61" s="21">
        <v>0</v>
      </c>
      <c r="I61" s="21">
        <v>0</v>
      </c>
      <c r="J61" s="21">
        <v>0</v>
      </c>
      <c r="K61" s="23"/>
      <c r="L61" s="21">
        <v>0</v>
      </c>
      <c r="M61" s="21">
        <v>0</v>
      </c>
      <c r="N61" s="21">
        <v>0</v>
      </c>
      <c r="O61" s="21">
        <v>0</v>
      </c>
      <c r="P61" s="21">
        <f>+N61-J61</f>
        <v>0</v>
      </c>
      <c r="Q61" s="21">
        <f>+N61-O61</f>
        <v>0</v>
      </c>
    </row>
    <row r="62" spans="1:17" ht="13.8" x14ac:dyDescent="0.25">
      <c r="A62" s="177" t="s">
        <v>76</v>
      </c>
      <c r="B62" s="177"/>
      <c r="C62" s="177"/>
      <c r="D62" s="24">
        <f t="shared" ref="D62:J62" si="41">SUM(D60:D61)</f>
        <v>3156</v>
      </c>
      <c r="E62" s="24">
        <f t="shared" si="41"/>
        <v>400</v>
      </c>
      <c r="F62" s="24">
        <f t="shared" si="41"/>
        <v>400</v>
      </c>
      <c r="G62" s="24">
        <f t="shared" si="41"/>
        <v>168.29</v>
      </c>
      <c r="H62" s="24">
        <f t="shared" si="41"/>
        <v>400</v>
      </c>
      <c r="I62" s="24">
        <f t="shared" si="41"/>
        <v>0</v>
      </c>
      <c r="J62" s="24">
        <f t="shared" si="41"/>
        <v>400</v>
      </c>
      <c r="K62" s="26"/>
      <c r="L62" s="24">
        <f t="shared" ref="L62:Q62" si="42">SUM(L60:L61)</f>
        <v>400</v>
      </c>
      <c r="M62" s="24">
        <f t="shared" si="42"/>
        <v>400</v>
      </c>
      <c r="N62" s="24">
        <f t="shared" si="42"/>
        <v>400</v>
      </c>
      <c r="O62" s="24">
        <f t="shared" si="42"/>
        <v>400</v>
      </c>
      <c r="P62" s="24">
        <f t="shared" si="42"/>
        <v>0</v>
      </c>
      <c r="Q62" s="24">
        <f t="shared" si="42"/>
        <v>0</v>
      </c>
    </row>
    <row r="63" spans="1:17" ht="13.8" x14ac:dyDescent="0.25">
      <c r="A63" s="175" t="s">
        <v>133</v>
      </c>
      <c r="B63" s="175"/>
      <c r="C63" s="175"/>
      <c r="D63" s="27"/>
      <c r="E63" s="30"/>
      <c r="F63" s="27"/>
      <c r="G63" s="30"/>
      <c r="H63" s="27"/>
      <c r="I63" s="27"/>
      <c r="J63" s="27"/>
      <c r="K63" s="29"/>
      <c r="L63" s="27"/>
      <c r="M63" s="27"/>
      <c r="N63" s="27"/>
      <c r="O63" s="27"/>
      <c r="P63" s="30"/>
      <c r="Q63" s="30"/>
    </row>
    <row r="64" spans="1:17" ht="13.8" x14ac:dyDescent="0.25">
      <c r="A64" s="50" t="s">
        <v>233</v>
      </c>
      <c r="B64" s="19" t="s">
        <v>160</v>
      </c>
      <c r="C64" s="20" t="s">
        <v>161</v>
      </c>
      <c r="D64" s="21">
        <v>54000</v>
      </c>
      <c r="E64" s="21">
        <v>54286.92</v>
      </c>
      <c r="F64" s="21">
        <v>54000</v>
      </c>
      <c r="G64" s="21">
        <v>51094.9</v>
      </c>
      <c r="H64" s="21">
        <v>55000</v>
      </c>
      <c r="I64" s="21">
        <v>55294.66</v>
      </c>
      <c r="J64" s="21">
        <v>55000</v>
      </c>
      <c r="K64" s="23"/>
      <c r="L64" s="21">
        <v>55000</v>
      </c>
      <c r="M64" s="21">
        <v>55000</v>
      </c>
      <c r="N64" s="21">
        <v>55000</v>
      </c>
      <c r="O64" s="21">
        <v>55000</v>
      </c>
      <c r="P64" s="21">
        <f>+N64-J64</f>
        <v>0</v>
      </c>
      <c r="Q64" s="21">
        <f>+N64-O64</f>
        <v>0</v>
      </c>
    </row>
    <row r="65" spans="1:17" ht="13.8" x14ac:dyDescent="0.25">
      <c r="A65" s="50" t="s">
        <v>233</v>
      </c>
      <c r="B65" s="19" t="s">
        <v>162</v>
      </c>
      <c r="C65" s="20" t="s">
        <v>163</v>
      </c>
      <c r="D65" s="21">
        <v>45000</v>
      </c>
      <c r="E65" s="21">
        <v>38330.78</v>
      </c>
      <c r="F65" s="21">
        <v>45000</v>
      </c>
      <c r="G65" s="21">
        <v>29978.51</v>
      </c>
      <c r="H65" s="21">
        <v>42000</v>
      </c>
      <c r="I65" s="21">
        <v>30804.68</v>
      </c>
      <c r="J65" s="21">
        <v>42000</v>
      </c>
      <c r="K65" s="23"/>
      <c r="L65" s="21">
        <v>42000</v>
      </c>
      <c r="M65" s="21">
        <v>42000</v>
      </c>
      <c r="N65" s="21">
        <v>42000</v>
      </c>
      <c r="O65" s="21">
        <v>42000</v>
      </c>
      <c r="P65" s="21">
        <f>+N65-J65</f>
        <v>0</v>
      </c>
      <c r="Q65" s="21">
        <f>+N65-O65</f>
        <v>0</v>
      </c>
    </row>
    <row r="66" spans="1:17" ht="13.8" x14ac:dyDescent="0.25">
      <c r="A66" s="50" t="s">
        <v>233</v>
      </c>
      <c r="B66" s="19" t="s">
        <v>164</v>
      </c>
      <c r="C66" s="20" t="s">
        <v>165</v>
      </c>
      <c r="D66" s="21">
        <v>5200</v>
      </c>
      <c r="E66" s="21">
        <v>7626.54</v>
      </c>
      <c r="F66" s="21">
        <v>6000</v>
      </c>
      <c r="G66" s="21">
        <v>7535.97</v>
      </c>
      <c r="H66" s="21">
        <v>8000</v>
      </c>
      <c r="I66" s="21">
        <v>7593.3</v>
      </c>
      <c r="J66" s="21">
        <v>8000</v>
      </c>
      <c r="K66" s="23"/>
      <c r="L66" s="21">
        <v>8000</v>
      </c>
      <c r="M66" s="21">
        <v>8000</v>
      </c>
      <c r="N66" s="21">
        <v>8000</v>
      </c>
      <c r="O66" s="21">
        <v>8000</v>
      </c>
      <c r="P66" s="21">
        <f>+N66-J66</f>
        <v>0</v>
      </c>
      <c r="Q66" s="21">
        <f>+N66-O66</f>
        <v>0</v>
      </c>
    </row>
    <row r="67" spans="1:17" ht="13.8" x14ac:dyDescent="0.25">
      <c r="A67" s="177" t="s">
        <v>136</v>
      </c>
      <c r="B67" s="177"/>
      <c r="C67" s="177"/>
      <c r="D67" s="24">
        <f t="shared" ref="D67:Q67" si="43">SUM(D64:D66)</f>
        <v>104200</v>
      </c>
      <c r="E67" s="24">
        <f t="shared" si="43"/>
        <v>100244.23999999999</v>
      </c>
      <c r="F67" s="24">
        <f t="shared" si="43"/>
        <v>105000</v>
      </c>
      <c r="G67" s="24">
        <f t="shared" si="43"/>
        <v>88609.38</v>
      </c>
      <c r="H67" s="24">
        <f t="shared" si="43"/>
        <v>105000</v>
      </c>
      <c r="I67" s="24">
        <f t="shared" si="43"/>
        <v>93692.64</v>
      </c>
      <c r="J67" s="24">
        <f t="shared" si="43"/>
        <v>105000</v>
      </c>
      <c r="K67" s="26"/>
      <c r="L67" s="24">
        <f t="shared" ref="L67:O67" si="44">SUM(L64:L66)</f>
        <v>105000</v>
      </c>
      <c r="M67" s="24">
        <f t="shared" si="44"/>
        <v>105000</v>
      </c>
      <c r="N67" s="24">
        <f t="shared" si="44"/>
        <v>105000</v>
      </c>
      <c r="O67" s="24">
        <f t="shared" si="44"/>
        <v>105000</v>
      </c>
      <c r="P67" s="24">
        <f t="shared" si="43"/>
        <v>0</v>
      </c>
      <c r="Q67" s="24">
        <f t="shared" si="43"/>
        <v>0</v>
      </c>
    </row>
    <row r="68" spans="1:17" ht="13.8" x14ac:dyDescent="0.25">
      <c r="A68" s="169" t="s">
        <v>30</v>
      </c>
      <c r="B68" s="169"/>
      <c r="C68" s="169"/>
      <c r="D68" s="27"/>
      <c r="E68" s="30"/>
      <c r="F68" s="27"/>
      <c r="G68" s="30"/>
      <c r="H68" s="27"/>
      <c r="I68" s="27"/>
      <c r="J68" s="27"/>
      <c r="K68" s="29"/>
      <c r="L68" s="27"/>
      <c r="M68" s="27"/>
      <c r="N68" s="27"/>
      <c r="O68" s="27"/>
      <c r="P68" s="30"/>
      <c r="Q68" s="30"/>
    </row>
    <row r="69" spans="1:17" ht="13.8" x14ac:dyDescent="0.25">
      <c r="A69" s="50" t="s">
        <v>233</v>
      </c>
      <c r="B69" s="19" t="s">
        <v>137</v>
      </c>
      <c r="C69" s="20" t="s">
        <v>138</v>
      </c>
      <c r="D69" s="21">
        <v>18718</v>
      </c>
      <c r="E69" s="21">
        <v>117266.29</v>
      </c>
      <c r="F69" s="21">
        <v>100000</v>
      </c>
      <c r="G69" s="21">
        <v>100495.27</v>
      </c>
      <c r="H69" s="21">
        <v>100000</v>
      </c>
      <c r="I69" s="21">
        <v>126672.27</v>
      </c>
      <c r="J69" s="21">
        <v>100000</v>
      </c>
      <c r="K69" s="23"/>
      <c r="L69" s="21">
        <v>100000</v>
      </c>
      <c r="M69" s="21">
        <v>100000</v>
      </c>
      <c r="N69" s="21">
        <v>100000</v>
      </c>
      <c r="O69" s="21">
        <v>100000</v>
      </c>
      <c r="P69" s="21">
        <f>+N69-J69</f>
        <v>0</v>
      </c>
      <c r="Q69" s="21">
        <f>+N69-O69</f>
        <v>0</v>
      </c>
    </row>
    <row r="70" spans="1:17" ht="13.8" x14ac:dyDescent="0.25">
      <c r="A70" s="177" t="s">
        <v>77</v>
      </c>
      <c r="B70" s="177"/>
      <c r="C70" s="177"/>
      <c r="D70" s="24">
        <f t="shared" ref="D70:F70" si="45">SUM(D69:D69)</f>
        <v>18718</v>
      </c>
      <c r="E70" s="24">
        <f t="shared" si="45"/>
        <v>117266.29</v>
      </c>
      <c r="F70" s="24">
        <f t="shared" si="45"/>
        <v>100000</v>
      </c>
      <c r="G70" s="24">
        <f>SUM(G69:G69)</f>
        <v>100495.27</v>
      </c>
      <c r="H70" s="24">
        <f t="shared" ref="H70:J70" si="46">SUM(H69:H69)</f>
        <v>100000</v>
      </c>
      <c r="I70" s="24">
        <f t="shared" si="46"/>
        <v>126672.27</v>
      </c>
      <c r="J70" s="24">
        <f t="shared" si="46"/>
        <v>100000</v>
      </c>
      <c r="K70" s="26"/>
      <c r="L70" s="24">
        <f t="shared" ref="L70:Q70" si="47">SUM(L69:L69)</f>
        <v>100000</v>
      </c>
      <c r="M70" s="24">
        <f t="shared" si="47"/>
        <v>100000</v>
      </c>
      <c r="N70" s="24">
        <f t="shared" si="47"/>
        <v>100000</v>
      </c>
      <c r="O70" s="24">
        <f t="shared" si="47"/>
        <v>100000</v>
      </c>
      <c r="P70" s="24">
        <f t="shared" si="47"/>
        <v>0</v>
      </c>
      <c r="Q70" s="24">
        <f t="shared" si="47"/>
        <v>0</v>
      </c>
    </row>
    <row r="71" spans="1:17" ht="13.8" x14ac:dyDescent="0.25">
      <c r="A71" s="178" t="s">
        <v>234</v>
      </c>
      <c r="B71" s="178"/>
      <c r="C71" s="178"/>
      <c r="D71" s="40">
        <f t="shared" ref="D71:J71" si="48">D52+D58+D62+D67+D70</f>
        <v>246444</v>
      </c>
      <c r="E71" s="40">
        <f t="shared" si="48"/>
        <v>351931.26999999996</v>
      </c>
      <c r="F71" s="40">
        <f t="shared" si="48"/>
        <v>333700</v>
      </c>
      <c r="G71" s="40">
        <f t="shared" si="48"/>
        <v>328228.82</v>
      </c>
      <c r="H71" s="40">
        <f t="shared" si="48"/>
        <v>349623</v>
      </c>
      <c r="I71" s="40">
        <f t="shared" si="48"/>
        <v>360821.89</v>
      </c>
      <c r="J71" s="40">
        <f t="shared" si="48"/>
        <v>362645</v>
      </c>
      <c r="K71" s="26"/>
      <c r="L71" s="40">
        <f t="shared" ref="L71:Q71" si="49">L52+L58+L62+L67+L70</f>
        <v>376691</v>
      </c>
      <c r="M71" s="40">
        <f t="shared" si="49"/>
        <v>376691</v>
      </c>
      <c r="N71" s="40">
        <f t="shared" si="49"/>
        <v>376691</v>
      </c>
      <c r="O71" s="40">
        <f t="shared" si="49"/>
        <v>376691</v>
      </c>
      <c r="P71" s="40">
        <f t="shared" si="49"/>
        <v>14046</v>
      </c>
      <c r="Q71" s="40">
        <f t="shared" si="49"/>
        <v>0</v>
      </c>
    </row>
    <row r="72" spans="1:17" ht="13.8" x14ac:dyDescent="0.25">
      <c r="A72" s="174" t="s">
        <v>235</v>
      </c>
      <c r="B72" s="174"/>
      <c r="C72" s="174"/>
      <c r="D72" s="27"/>
      <c r="E72" s="30"/>
      <c r="F72" s="27"/>
      <c r="G72" s="30"/>
      <c r="H72" s="27"/>
      <c r="I72" s="27"/>
      <c r="J72" s="27"/>
      <c r="K72" s="29"/>
      <c r="L72" s="27"/>
      <c r="M72" s="27"/>
      <c r="N72" s="27"/>
      <c r="O72" s="27"/>
      <c r="P72" s="30"/>
      <c r="Q72" s="30"/>
    </row>
    <row r="73" spans="1:17" ht="13.8" x14ac:dyDescent="0.25">
      <c r="A73" s="175" t="s">
        <v>11</v>
      </c>
      <c r="B73" s="175"/>
      <c r="C73" s="175"/>
      <c r="D73" s="27"/>
      <c r="E73" s="30"/>
      <c r="F73" s="27"/>
      <c r="G73" s="30"/>
      <c r="H73" s="27"/>
      <c r="I73" s="27"/>
      <c r="J73" s="27"/>
      <c r="K73" s="29"/>
      <c r="L73" s="27"/>
      <c r="M73" s="27"/>
      <c r="N73" s="27"/>
      <c r="O73" s="27"/>
      <c r="P73" s="30"/>
      <c r="Q73" s="30"/>
    </row>
    <row r="74" spans="1:17" ht="13.8" x14ac:dyDescent="0.25">
      <c r="A74" s="50" t="s">
        <v>236</v>
      </c>
      <c r="B74" s="19" t="s">
        <v>35</v>
      </c>
      <c r="C74" s="20" t="s">
        <v>36</v>
      </c>
      <c r="D74" s="21">
        <v>97986</v>
      </c>
      <c r="E74" s="21">
        <v>98186.8</v>
      </c>
      <c r="F74" s="21">
        <v>102589</v>
      </c>
      <c r="G74" s="21">
        <v>102236.23</v>
      </c>
      <c r="H74" s="21">
        <v>105665</v>
      </c>
      <c r="I74" s="21">
        <v>106010.72</v>
      </c>
      <c r="J74" s="21">
        <v>116567</v>
      </c>
      <c r="K74" s="23"/>
      <c r="L74" s="21">
        <v>124127</v>
      </c>
      <c r="M74" s="21">
        <v>124127</v>
      </c>
      <c r="N74" s="21">
        <v>124127</v>
      </c>
      <c r="O74" s="21">
        <v>124127</v>
      </c>
      <c r="P74" s="21">
        <f>+N74-J74</f>
        <v>7560</v>
      </c>
      <c r="Q74" s="21">
        <f>+N74-O74</f>
        <v>0</v>
      </c>
    </row>
    <row r="75" spans="1:17" ht="13.8" x14ac:dyDescent="0.25">
      <c r="A75" s="177" t="s">
        <v>74</v>
      </c>
      <c r="B75" s="177"/>
      <c r="C75" s="177"/>
      <c r="D75" s="24">
        <f t="shared" ref="D75:J75" si="50">SUM(D74:D74)</f>
        <v>97986</v>
      </c>
      <c r="E75" s="24">
        <f t="shared" si="50"/>
        <v>98186.8</v>
      </c>
      <c r="F75" s="24">
        <f t="shared" si="50"/>
        <v>102589</v>
      </c>
      <c r="G75" s="24">
        <f t="shared" si="50"/>
        <v>102236.23</v>
      </c>
      <c r="H75" s="24">
        <f t="shared" si="50"/>
        <v>105665</v>
      </c>
      <c r="I75" s="24">
        <f>SUM(I74:I74)</f>
        <v>106010.72</v>
      </c>
      <c r="J75" s="24">
        <f t="shared" si="50"/>
        <v>116567</v>
      </c>
      <c r="K75" s="26"/>
      <c r="L75" s="24">
        <f t="shared" ref="L75:Q75" si="51">SUM(L74:L74)</f>
        <v>124127</v>
      </c>
      <c r="M75" s="24">
        <f t="shared" si="51"/>
        <v>124127</v>
      </c>
      <c r="N75" s="24">
        <f t="shared" si="51"/>
        <v>124127</v>
      </c>
      <c r="O75" s="24">
        <f t="shared" si="51"/>
        <v>124127</v>
      </c>
      <c r="P75" s="24">
        <f t="shared" si="51"/>
        <v>7560</v>
      </c>
      <c r="Q75" s="24">
        <f t="shared" si="51"/>
        <v>0</v>
      </c>
    </row>
    <row r="76" spans="1:17" ht="13.8" x14ac:dyDescent="0.25">
      <c r="A76" s="169" t="s">
        <v>14</v>
      </c>
      <c r="B76" s="169"/>
      <c r="C76" s="169"/>
      <c r="D76" s="27"/>
      <c r="E76" s="30"/>
      <c r="F76" s="27"/>
      <c r="G76" s="30"/>
      <c r="H76" s="27"/>
      <c r="I76" s="27"/>
      <c r="J76" s="27"/>
      <c r="K76" s="29"/>
      <c r="L76" s="27"/>
      <c r="M76" s="27"/>
      <c r="N76" s="27"/>
      <c r="O76" s="27"/>
      <c r="P76" s="30"/>
      <c r="Q76" s="30"/>
    </row>
    <row r="77" spans="1:17" ht="13.8" x14ac:dyDescent="0.25">
      <c r="A77" s="50" t="s">
        <v>236</v>
      </c>
      <c r="B77" s="19" t="s">
        <v>15</v>
      </c>
      <c r="C77" s="20" t="s">
        <v>16</v>
      </c>
      <c r="D77" s="21">
        <v>6075</v>
      </c>
      <c r="E77" s="21">
        <v>5942.21</v>
      </c>
      <c r="F77" s="21">
        <v>6361</v>
      </c>
      <c r="G77" s="21">
        <v>5950.36</v>
      </c>
      <c r="H77" s="21">
        <v>6552</v>
      </c>
      <c r="I77" s="21">
        <v>6131.58</v>
      </c>
      <c r="J77" s="21">
        <v>7228</v>
      </c>
      <c r="K77" s="23"/>
      <c r="L77" s="21">
        <v>7696</v>
      </c>
      <c r="M77" s="21">
        <v>7696</v>
      </c>
      <c r="N77" s="21">
        <v>7696</v>
      </c>
      <c r="O77" s="21">
        <v>7696</v>
      </c>
      <c r="P77" s="21">
        <f>+N77-J77</f>
        <v>468</v>
      </c>
      <c r="Q77" s="21">
        <f>+N77-O77</f>
        <v>0</v>
      </c>
    </row>
    <row r="78" spans="1:17" ht="13.8" x14ac:dyDescent="0.25">
      <c r="A78" s="50" t="s">
        <v>236</v>
      </c>
      <c r="B78" s="19" t="s">
        <v>17</v>
      </c>
      <c r="C78" s="20" t="s">
        <v>18</v>
      </c>
      <c r="D78" s="21">
        <v>1421</v>
      </c>
      <c r="E78" s="21">
        <v>1389.71</v>
      </c>
      <c r="F78" s="21">
        <v>1488</v>
      </c>
      <c r="G78" s="21">
        <v>1391.61</v>
      </c>
      <c r="H78" s="21">
        <v>1533</v>
      </c>
      <c r="I78" s="21">
        <v>1434</v>
      </c>
      <c r="J78" s="21">
        <v>1691</v>
      </c>
      <c r="K78" s="23"/>
      <c r="L78" s="21">
        <v>1800</v>
      </c>
      <c r="M78" s="21">
        <v>1800</v>
      </c>
      <c r="N78" s="21">
        <v>1800</v>
      </c>
      <c r="O78" s="21">
        <v>1800</v>
      </c>
      <c r="P78" s="21">
        <f>+N78-J78</f>
        <v>109</v>
      </c>
      <c r="Q78" s="21">
        <f>+N78-O78</f>
        <v>0</v>
      </c>
    </row>
    <row r="79" spans="1:17" ht="13.8" x14ac:dyDescent="0.25">
      <c r="A79" s="50" t="s">
        <v>236</v>
      </c>
      <c r="B79" s="19" t="s">
        <v>43</v>
      </c>
      <c r="C79" s="20" t="s">
        <v>44</v>
      </c>
      <c r="D79" s="21">
        <v>13777</v>
      </c>
      <c r="E79" s="21">
        <v>13743.05</v>
      </c>
      <c r="F79" s="21">
        <v>13881</v>
      </c>
      <c r="G79" s="21">
        <v>13826.31</v>
      </c>
      <c r="H79" s="21">
        <v>14297</v>
      </c>
      <c r="I79" s="21">
        <v>14284.65</v>
      </c>
      <c r="J79" s="21">
        <v>14863</v>
      </c>
      <c r="K79" s="23"/>
      <c r="L79" s="21">
        <v>15827</v>
      </c>
      <c r="M79" s="21">
        <v>15827</v>
      </c>
      <c r="N79" s="21">
        <v>15827</v>
      </c>
      <c r="O79" s="21">
        <v>15827</v>
      </c>
      <c r="P79" s="21">
        <f>+N79-J79</f>
        <v>964</v>
      </c>
      <c r="Q79" s="21">
        <f>+N79-O79</f>
        <v>0</v>
      </c>
    </row>
    <row r="80" spans="1:17" ht="13.8" x14ac:dyDescent="0.25">
      <c r="A80" s="177" t="s">
        <v>75</v>
      </c>
      <c r="B80" s="177"/>
      <c r="C80" s="177"/>
      <c r="D80" s="24">
        <f t="shared" ref="D80" si="52">SUM(D77:D79)</f>
        <v>21273</v>
      </c>
      <c r="E80" s="24">
        <f>SUM(E77:E79)</f>
        <v>21074.97</v>
      </c>
      <c r="F80" s="24">
        <f t="shared" ref="F80" si="53">SUM(F77:F79)</f>
        <v>21730</v>
      </c>
      <c r="G80" s="24">
        <f>SUM(G77:G79)</f>
        <v>21168.28</v>
      </c>
      <c r="H80" s="24">
        <f t="shared" ref="H80:J80" si="54">SUM(H77:H79)</f>
        <v>22382</v>
      </c>
      <c r="I80" s="24">
        <f t="shared" si="54"/>
        <v>21850.23</v>
      </c>
      <c r="J80" s="24">
        <f t="shared" si="54"/>
        <v>23782</v>
      </c>
      <c r="K80" s="26"/>
      <c r="L80" s="24">
        <f t="shared" ref="L80:O80" si="55">SUM(L77:L79)</f>
        <v>25323</v>
      </c>
      <c r="M80" s="24">
        <f t="shared" si="55"/>
        <v>25323</v>
      </c>
      <c r="N80" s="24">
        <f t="shared" si="55"/>
        <v>25323</v>
      </c>
      <c r="O80" s="24">
        <f t="shared" si="55"/>
        <v>25323</v>
      </c>
      <c r="P80" s="24">
        <f>SUM(P77:P79)</f>
        <v>1541</v>
      </c>
      <c r="Q80" s="24">
        <f>SUM(Q77:Q79)</f>
        <v>0</v>
      </c>
    </row>
    <row r="81" spans="1:17" ht="13.8" x14ac:dyDescent="0.25">
      <c r="A81" s="175" t="s">
        <v>21</v>
      </c>
      <c r="B81" s="175"/>
      <c r="C81" s="175"/>
      <c r="D81" s="27"/>
      <c r="E81" s="30"/>
      <c r="F81" s="27"/>
      <c r="G81" s="30"/>
      <c r="H81" s="27"/>
      <c r="I81" s="27"/>
      <c r="J81" s="27"/>
      <c r="K81" s="29"/>
      <c r="L81" s="27"/>
      <c r="M81" s="27"/>
      <c r="N81" s="27"/>
      <c r="O81" s="27"/>
      <c r="P81" s="30"/>
      <c r="Q81" s="30"/>
    </row>
    <row r="82" spans="1:17" ht="13.8" x14ac:dyDescent="0.25">
      <c r="A82" s="50" t="s">
        <v>236</v>
      </c>
      <c r="B82" s="19" t="s">
        <v>28</v>
      </c>
      <c r="C82" s="20" t="s">
        <v>29</v>
      </c>
      <c r="D82" s="21">
        <v>55000</v>
      </c>
      <c r="E82" s="21">
        <v>86321.01</v>
      </c>
      <c r="F82" s="21">
        <v>55000</v>
      </c>
      <c r="G82" s="21">
        <v>105449.13</v>
      </c>
      <c r="H82" s="21">
        <v>196670</v>
      </c>
      <c r="I82" s="21">
        <v>242066.47</v>
      </c>
      <c r="J82" s="21">
        <v>242310</v>
      </c>
      <c r="K82" s="23"/>
      <c r="L82" s="21">
        <v>242310</v>
      </c>
      <c r="M82" s="21">
        <v>242310</v>
      </c>
      <c r="N82" s="21">
        <v>242310</v>
      </c>
      <c r="O82" s="21">
        <v>242310</v>
      </c>
      <c r="P82" s="21">
        <f>+N82-J82</f>
        <v>0</v>
      </c>
      <c r="Q82" s="21">
        <f>+N82-O82</f>
        <v>0</v>
      </c>
    </row>
    <row r="83" spans="1:17" ht="13.8" x14ac:dyDescent="0.25">
      <c r="A83" s="50" t="s">
        <v>236</v>
      </c>
      <c r="B83" s="19" t="s">
        <v>144</v>
      </c>
      <c r="C83" s="20" t="s">
        <v>145</v>
      </c>
      <c r="D83" s="21">
        <v>28900</v>
      </c>
      <c r="E83" s="21">
        <v>46537.3</v>
      </c>
      <c r="F83" s="21">
        <v>28900</v>
      </c>
      <c r="G83" s="21">
        <v>65847.679999999993</v>
      </c>
      <c r="H83" s="21">
        <v>0</v>
      </c>
      <c r="I83" s="21">
        <v>0</v>
      </c>
      <c r="J83" s="21">
        <v>0</v>
      </c>
      <c r="K83" s="23"/>
      <c r="L83" s="21">
        <v>0</v>
      </c>
      <c r="M83" s="21">
        <v>0</v>
      </c>
      <c r="N83" s="21">
        <v>0</v>
      </c>
      <c r="O83" s="21">
        <v>0</v>
      </c>
      <c r="P83" s="21">
        <f>+N83-J83</f>
        <v>0</v>
      </c>
      <c r="Q83" s="21">
        <f>+N83-O83</f>
        <v>0</v>
      </c>
    </row>
    <row r="84" spans="1:17" ht="13.8" x14ac:dyDescent="0.25">
      <c r="A84" s="50" t="s">
        <v>236</v>
      </c>
      <c r="B84" s="19" t="s">
        <v>111</v>
      </c>
      <c r="C84" s="20" t="s">
        <v>112</v>
      </c>
      <c r="D84" s="21">
        <v>39082</v>
      </c>
      <c r="E84" s="21">
        <v>7729.49</v>
      </c>
      <c r="F84" s="21">
        <v>44182</v>
      </c>
      <c r="G84" s="21">
        <v>0</v>
      </c>
      <c r="H84" s="21">
        <v>0</v>
      </c>
      <c r="I84" s="21">
        <v>0</v>
      </c>
      <c r="J84" s="21">
        <v>0</v>
      </c>
      <c r="K84" s="23"/>
      <c r="L84" s="21">
        <v>0</v>
      </c>
      <c r="M84" s="21">
        <v>0</v>
      </c>
      <c r="N84" s="21">
        <v>0</v>
      </c>
      <c r="O84" s="21">
        <v>0</v>
      </c>
      <c r="P84" s="21">
        <f>+N84-J84</f>
        <v>0</v>
      </c>
      <c r="Q84" s="21">
        <f>+N84-O84</f>
        <v>0</v>
      </c>
    </row>
    <row r="85" spans="1:17" ht="13.8" x14ac:dyDescent="0.25">
      <c r="A85" s="176" t="s">
        <v>76</v>
      </c>
      <c r="B85" s="176"/>
      <c r="C85" s="176"/>
      <c r="D85" s="24">
        <f t="shared" ref="D85" si="56">SUM(D82:D84)</f>
        <v>122982</v>
      </c>
      <c r="E85" s="24">
        <f>SUM(E82:E84)</f>
        <v>140587.79999999999</v>
      </c>
      <c r="F85" s="24">
        <f t="shared" ref="F85" si="57">SUM(F82:F84)</f>
        <v>128082</v>
      </c>
      <c r="G85" s="24">
        <f>SUM(G82:G84)</f>
        <v>171296.81</v>
      </c>
      <c r="H85" s="24">
        <f t="shared" ref="H85:J85" si="58">SUM(H82:H84)</f>
        <v>196670</v>
      </c>
      <c r="I85" s="24">
        <f t="shared" si="58"/>
        <v>242066.47</v>
      </c>
      <c r="J85" s="24">
        <f t="shared" si="58"/>
        <v>242310</v>
      </c>
      <c r="K85" s="26"/>
      <c r="L85" s="24">
        <f t="shared" ref="L85:O85" si="59">SUM(L82:L84)</f>
        <v>242310</v>
      </c>
      <c r="M85" s="24">
        <f t="shared" si="59"/>
        <v>242310</v>
      </c>
      <c r="N85" s="24">
        <f t="shared" si="59"/>
        <v>242310</v>
      </c>
      <c r="O85" s="24">
        <f t="shared" si="59"/>
        <v>242310</v>
      </c>
      <c r="P85" s="24">
        <f>SUM(P82:P84)</f>
        <v>0</v>
      </c>
      <c r="Q85" s="24">
        <f>SUM(Q82:Q84)</f>
        <v>0</v>
      </c>
    </row>
    <row r="86" spans="1:17" ht="13.8" x14ac:dyDescent="0.25">
      <c r="A86" s="169" t="s">
        <v>133</v>
      </c>
      <c r="B86" s="169"/>
      <c r="C86" s="169"/>
      <c r="D86" s="27"/>
      <c r="E86" s="30"/>
      <c r="F86" s="27"/>
      <c r="G86" s="30"/>
      <c r="H86" s="27"/>
      <c r="I86" s="27"/>
      <c r="J86" s="27"/>
      <c r="K86" s="29"/>
      <c r="L86" s="27"/>
      <c r="M86" s="27"/>
      <c r="N86" s="27"/>
      <c r="O86" s="27"/>
      <c r="P86" s="30"/>
      <c r="Q86" s="30"/>
    </row>
    <row r="87" spans="1:17" ht="13.8" x14ac:dyDescent="0.25">
      <c r="A87" s="50" t="s">
        <v>236</v>
      </c>
      <c r="B87" s="19" t="s">
        <v>146</v>
      </c>
      <c r="C87" s="20" t="s">
        <v>147</v>
      </c>
      <c r="D87" s="21">
        <v>1000</v>
      </c>
      <c r="E87" s="21">
        <v>701.54</v>
      </c>
      <c r="F87" s="21">
        <v>1000</v>
      </c>
      <c r="G87" s="21">
        <v>1589.58</v>
      </c>
      <c r="H87" s="21">
        <v>1000</v>
      </c>
      <c r="I87" s="21">
        <v>2158.71</v>
      </c>
      <c r="J87" s="21">
        <v>1000</v>
      </c>
      <c r="K87" s="23"/>
      <c r="L87" s="21">
        <v>1000</v>
      </c>
      <c r="M87" s="21">
        <v>1000</v>
      </c>
      <c r="N87" s="21">
        <v>1000</v>
      </c>
      <c r="O87" s="21">
        <v>1000</v>
      </c>
      <c r="P87" s="21">
        <f>+N87-J87</f>
        <v>0</v>
      </c>
      <c r="Q87" s="21">
        <f>+N87-O87</f>
        <v>0</v>
      </c>
    </row>
    <row r="88" spans="1:17" ht="13.8" x14ac:dyDescent="0.25">
      <c r="A88" s="190" t="s">
        <v>136</v>
      </c>
      <c r="B88" s="190"/>
      <c r="C88" s="190"/>
      <c r="D88" s="24">
        <f t="shared" ref="D88:F88" si="60">SUM(D87:D87)</f>
        <v>1000</v>
      </c>
      <c r="E88" s="24">
        <f t="shared" si="60"/>
        <v>701.54</v>
      </c>
      <c r="F88" s="24">
        <f t="shared" si="60"/>
        <v>1000</v>
      </c>
      <c r="G88" s="24">
        <f>SUM(G87:G87)</f>
        <v>1589.58</v>
      </c>
      <c r="H88" s="24">
        <f t="shared" ref="H88:J88" si="61">SUM(H87:H87)</f>
        <v>1000</v>
      </c>
      <c r="I88" s="24">
        <f t="shared" si="61"/>
        <v>2158.71</v>
      </c>
      <c r="J88" s="24">
        <f t="shared" si="61"/>
        <v>1000</v>
      </c>
      <c r="K88" s="26"/>
      <c r="L88" s="24">
        <f t="shared" ref="L88:Q88" si="62">SUM(L87:L87)</f>
        <v>1000</v>
      </c>
      <c r="M88" s="24">
        <f t="shared" si="62"/>
        <v>1000</v>
      </c>
      <c r="N88" s="24">
        <f t="shared" si="62"/>
        <v>1000</v>
      </c>
      <c r="O88" s="24">
        <f t="shared" si="62"/>
        <v>1000</v>
      </c>
      <c r="P88" s="24">
        <f t="shared" si="62"/>
        <v>0</v>
      </c>
      <c r="Q88" s="24">
        <f t="shared" si="62"/>
        <v>0</v>
      </c>
    </row>
    <row r="89" spans="1:17" ht="13.8" x14ac:dyDescent="0.25">
      <c r="A89" s="169" t="s">
        <v>30</v>
      </c>
      <c r="B89" s="169"/>
      <c r="C89" s="169"/>
      <c r="D89" s="27"/>
      <c r="E89" s="30"/>
      <c r="F89" s="27"/>
      <c r="G89" s="30"/>
      <c r="H89" s="27"/>
      <c r="I89" s="27"/>
      <c r="J89" s="27"/>
      <c r="K89" s="29"/>
      <c r="L89" s="27"/>
      <c r="M89" s="27"/>
      <c r="N89" s="27"/>
      <c r="O89" s="27"/>
      <c r="P89" s="30"/>
      <c r="Q89" s="30"/>
    </row>
    <row r="90" spans="1:17" ht="13.8" x14ac:dyDescent="0.25">
      <c r="A90" s="50" t="s">
        <v>236</v>
      </c>
      <c r="B90" s="19" t="s">
        <v>31</v>
      </c>
      <c r="C90" s="20" t="s">
        <v>32</v>
      </c>
      <c r="D90" s="21">
        <v>800</v>
      </c>
      <c r="E90" s="21">
        <v>16178.62</v>
      </c>
      <c r="F90" s="21">
        <v>800</v>
      </c>
      <c r="G90" s="21">
        <v>9368.93</v>
      </c>
      <c r="H90" s="21">
        <v>7000</v>
      </c>
      <c r="I90" s="21">
        <v>11119.97</v>
      </c>
      <c r="J90" s="21">
        <v>10000</v>
      </c>
      <c r="K90" s="23"/>
      <c r="L90" s="21">
        <v>10000</v>
      </c>
      <c r="M90" s="21">
        <v>10000</v>
      </c>
      <c r="N90" s="21">
        <v>10000</v>
      </c>
      <c r="O90" s="21">
        <v>10000</v>
      </c>
      <c r="P90" s="21">
        <f>+N90-J90</f>
        <v>0</v>
      </c>
      <c r="Q90" s="21">
        <f>+N90-O90</f>
        <v>0</v>
      </c>
    </row>
    <row r="91" spans="1:17" ht="13.8" x14ac:dyDescent="0.25">
      <c r="A91" s="50" t="s">
        <v>236</v>
      </c>
      <c r="B91" s="19" t="s">
        <v>51</v>
      </c>
      <c r="C91" s="20" t="s">
        <v>48</v>
      </c>
      <c r="D91" s="21">
        <v>100</v>
      </c>
      <c r="E91" s="21">
        <v>4000.7</v>
      </c>
      <c r="F91" s="21">
        <v>100</v>
      </c>
      <c r="G91" s="21">
        <v>4465.76</v>
      </c>
      <c r="H91" s="21">
        <v>100</v>
      </c>
      <c r="I91" s="21">
        <v>0</v>
      </c>
      <c r="J91" s="21">
        <v>500</v>
      </c>
      <c r="K91" s="23"/>
      <c r="L91" s="21">
        <v>500</v>
      </c>
      <c r="M91" s="21">
        <v>500</v>
      </c>
      <c r="N91" s="21">
        <v>500</v>
      </c>
      <c r="O91" s="21">
        <v>500</v>
      </c>
      <c r="P91" s="21">
        <f>+N91-J91</f>
        <v>0</v>
      </c>
      <c r="Q91" s="21">
        <f>+N91-O91</f>
        <v>0</v>
      </c>
    </row>
    <row r="92" spans="1:17" ht="13.8" x14ac:dyDescent="0.25">
      <c r="A92" s="177" t="s">
        <v>77</v>
      </c>
      <c r="B92" s="177"/>
      <c r="C92" s="177"/>
      <c r="D92" s="24">
        <f t="shared" ref="D92:F92" si="63">SUM(D90:D91)</f>
        <v>900</v>
      </c>
      <c r="E92" s="24">
        <f t="shared" si="63"/>
        <v>20179.32</v>
      </c>
      <c r="F92" s="24">
        <f t="shared" si="63"/>
        <v>900</v>
      </c>
      <c r="G92" s="24">
        <f>SUM(G90:G91)</f>
        <v>13834.69</v>
      </c>
      <c r="H92" s="24">
        <f t="shared" ref="H92:J92" si="64">SUM(H90:H91)</f>
        <v>7100</v>
      </c>
      <c r="I92" s="24">
        <f t="shared" si="64"/>
        <v>11119.97</v>
      </c>
      <c r="J92" s="24">
        <f t="shared" si="64"/>
        <v>10500</v>
      </c>
      <c r="K92" s="26"/>
      <c r="L92" s="24">
        <f t="shared" ref="L92:Q92" si="65">SUM(L90:L91)</f>
        <v>10500</v>
      </c>
      <c r="M92" s="24">
        <f t="shared" si="65"/>
        <v>10500</v>
      </c>
      <c r="N92" s="24">
        <f t="shared" si="65"/>
        <v>10500</v>
      </c>
      <c r="O92" s="24">
        <f t="shared" si="65"/>
        <v>10500</v>
      </c>
      <c r="P92" s="24">
        <f t="shared" si="65"/>
        <v>0</v>
      </c>
      <c r="Q92" s="24">
        <f t="shared" si="65"/>
        <v>0</v>
      </c>
    </row>
    <row r="93" spans="1:17" ht="13.8" x14ac:dyDescent="0.25">
      <c r="A93" s="169" t="s">
        <v>54</v>
      </c>
      <c r="B93" s="169"/>
      <c r="C93" s="169"/>
      <c r="D93" s="27"/>
      <c r="E93" s="30"/>
      <c r="F93" s="27"/>
      <c r="G93" s="30"/>
      <c r="H93" s="27"/>
      <c r="I93" s="27"/>
      <c r="J93" s="27"/>
      <c r="K93" s="29"/>
      <c r="L93" s="27"/>
      <c r="M93" s="27"/>
      <c r="N93" s="27"/>
      <c r="O93" s="27"/>
      <c r="P93" s="30"/>
      <c r="Q93" s="30"/>
    </row>
    <row r="94" spans="1:17" ht="13.8" x14ac:dyDescent="0.25">
      <c r="A94" s="50" t="s">
        <v>236</v>
      </c>
      <c r="B94" s="19" t="s">
        <v>114</v>
      </c>
      <c r="C94" s="20" t="s">
        <v>115</v>
      </c>
      <c r="D94" s="21">
        <v>100</v>
      </c>
      <c r="E94" s="21">
        <v>21578.78</v>
      </c>
      <c r="F94" s="21">
        <v>100</v>
      </c>
      <c r="G94" s="21">
        <v>23925.4</v>
      </c>
      <c r="H94" s="21">
        <v>100</v>
      </c>
      <c r="I94" s="21">
        <v>60630.17</v>
      </c>
      <c r="J94" s="21">
        <v>16000</v>
      </c>
      <c r="K94" s="23"/>
      <c r="L94" s="21">
        <v>16000</v>
      </c>
      <c r="M94" s="21">
        <v>16000</v>
      </c>
      <c r="N94" s="21">
        <v>16000</v>
      </c>
      <c r="O94" s="21">
        <v>16000</v>
      </c>
      <c r="P94" s="21">
        <f>+N94-J94</f>
        <v>0</v>
      </c>
      <c r="Q94" s="21">
        <f>+N94-O94</f>
        <v>0</v>
      </c>
    </row>
    <row r="95" spans="1:17" ht="13.8" x14ac:dyDescent="0.25">
      <c r="A95" s="177" t="s">
        <v>86</v>
      </c>
      <c r="B95" s="177"/>
      <c r="C95" s="177"/>
      <c r="D95" s="24">
        <f t="shared" ref="D95:F95" si="66">SUM(D94:D94)</f>
        <v>100</v>
      </c>
      <c r="E95" s="24">
        <f t="shared" si="66"/>
        <v>21578.78</v>
      </c>
      <c r="F95" s="24">
        <f t="shared" si="66"/>
        <v>100</v>
      </c>
      <c r="G95" s="24">
        <f>SUM(G94:G94)</f>
        <v>23925.4</v>
      </c>
      <c r="H95" s="24">
        <f t="shared" ref="H95:J95" si="67">SUM(H94:H94)</f>
        <v>100</v>
      </c>
      <c r="I95" s="24">
        <f t="shared" si="67"/>
        <v>60630.17</v>
      </c>
      <c r="J95" s="24">
        <f t="shared" si="67"/>
        <v>16000</v>
      </c>
      <c r="K95" s="26"/>
      <c r="L95" s="24">
        <f t="shared" ref="L95:Q95" si="68">SUM(L94:L94)</f>
        <v>16000</v>
      </c>
      <c r="M95" s="24">
        <f t="shared" si="68"/>
        <v>16000</v>
      </c>
      <c r="N95" s="24">
        <f t="shared" si="68"/>
        <v>16000</v>
      </c>
      <c r="O95" s="24">
        <f t="shared" si="68"/>
        <v>16000</v>
      </c>
      <c r="P95" s="24">
        <f t="shared" si="68"/>
        <v>0</v>
      </c>
      <c r="Q95" s="24">
        <f t="shared" si="68"/>
        <v>0</v>
      </c>
    </row>
    <row r="96" spans="1:17" ht="13.8" x14ac:dyDescent="0.25">
      <c r="A96" s="178" t="s">
        <v>237</v>
      </c>
      <c r="B96" s="178"/>
      <c r="C96" s="178"/>
      <c r="D96" s="40">
        <f t="shared" ref="D96" si="69">D75+D80+D85+D88+D92+D95</f>
        <v>244241</v>
      </c>
      <c r="E96" s="40">
        <f>E75+E80+E85+E88+E92+E95</f>
        <v>302309.20999999996</v>
      </c>
      <c r="F96" s="40">
        <f t="shared" ref="F96" si="70">F75+F80+F85+F88+F92+F95</f>
        <v>254401</v>
      </c>
      <c r="G96" s="40">
        <f>G75+G80+G85+G88+G92+G95</f>
        <v>334050.99000000005</v>
      </c>
      <c r="H96" s="40">
        <f t="shared" ref="H96:J96" si="71">H75+H80+H85+H88+H92+H95</f>
        <v>332917</v>
      </c>
      <c r="I96" s="40">
        <f t="shared" si="71"/>
        <v>443836.26999999996</v>
      </c>
      <c r="J96" s="40">
        <f t="shared" si="71"/>
        <v>410159</v>
      </c>
      <c r="K96" s="26"/>
      <c r="L96" s="40">
        <f t="shared" ref="L96:O96" si="72">L75+L80+L85+L88+L92+L95</f>
        <v>419260</v>
      </c>
      <c r="M96" s="40">
        <f t="shared" si="72"/>
        <v>419260</v>
      </c>
      <c r="N96" s="40">
        <f t="shared" si="72"/>
        <v>419260</v>
      </c>
      <c r="O96" s="40">
        <f t="shared" si="72"/>
        <v>419260</v>
      </c>
      <c r="P96" s="40">
        <f>P75+P80+P85+P88+P92+P95</f>
        <v>9101</v>
      </c>
      <c r="Q96" s="40">
        <f>Q75+Q80+Q85+Q88+Q92+Q95</f>
        <v>0</v>
      </c>
    </row>
    <row r="97" spans="1:17" ht="13.8" x14ac:dyDescent="0.25">
      <c r="A97" s="174" t="s">
        <v>238</v>
      </c>
      <c r="B97" s="174"/>
      <c r="C97" s="174"/>
      <c r="D97" s="27"/>
      <c r="E97" s="30"/>
      <c r="F97" s="27"/>
      <c r="G97" s="30"/>
      <c r="H97" s="27"/>
      <c r="I97" s="27"/>
      <c r="J97" s="27"/>
      <c r="K97" s="29"/>
      <c r="L97" s="27"/>
      <c r="M97" s="27"/>
      <c r="N97" s="27"/>
      <c r="O97" s="27"/>
      <c r="P97" s="30"/>
      <c r="Q97" s="30"/>
    </row>
    <row r="98" spans="1:17" ht="13.8" x14ac:dyDescent="0.25">
      <c r="A98" s="175" t="s">
        <v>11</v>
      </c>
      <c r="B98" s="175"/>
      <c r="C98" s="175"/>
      <c r="D98" s="27"/>
      <c r="E98" s="30"/>
      <c r="F98" s="27"/>
      <c r="G98" s="30"/>
      <c r="H98" s="27"/>
      <c r="I98" s="27"/>
      <c r="J98" s="27"/>
      <c r="K98" s="29"/>
      <c r="L98" s="27"/>
      <c r="M98" s="27"/>
      <c r="N98" s="27"/>
      <c r="O98" s="27"/>
      <c r="P98" s="30"/>
      <c r="Q98" s="30"/>
    </row>
    <row r="99" spans="1:17" ht="13.8" x14ac:dyDescent="0.25">
      <c r="A99" s="50" t="s">
        <v>239</v>
      </c>
      <c r="B99" s="19" t="s">
        <v>35</v>
      </c>
      <c r="C99" s="20" t="s">
        <v>36</v>
      </c>
      <c r="D99" s="21">
        <v>3154295</v>
      </c>
      <c r="E99" s="21">
        <v>2800739.07</v>
      </c>
      <c r="F99" s="21">
        <v>3331495</v>
      </c>
      <c r="G99" s="21">
        <v>2969734.06</v>
      </c>
      <c r="H99" s="21">
        <v>3592074</v>
      </c>
      <c r="I99" s="21">
        <v>3322320.61</v>
      </c>
      <c r="J99" s="21">
        <v>3724628</v>
      </c>
      <c r="K99" s="23"/>
      <c r="L99" s="21">
        <v>3813304</v>
      </c>
      <c r="M99" s="21">
        <v>3813304</v>
      </c>
      <c r="N99" s="21">
        <v>3813304</v>
      </c>
      <c r="O99" s="21">
        <v>3813304</v>
      </c>
      <c r="P99" s="21">
        <f>+N99-J99</f>
        <v>88676</v>
      </c>
      <c r="Q99" s="21">
        <f t="shared" ref="Q99:Q104" si="73">+N99-O99</f>
        <v>0</v>
      </c>
    </row>
    <row r="100" spans="1:17" ht="13.8" x14ac:dyDescent="0.25">
      <c r="A100" s="50" t="s">
        <v>239</v>
      </c>
      <c r="B100" s="19" t="s">
        <v>37</v>
      </c>
      <c r="C100" s="20" t="s">
        <v>38</v>
      </c>
      <c r="D100" s="21">
        <v>33270</v>
      </c>
      <c r="E100" s="21">
        <v>40179.440000000002</v>
      </c>
      <c r="F100" s="21">
        <v>35545</v>
      </c>
      <c r="G100" s="21">
        <v>41648.03</v>
      </c>
      <c r="H100" s="21">
        <v>38816</v>
      </c>
      <c r="I100" s="21">
        <v>29564.87</v>
      </c>
      <c r="J100" s="21">
        <v>38445</v>
      </c>
      <c r="K100" s="23"/>
      <c r="L100" s="21">
        <v>37253</v>
      </c>
      <c r="M100" s="21">
        <v>37253</v>
      </c>
      <c r="N100" s="21">
        <v>37253</v>
      </c>
      <c r="O100" s="21">
        <v>37253</v>
      </c>
      <c r="P100" s="21">
        <f t="shared" ref="P100:P104" si="74">+N100-J100</f>
        <v>-1192</v>
      </c>
      <c r="Q100" s="21">
        <f t="shared" si="73"/>
        <v>0</v>
      </c>
    </row>
    <row r="101" spans="1:17" ht="13.8" x14ac:dyDescent="0.25">
      <c r="A101" s="50" t="s">
        <v>239</v>
      </c>
      <c r="B101" s="19" t="s">
        <v>39</v>
      </c>
      <c r="C101" s="20" t="s">
        <v>40</v>
      </c>
      <c r="D101" s="21">
        <v>546826</v>
      </c>
      <c r="E101" s="21">
        <v>728805.75</v>
      </c>
      <c r="F101" s="21">
        <v>574364</v>
      </c>
      <c r="G101" s="21">
        <v>668809.91</v>
      </c>
      <c r="H101" s="21">
        <v>613582</v>
      </c>
      <c r="I101" s="21">
        <v>669684.86</v>
      </c>
      <c r="J101" s="21">
        <v>844784</v>
      </c>
      <c r="K101" s="23"/>
      <c r="L101" s="21">
        <v>844784</v>
      </c>
      <c r="M101" s="21">
        <v>844784</v>
      </c>
      <c r="N101" s="21">
        <v>844784</v>
      </c>
      <c r="O101" s="21">
        <v>844784</v>
      </c>
      <c r="P101" s="21">
        <f t="shared" si="74"/>
        <v>0</v>
      </c>
      <c r="Q101" s="21">
        <f t="shared" si="73"/>
        <v>0</v>
      </c>
    </row>
    <row r="102" spans="1:17" ht="13.8" x14ac:dyDescent="0.25">
      <c r="A102" s="50" t="s">
        <v>239</v>
      </c>
      <c r="B102" s="19" t="s">
        <v>222</v>
      </c>
      <c r="C102" s="20" t="s">
        <v>266</v>
      </c>
      <c r="D102" s="21">
        <v>0</v>
      </c>
      <c r="E102" s="21">
        <v>0</v>
      </c>
      <c r="F102" s="21">
        <v>0</v>
      </c>
      <c r="G102" s="21">
        <v>0</v>
      </c>
      <c r="H102" s="21">
        <v>41307</v>
      </c>
      <c r="I102" s="21">
        <v>55261.919999999998</v>
      </c>
      <c r="J102" s="21">
        <v>15681</v>
      </c>
      <c r="K102" s="23"/>
      <c r="L102" s="21">
        <v>16042</v>
      </c>
      <c r="M102" s="21">
        <v>16042</v>
      </c>
      <c r="N102" s="21">
        <v>16042</v>
      </c>
      <c r="O102" s="21">
        <v>16042</v>
      </c>
      <c r="P102" s="21">
        <f t="shared" si="74"/>
        <v>361</v>
      </c>
      <c r="Q102" s="21">
        <f t="shared" si="73"/>
        <v>0</v>
      </c>
    </row>
    <row r="103" spans="1:17" ht="14.25" customHeight="1" x14ac:dyDescent="0.25">
      <c r="A103" s="50" t="s">
        <v>239</v>
      </c>
      <c r="B103" s="19" t="s">
        <v>223</v>
      </c>
      <c r="C103" s="20" t="s">
        <v>224</v>
      </c>
      <c r="D103" s="21">
        <v>0</v>
      </c>
      <c r="E103" s="21">
        <v>0</v>
      </c>
      <c r="F103" s="21">
        <v>0</v>
      </c>
      <c r="G103" s="21">
        <v>0</v>
      </c>
      <c r="H103" s="21">
        <v>0</v>
      </c>
      <c r="I103" s="21">
        <v>0</v>
      </c>
      <c r="J103" s="21">
        <v>117603</v>
      </c>
      <c r="K103" s="23"/>
      <c r="L103" s="21">
        <v>120312</v>
      </c>
      <c r="M103" s="21">
        <v>120312</v>
      </c>
      <c r="N103" s="21">
        <v>120312</v>
      </c>
      <c r="O103" s="21">
        <v>120312</v>
      </c>
      <c r="P103" s="21">
        <f t="shared" si="74"/>
        <v>2709</v>
      </c>
      <c r="Q103" s="21">
        <f t="shared" si="73"/>
        <v>0</v>
      </c>
    </row>
    <row r="104" spans="1:17" ht="13.8" x14ac:dyDescent="0.25">
      <c r="A104" s="50" t="s">
        <v>239</v>
      </c>
      <c r="B104" s="19" t="s">
        <v>240</v>
      </c>
      <c r="C104" s="20" t="s">
        <v>241</v>
      </c>
      <c r="D104" s="21">
        <v>119320</v>
      </c>
      <c r="E104" s="21">
        <v>88036.49</v>
      </c>
      <c r="F104" s="21">
        <v>142885</v>
      </c>
      <c r="G104" s="21">
        <v>115229.05</v>
      </c>
      <c r="H104" s="21">
        <v>163480</v>
      </c>
      <c r="I104" s="21">
        <v>136703.93</v>
      </c>
      <c r="J104" s="21">
        <v>168532</v>
      </c>
      <c r="K104" s="23"/>
      <c r="L104" s="21">
        <v>185117</v>
      </c>
      <c r="M104" s="21">
        <v>185117</v>
      </c>
      <c r="N104" s="21">
        <v>185117</v>
      </c>
      <c r="O104" s="21">
        <v>185117</v>
      </c>
      <c r="P104" s="21">
        <f t="shared" si="74"/>
        <v>16585</v>
      </c>
      <c r="Q104" s="21">
        <f t="shared" si="73"/>
        <v>0</v>
      </c>
    </row>
    <row r="105" spans="1:17" ht="13.8" x14ac:dyDescent="0.25">
      <c r="A105" s="177" t="s">
        <v>74</v>
      </c>
      <c r="B105" s="177"/>
      <c r="C105" s="177"/>
      <c r="D105" s="24">
        <f>SUM(D99:D104)</f>
        <v>3853711</v>
      </c>
      <c r="E105" s="24">
        <f t="shared" ref="E105:F105" si="75">SUM(E99:E104)</f>
        <v>3657760.75</v>
      </c>
      <c r="F105" s="24">
        <f t="shared" si="75"/>
        <v>4084289</v>
      </c>
      <c r="G105" s="24">
        <f>SUM(G99:G104)</f>
        <v>3795421.05</v>
      </c>
      <c r="H105" s="24">
        <f t="shared" ref="H105:J105" si="76">SUM(H99:H104)</f>
        <v>4449259</v>
      </c>
      <c r="I105" s="24">
        <f t="shared" si="76"/>
        <v>4213536.1899999995</v>
      </c>
      <c r="J105" s="24">
        <f t="shared" si="76"/>
        <v>4909673</v>
      </c>
      <c r="K105" s="26"/>
      <c r="L105" s="24">
        <f>SUM(L99:L104)</f>
        <v>5016812</v>
      </c>
      <c r="M105" s="24">
        <f t="shared" ref="M105:N105" si="77">SUM(M99:M104)</f>
        <v>5016812</v>
      </c>
      <c r="N105" s="24">
        <f t="shared" si="77"/>
        <v>5016812</v>
      </c>
      <c r="O105" s="24">
        <f>SUM(O99:O104)</f>
        <v>5016812</v>
      </c>
      <c r="P105" s="24">
        <f t="shared" ref="P105:Q105" si="78">SUM(P99:P104)</f>
        <v>107139</v>
      </c>
      <c r="Q105" s="24">
        <f t="shared" si="78"/>
        <v>0</v>
      </c>
    </row>
    <row r="106" spans="1:17" ht="13.8" x14ac:dyDescent="0.25">
      <c r="A106" s="175" t="s">
        <v>14</v>
      </c>
      <c r="B106" s="175"/>
      <c r="C106" s="175"/>
      <c r="D106" s="27"/>
      <c r="E106" s="30"/>
      <c r="F106" s="27"/>
      <c r="G106" s="30"/>
      <c r="H106" s="27"/>
      <c r="I106" s="27"/>
      <c r="J106" s="27"/>
      <c r="K106" s="29"/>
      <c r="L106" s="27"/>
      <c r="M106" s="27"/>
      <c r="N106" s="27"/>
      <c r="O106" s="27"/>
      <c r="P106" s="30"/>
      <c r="Q106" s="30"/>
    </row>
    <row r="107" spans="1:17" ht="13.8" x14ac:dyDescent="0.25">
      <c r="A107" s="50" t="s">
        <v>239</v>
      </c>
      <c r="B107" s="19" t="s">
        <v>41</v>
      </c>
      <c r="C107" s="20" t="s">
        <v>242</v>
      </c>
      <c r="D107" s="21">
        <v>0</v>
      </c>
      <c r="E107" s="21">
        <v>0</v>
      </c>
      <c r="F107" s="21">
        <v>0</v>
      </c>
      <c r="G107" s="21">
        <v>-30</v>
      </c>
      <c r="H107" s="21">
        <v>0</v>
      </c>
      <c r="I107" s="21">
        <v>0</v>
      </c>
      <c r="J107" s="21">
        <v>0</v>
      </c>
      <c r="K107" s="23"/>
      <c r="L107" s="21">
        <v>0</v>
      </c>
      <c r="M107" s="21">
        <v>0</v>
      </c>
      <c r="N107" s="21">
        <v>0</v>
      </c>
      <c r="O107" s="21">
        <v>0</v>
      </c>
      <c r="P107" s="21">
        <v>0</v>
      </c>
      <c r="Q107" s="21">
        <v>0</v>
      </c>
    </row>
    <row r="108" spans="1:17" ht="13.8" x14ac:dyDescent="0.25">
      <c r="A108" s="50" t="s">
        <v>239</v>
      </c>
      <c r="B108" s="19" t="s">
        <v>15</v>
      </c>
      <c r="C108" s="20" t="s">
        <v>16</v>
      </c>
      <c r="D108" s="21">
        <v>2062</v>
      </c>
      <c r="E108" s="21">
        <v>2759.69</v>
      </c>
      <c r="F108" s="21">
        <v>2326</v>
      </c>
      <c r="G108" s="21">
        <v>0</v>
      </c>
      <c r="H108" s="21">
        <v>2407</v>
      </c>
      <c r="I108" s="21">
        <v>0</v>
      </c>
      <c r="J108" s="21">
        <v>2384</v>
      </c>
      <c r="K108" s="23"/>
      <c r="L108" s="21">
        <v>2443</v>
      </c>
      <c r="M108" s="21">
        <v>2443</v>
      </c>
      <c r="N108" s="21">
        <v>2443</v>
      </c>
      <c r="O108" s="21">
        <v>2443</v>
      </c>
      <c r="P108" s="21">
        <f>+N108-J108</f>
        <v>59</v>
      </c>
      <c r="Q108" s="21">
        <f>+N108-O108</f>
        <v>0</v>
      </c>
    </row>
    <row r="109" spans="1:17" ht="13.8" x14ac:dyDescent="0.25">
      <c r="A109" s="50" t="s">
        <v>239</v>
      </c>
      <c r="B109" s="19" t="s">
        <v>17</v>
      </c>
      <c r="C109" s="20" t="s">
        <v>18</v>
      </c>
      <c r="D109" s="21">
        <v>55834</v>
      </c>
      <c r="E109" s="21">
        <v>52463.8</v>
      </c>
      <c r="F109" s="21">
        <v>58660</v>
      </c>
      <c r="G109" s="21">
        <v>53143.13</v>
      </c>
      <c r="H109" s="21">
        <v>64362</v>
      </c>
      <c r="I109" s="21">
        <v>59105.37</v>
      </c>
      <c r="J109" s="21">
        <v>71242</v>
      </c>
      <c r="K109" s="23"/>
      <c r="L109" s="21">
        <v>72744</v>
      </c>
      <c r="M109" s="21">
        <v>72744</v>
      </c>
      <c r="N109" s="21">
        <v>72744</v>
      </c>
      <c r="O109" s="21">
        <v>72744</v>
      </c>
      <c r="P109" s="21">
        <f>+N109-J109</f>
        <v>1502</v>
      </c>
      <c r="Q109" s="21">
        <f>+N109-O109</f>
        <v>0</v>
      </c>
    </row>
    <row r="110" spans="1:17" ht="13.8" x14ac:dyDescent="0.25">
      <c r="A110" s="50" t="s">
        <v>239</v>
      </c>
      <c r="B110" s="19" t="s">
        <v>43</v>
      </c>
      <c r="C110" s="20" t="s">
        <v>44</v>
      </c>
      <c r="D110" s="21">
        <v>1293311</v>
      </c>
      <c r="E110" s="21">
        <v>1243442.77</v>
      </c>
      <c r="F110" s="21">
        <v>1257559</v>
      </c>
      <c r="G110" s="21">
        <v>1152789.8999999999</v>
      </c>
      <c r="H110" s="21">
        <v>1376287</v>
      </c>
      <c r="I110" s="21">
        <v>1294588.78</v>
      </c>
      <c r="J110" s="21">
        <v>1508270</v>
      </c>
      <c r="K110" s="23"/>
      <c r="L110" s="21">
        <v>1540509</v>
      </c>
      <c r="M110" s="21">
        <v>1540509</v>
      </c>
      <c r="N110" s="21">
        <v>1540509</v>
      </c>
      <c r="O110" s="21">
        <v>1540509</v>
      </c>
      <c r="P110" s="21">
        <f>+N110-J110</f>
        <v>32239</v>
      </c>
      <c r="Q110" s="21">
        <f>+N110-O110</f>
        <v>0</v>
      </c>
    </row>
    <row r="111" spans="1:17" ht="13.8" x14ac:dyDescent="0.25">
      <c r="A111" s="50" t="s">
        <v>239</v>
      </c>
      <c r="B111" s="19" t="s">
        <v>19</v>
      </c>
      <c r="C111" s="20" t="s">
        <v>20</v>
      </c>
      <c r="D111" s="21">
        <v>43628</v>
      </c>
      <c r="E111" s="21">
        <v>42175.24</v>
      </c>
      <c r="F111" s="21">
        <v>46204</v>
      </c>
      <c r="G111" s="21">
        <v>49092.62</v>
      </c>
      <c r="H111" s="21">
        <v>55172</v>
      </c>
      <c r="I111" s="21">
        <v>55171.74</v>
      </c>
      <c r="J111" s="21">
        <v>65187</v>
      </c>
      <c r="K111" s="23"/>
      <c r="L111" s="21">
        <v>64216</v>
      </c>
      <c r="M111" s="21">
        <v>64216</v>
      </c>
      <c r="N111" s="21">
        <v>64216</v>
      </c>
      <c r="O111" s="21">
        <v>64216</v>
      </c>
      <c r="P111" s="21">
        <f>+N111-J111</f>
        <v>-971</v>
      </c>
      <c r="Q111" s="21">
        <f>+N111-O111</f>
        <v>0</v>
      </c>
    </row>
    <row r="112" spans="1:17" ht="13.8" x14ac:dyDescent="0.25">
      <c r="A112" s="177" t="s">
        <v>75</v>
      </c>
      <c r="B112" s="177"/>
      <c r="C112" s="177"/>
      <c r="D112" s="24">
        <f t="shared" ref="D112" si="79">SUM(D107:D111)</f>
        <v>1394835</v>
      </c>
      <c r="E112" s="24">
        <f>SUM(E107:E111)</f>
        <v>1340841.5</v>
      </c>
      <c r="F112" s="24">
        <f t="shared" ref="F112" si="80">SUM(F107:F111)</f>
        <v>1364749</v>
      </c>
      <c r="G112" s="24">
        <f>SUM(G107:G111)</f>
        <v>1254995.6499999999</v>
      </c>
      <c r="H112" s="24">
        <f t="shared" ref="H112:J112" si="81">SUM(H107:H111)</f>
        <v>1498228</v>
      </c>
      <c r="I112" s="24">
        <f t="shared" si="81"/>
        <v>1408865.8900000001</v>
      </c>
      <c r="J112" s="24">
        <f t="shared" si="81"/>
        <v>1647083</v>
      </c>
      <c r="K112" s="26"/>
      <c r="L112" s="24">
        <f t="shared" ref="L112:O112" si="82">SUM(L107:L111)</f>
        <v>1679912</v>
      </c>
      <c r="M112" s="24">
        <f t="shared" si="82"/>
        <v>1679912</v>
      </c>
      <c r="N112" s="24">
        <f t="shared" si="82"/>
        <v>1679912</v>
      </c>
      <c r="O112" s="24">
        <f t="shared" si="82"/>
        <v>1679912</v>
      </c>
      <c r="P112" s="24">
        <f>SUM(P107:P111)</f>
        <v>32829</v>
      </c>
      <c r="Q112" s="24">
        <f>SUM(Q107:Q111)</f>
        <v>0</v>
      </c>
    </row>
    <row r="113" spans="1:17" ht="13.8" x14ac:dyDescent="0.25">
      <c r="A113" s="175" t="s">
        <v>21</v>
      </c>
      <c r="B113" s="175"/>
      <c r="C113" s="175"/>
      <c r="D113" s="27"/>
      <c r="E113" s="30"/>
      <c r="F113" s="27"/>
      <c r="G113" s="30"/>
      <c r="H113" s="27"/>
      <c r="I113" s="27"/>
      <c r="J113" s="27"/>
      <c r="K113" s="29"/>
      <c r="L113" s="27"/>
      <c r="M113" s="27"/>
      <c r="N113" s="27"/>
      <c r="O113" s="27"/>
      <c r="P113" s="30"/>
      <c r="Q113" s="30"/>
    </row>
    <row r="114" spans="1:17" ht="13.8" x14ac:dyDescent="0.25">
      <c r="A114" s="50" t="s">
        <v>239</v>
      </c>
      <c r="B114" s="19" t="s">
        <v>225</v>
      </c>
      <c r="C114" s="20" t="s">
        <v>226</v>
      </c>
      <c r="D114" s="21">
        <v>90000</v>
      </c>
      <c r="E114" s="21">
        <v>126170.96</v>
      </c>
      <c r="F114" s="21">
        <v>90000</v>
      </c>
      <c r="G114" s="21">
        <v>106960.8</v>
      </c>
      <c r="H114" s="21">
        <v>90000</v>
      </c>
      <c r="I114" s="21">
        <v>98249.94</v>
      </c>
      <c r="J114" s="21">
        <v>90000</v>
      </c>
      <c r="K114" s="23"/>
      <c r="L114" s="21">
        <v>90000</v>
      </c>
      <c r="M114" s="21">
        <v>90000</v>
      </c>
      <c r="N114" s="21">
        <v>90000</v>
      </c>
      <c r="O114" s="21">
        <v>90000</v>
      </c>
      <c r="P114" s="21">
        <f>+N114-J114</f>
        <v>0</v>
      </c>
      <c r="Q114" s="21">
        <f>+N114-O114</f>
        <v>0</v>
      </c>
    </row>
    <row r="115" spans="1:17" ht="13.8" x14ac:dyDescent="0.25">
      <c r="A115" s="50" t="s">
        <v>239</v>
      </c>
      <c r="B115" s="19" t="s">
        <v>243</v>
      </c>
      <c r="C115" s="20" t="s">
        <v>244</v>
      </c>
      <c r="D115" s="21">
        <v>6500</v>
      </c>
      <c r="E115" s="21">
        <v>11079.6</v>
      </c>
      <c r="F115" s="21">
        <v>6500</v>
      </c>
      <c r="G115" s="21">
        <v>22078.51</v>
      </c>
      <c r="H115" s="21">
        <v>6500</v>
      </c>
      <c r="I115" s="21">
        <v>11114.26</v>
      </c>
      <c r="J115" s="21">
        <v>6500</v>
      </c>
      <c r="K115" s="23"/>
      <c r="L115" s="21">
        <v>6500</v>
      </c>
      <c r="M115" s="21">
        <v>6500</v>
      </c>
      <c r="N115" s="21">
        <v>6500</v>
      </c>
      <c r="O115" s="21">
        <v>6500</v>
      </c>
      <c r="P115" s="21">
        <f>+N115-J115</f>
        <v>0</v>
      </c>
      <c r="Q115" s="21">
        <f>+N115-O115</f>
        <v>0</v>
      </c>
    </row>
    <row r="116" spans="1:17" ht="13.8" x14ac:dyDescent="0.25">
      <c r="A116" s="50" t="s">
        <v>239</v>
      </c>
      <c r="B116" s="19" t="s">
        <v>111</v>
      </c>
      <c r="C116" s="20" t="s">
        <v>112</v>
      </c>
      <c r="D116" s="21">
        <v>5100</v>
      </c>
      <c r="E116" s="21">
        <v>0</v>
      </c>
      <c r="F116" s="21">
        <v>0</v>
      </c>
      <c r="G116" s="21">
        <v>0</v>
      </c>
      <c r="H116" s="21">
        <v>0</v>
      </c>
      <c r="I116" s="21">
        <v>0</v>
      </c>
      <c r="J116" s="21">
        <v>0</v>
      </c>
      <c r="K116" s="23"/>
      <c r="L116" s="21">
        <v>0</v>
      </c>
      <c r="M116" s="21">
        <v>0</v>
      </c>
      <c r="N116" s="21">
        <v>0</v>
      </c>
      <c r="O116" s="21">
        <v>0</v>
      </c>
      <c r="P116" s="21">
        <f>+N116-J116</f>
        <v>0</v>
      </c>
      <c r="Q116" s="21">
        <f>+N116-O116</f>
        <v>0</v>
      </c>
    </row>
    <row r="117" spans="1:17" ht="13.8" x14ac:dyDescent="0.25">
      <c r="A117" s="176" t="s">
        <v>76</v>
      </c>
      <c r="B117" s="176"/>
      <c r="C117" s="176"/>
      <c r="D117" s="24">
        <f t="shared" ref="D117" si="83">SUM(D114:D116)</f>
        <v>101600</v>
      </c>
      <c r="E117" s="24">
        <f>SUM(E114:E116)</f>
        <v>137250.56</v>
      </c>
      <c r="F117" s="24">
        <f t="shared" ref="F117" si="84">SUM(F114:F116)</f>
        <v>96500</v>
      </c>
      <c r="G117" s="24">
        <f>SUM(G114:G116)</f>
        <v>129039.31</v>
      </c>
      <c r="H117" s="24">
        <f t="shared" ref="H117:J117" si="85">SUM(H114:H116)</f>
        <v>96500</v>
      </c>
      <c r="I117" s="24">
        <f t="shared" si="85"/>
        <v>109364.2</v>
      </c>
      <c r="J117" s="24">
        <f t="shared" si="85"/>
        <v>96500</v>
      </c>
      <c r="K117" s="26"/>
      <c r="L117" s="24">
        <f t="shared" ref="L117:O117" si="86">SUM(L114:L116)</f>
        <v>96500</v>
      </c>
      <c r="M117" s="24">
        <f t="shared" si="86"/>
        <v>96500</v>
      </c>
      <c r="N117" s="24">
        <f t="shared" si="86"/>
        <v>96500</v>
      </c>
      <c r="O117" s="24">
        <f t="shared" si="86"/>
        <v>96500</v>
      </c>
      <c r="P117" s="24">
        <f>SUM(P114:P116)</f>
        <v>0</v>
      </c>
      <c r="Q117" s="24">
        <f>SUM(Q114:Q116)</f>
        <v>0</v>
      </c>
    </row>
    <row r="118" spans="1:17" ht="13.8" x14ac:dyDescent="0.25">
      <c r="A118" s="169" t="s">
        <v>30</v>
      </c>
      <c r="B118" s="169"/>
      <c r="C118" s="169"/>
      <c r="D118" s="27"/>
      <c r="E118" s="30"/>
      <c r="F118" s="27"/>
      <c r="G118" s="30"/>
      <c r="H118" s="27"/>
      <c r="I118" s="27"/>
      <c r="J118" s="27"/>
      <c r="K118" s="29"/>
      <c r="L118" s="27"/>
      <c r="M118" s="27"/>
      <c r="N118" s="27"/>
      <c r="O118" s="27"/>
      <c r="P118" s="30"/>
      <c r="Q118" s="30"/>
    </row>
    <row r="119" spans="1:17" ht="13.8" x14ac:dyDescent="0.25">
      <c r="A119" s="50" t="s">
        <v>239</v>
      </c>
      <c r="B119" s="19" t="s">
        <v>245</v>
      </c>
      <c r="C119" s="20" t="s">
        <v>246</v>
      </c>
      <c r="D119" s="21">
        <v>2935</v>
      </c>
      <c r="E119" s="21">
        <v>6859.84</v>
      </c>
      <c r="F119" s="21">
        <v>2935</v>
      </c>
      <c r="G119" s="21">
        <v>4995.8999999999996</v>
      </c>
      <c r="H119" s="21">
        <v>2935</v>
      </c>
      <c r="I119" s="21">
        <v>13122.99</v>
      </c>
      <c r="J119" s="21">
        <v>10000</v>
      </c>
      <c r="K119" s="23"/>
      <c r="L119" s="21">
        <v>10000</v>
      </c>
      <c r="M119" s="21">
        <v>10000</v>
      </c>
      <c r="N119" s="21">
        <v>10000</v>
      </c>
      <c r="O119" s="21">
        <v>10000</v>
      </c>
      <c r="P119" s="21">
        <f>+N119-J119</f>
        <v>0</v>
      </c>
      <c r="Q119" s="21">
        <f>+N119-O119</f>
        <v>0</v>
      </c>
    </row>
    <row r="120" spans="1:17" ht="13.8" x14ac:dyDescent="0.25">
      <c r="A120" s="50" t="s">
        <v>239</v>
      </c>
      <c r="B120" s="19" t="s">
        <v>170</v>
      </c>
      <c r="C120" s="20" t="s">
        <v>171</v>
      </c>
      <c r="D120" s="21">
        <v>0</v>
      </c>
      <c r="E120" s="21">
        <v>0</v>
      </c>
      <c r="F120" s="21">
        <v>0</v>
      </c>
      <c r="G120" s="21">
        <v>0</v>
      </c>
      <c r="H120" s="21">
        <v>0</v>
      </c>
      <c r="I120" s="21">
        <v>4825</v>
      </c>
      <c r="J120" s="21">
        <v>0</v>
      </c>
      <c r="K120" s="23"/>
      <c r="L120" s="21">
        <v>0</v>
      </c>
      <c r="M120" s="21">
        <v>0</v>
      </c>
      <c r="N120" s="21">
        <v>0</v>
      </c>
      <c r="O120" s="21">
        <v>0</v>
      </c>
      <c r="P120" s="21"/>
      <c r="Q120" s="21"/>
    </row>
    <row r="121" spans="1:17" ht="13.8" x14ac:dyDescent="0.25">
      <c r="A121" s="177" t="s">
        <v>77</v>
      </c>
      <c r="B121" s="177"/>
      <c r="C121" s="177"/>
      <c r="D121" s="24">
        <f t="shared" ref="D121" si="87">SUM(D119:D119)</f>
        <v>2935</v>
      </c>
      <c r="E121" s="24">
        <f>SUM(E119:E119)</f>
        <v>6859.84</v>
      </c>
      <c r="F121" s="24">
        <f t="shared" ref="F121" si="88">SUM(F119:F119)</f>
        <v>2935</v>
      </c>
      <c r="G121" s="24">
        <f>SUM(G119:G119)</f>
        <v>4995.8999999999996</v>
      </c>
      <c r="H121" s="24">
        <f t="shared" ref="H121" si="89">SUM(H119:H119)</f>
        <v>2935</v>
      </c>
      <c r="I121" s="24">
        <f>SUM(I119:I120)</f>
        <v>17947.989999999998</v>
      </c>
      <c r="J121" s="24">
        <f t="shared" ref="J121" si="90">SUM(J119:J119)</f>
        <v>10000</v>
      </c>
      <c r="K121" s="26"/>
      <c r="L121" s="24">
        <f t="shared" ref="L121:O121" si="91">SUM(L119:L119)</f>
        <v>10000</v>
      </c>
      <c r="M121" s="24">
        <f t="shared" si="91"/>
        <v>10000</v>
      </c>
      <c r="N121" s="24">
        <f t="shared" si="91"/>
        <v>10000</v>
      </c>
      <c r="O121" s="24">
        <f t="shared" si="91"/>
        <v>10000</v>
      </c>
      <c r="P121" s="24">
        <f>SUM(P119:P119)</f>
        <v>0</v>
      </c>
      <c r="Q121" s="24">
        <f>SUM(Q119:Q119)</f>
        <v>0</v>
      </c>
    </row>
    <row r="122" spans="1:17" ht="13.8" x14ac:dyDescent="0.25">
      <c r="A122" s="169" t="s">
        <v>54</v>
      </c>
      <c r="B122" s="169"/>
      <c r="C122" s="169"/>
      <c r="D122" s="27"/>
      <c r="E122" s="30"/>
      <c r="F122" s="27"/>
      <c r="G122" s="30"/>
      <c r="H122" s="27"/>
      <c r="I122" s="27"/>
      <c r="J122" s="27"/>
      <c r="K122" s="29"/>
      <c r="L122" s="27"/>
      <c r="M122" s="27"/>
      <c r="N122" s="27"/>
      <c r="O122" s="27"/>
      <c r="P122" s="30"/>
      <c r="Q122" s="30"/>
    </row>
    <row r="123" spans="1:17" ht="13.8" x14ac:dyDescent="0.25">
      <c r="A123" s="50" t="s">
        <v>239</v>
      </c>
      <c r="B123" s="19" t="s">
        <v>114</v>
      </c>
      <c r="C123" s="20" t="s">
        <v>115</v>
      </c>
      <c r="D123" s="21">
        <v>32177</v>
      </c>
      <c r="E123" s="21">
        <v>0</v>
      </c>
      <c r="F123" s="21">
        <v>32177</v>
      </c>
      <c r="G123" s="21">
        <v>0</v>
      </c>
      <c r="H123" s="21">
        <v>32177</v>
      </c>
      <c r="I123" s="21">
        <v>235640.25</v>
      </c>
      <c r="J123" s="21">
        <v>0</v>
      </c>
      <c r="K123" s="23"/>
      <c r="L123" s="21">
        <v>0</v>
      </c>
      <c r="M123" s="21">
        <v>0</v>
      </c>
      <c r="N123" s="21">
        <v>0</v>
      </c>
      <c r="O123" s="21">
        <v>0</v>
      </c>
      <c r="P123" s="21">
        <f>+N123-J123</f>
        <v>0</v>
      </c>
      <c r="Q123" s="21">
        <f>+N123-O123</f>
        <v>0</v>
      </c>
    </row>
    <row r="124" spans="1:17" ht="13.8" x14ac:dyDescent="0.25">
      <c r="A124" s="50" t="s">
        <v>239</v>
      </c>
      <c r="B124" s="19" t="s">
        <v>247</v>
      </c>
      <c r="C124" s="20" t="s">
        <v>248</v>
      </c>
      <c r="D124" s="21">
        <v>0</v>
      </c>
      <c r="E124" s="21">
        <v>0</v>
      </c>
      <c r="F124" s="21">
        <v>0</v>
      </c>
      <c r="G124" s="21">
        <v>21435.75</v>
      </c>
      <c r="H124" s="21">
        <v>0</v>
      </c>
      <c r="I124" s="21"/>
      <c r="J124" s="21">
        <v>0</v>
      </c>
      <c r="K124" s="23"/>
      <c r="L124" s="21">
        <v>0</v>
      </c>
      <c r="M124" s="21">
        <v>0</v>
      </c>
      <c r="N124" s="21">
        <v>0</v>
      </c>
      <c r="O124" s="21">
        <v>0</v>
      </c>
      <c r="P124" s="21">
        <f>+N124-J124</f>
        <v>0</v>
      </c>
      <c r="Q124" s="21">
        <f>+N124-O124</f>
        <v>0</v>
      </c>
    </row>
    <row r="125" spans="1:17" ht="13.8" x14ac:dyDescent="0.25">
      <c r="A125" s="177" t="s">
        <v>86</v>
      </c>
      <c r="B125" s="177"/>
      <c r="C125" s="177"/>
      <c r="D125" s="24">
        <f t="shared" ref="D125" si="92">SUM(D123:D124)</f>
        <v>32177</v>
      </c>
      <c r="E125" s="24">
        <f>SUM(E123:E124)</f>
        <v>0</v>
      </c>
      <c r="F125" s="24">
        <f t="shared" ref="F125" si="93">SUM(F123:F124)</f>
        <v>32177</v>
      </c>
      <c r="G125" s="24">
        <f>SUM(G123:G123)</f>
        <v>0</v>
      </c>
      <c r="H125" s="24">
        <f t="shared" ref="H125:J125" si="94">SUM(H123:H124)</f>
        <v>32177</v>
      </c>
      <c r="I125" s="24">
        <f t="shared" si="94"/>
        <v>235640.25</v>
      </c>
      <c r="J125" s="24">
        <f t="shared" si="94"/>
        <v>0</v>
      </c>
      <c r="K125" s="26"/>
      <c r="L125" s="24">
        <f t="shared" ref="L125:O125" si="95">SUM(L123:L124)</f>
        <v>0</v>
      </c>
      <c r="M125" s="24">
        <f t="shared" si="95"/>
        <v>0</v>
      </c>
      <c r="N125" s="24">
        <f t="shared" si="95"/>
        <v>0</v>
      </c>
      <c r="O125" s="24">
        <f t="shared" si="95"/>
        <v>0</v>
      </c>
      <c r="P125" s="24">
        <f>SUM(P123:P124)</f>
        <v>0</v>
      </c>
      <c r="Q125" s="24">
        <f>SUM(Q123:Q124)</f>
        <v>0</v>
      </c>
    </row>
    <row r="126" spans="1:17" ht="13.8" x14ac:dyDescent="0.25">
      <c r="A126" s="178" t="s">
        <v>249</v>
      </c>
      <c r="B126" s="178"/>
      <c r="C126" s="178"/>
      <c r="D126" s="40">
        <f t="shared" ref="D126" si="96">D105+D112+D117+D121+D125</f>
        <v>5385258</v>
      </c>
      <c r="E126" s="40">
        <f>E105+E112+E117+E121+E125</f>
        <v>5142712.6499999994</v>
      </c>
      <c r="F126" s="40">
        <f t="shared" ref="F126" si="97">F105+F112+F117+F121+F125</f>
        <v>5580650</v>
      </c>
      <c r="G126" s="40">
        <f>G105+G112+G117+G121+G125</f>
        <v>5184451.9099999992</v>
      </c>
      <c r="H126" s="40">
        <f t="shared" ref="H126:J126" si="98">H105+H112+H117+H121+H125</f>
        <v>6079099</v>
      </c>
      <c r="I126" s="40">
        <f t="shared" si="98"/>
        <v>5985354.5200000005</v>
      </c>
      <c r="J126" s="40">
        <f t="shared" si="98"/>
        <v>6663256</v>
      </c>
      <c r="K126" s="26"/>
      <c r="L126" s="40">
        <f t="shared" ref="L126:O126" si="99">L105+L112+L117+L121+L125</f>
        <v>6803224</v>
      </c>
      <c r="M126" s="40">
        <f t="shared" si="99"/>
        <v>6803224</v>
      </c>
      <c r="N126" s="40">
        <f t="shared" si="99"/>
        <v>6803224</v>
      </c>
      <c r="O126" s="40">
        <f t="shared" si="99"/>
        <v>6803224</v>
      </c>
      <c r="P126" s="40">
        <f>P105+P112+P117+P121+P125</f>
        <v>139968</v>
      </c>
      <c r="Q126" s="40">
        <f>Q105+Q112+Q117+Q121+Q125</f>
        <v>0</v>
      </c>
    </row>
    <row r="127" spans="1:17" ht="13.8" x14ac:dyDescent="0.25">
      <c r="A127" s="174" t="s">
        <v>250</v>
      </c>
      <c r="B127" s="174"/>
      <c r="C127" s="174"/>
      <c r="D127" s="27"/>
      <c r="E127" s="30"/>
      <c r="F127" s="27"/>
      <c r="G127" s="30"/>
      <c r="H127" s="27"/>
      <c r="I127" s="27"/>
      <c r="J127" s="27"/>
      <c r="K127" s="29"/>
      <c r="L127" s="27"/>
      <c r="M127" s="27"/>
      <c r="N127" s="27"/>
      <c r="O127" s="27"/>
      <c r="P127" s="30"/>
      <c r="Q127" s="30"/>
    </row>
    <row r="128" spans="1:17" ht="13.8" x14ac:dyDescent="0.25">
      <c r="A128" s="175" t="s">
        <v>11</v>
      </c>
      <c r="B128" s="175"/>
      <c r="C128" s="175"/>
      <c r="D128" s="27"/>
      <c r="E128" s="30"/>
      <c r="F128" s="27"/>
      <c r="G128" s="30"/>
      <c r="H128" s="27"/>
      <c r="I128" s="27"/>
      <c r="J128" s="27"/>
      <c r="K128" s="29"/>
      <c r="L128" s="27"/>
      <c r="M128" s="27"/>
      <c r="N128" s="27"/>
      <c r="O128" s="27"/>
      <c r="P128" s="30"/>
      <c r="Q128" s="30"/>
    </row>
    <row r="129" spans="1:17" ht="13.8" x14ac:dyDescent="0.25">
      <c r="A129" s="50" t="s">
        <v>251</v>
      </c>
      <c r="B129" s="19" t="s">
        <v>35</v>
      </c>
      <c r="C129" s="20" t="s">
        <v>36</v>
      </c>
      <c r="D129" s="21">
        <v>605177</v>
      </c>
      <c r="E129" s="21">
        <v>576188.18999999994</v>
      </c>
      <c r="F129" s="21">
        <v>601574</v>
      </c>
      <c r="G129" s="21">
        <v>581559.09</v>
      </c>
      <c r="H129" s="21">
        <v>632468</v>
      </c>
      <c r="I129" s="21">
        <v>573343.4</v>
      </c>
      <c r="J129" s="21">
        <v>597152</v>
      </c>
      <c r="K129" s="23"/>
      <c r="L129" s="21">
        <v>608749</v>
      </c>
      <c r="M129" s="21">
        <v>608749</v>
      </c>
      <c r="N129" s="21">
        <v>608749</v>
      </c>
      <c r="O129" s="21">
        <v>608749</v>
      </c>
      <c r="P129" s="21">
        <f>+N129-J129</f>
        <v>11597</v>
      </c>
      <c r="Q129" s="21">
        <f>+N129-O129</f>
        <v>0</v>
      </c>
    </row>
    <row r="130" spans="1:17" ht="13.8" x14ac:dyDescent="0.25">
      <c r="A130" s="50" t="s">
        <v>251</v>
      </c>
      <c r="B130" s="19" t="s">
        <v>37</v>
      </c>
      <c r="C130" s="20" t="s">
        <v>38</v>
      </c>
      <c r="D130" s="21">
        <v>148125</v>
      </c>
      <c r="E130" s="21">
        <v>96536.67</v>
      </c>
      <c r="F130" s="21">
        <v>149663</v>
      </c>
      <c r="G130" s="21">
        <v>110627.68</v>
      </c>
      <c r="H130" s="21">
        <v>187989</v>
      </c>
      <c r="I130" s="21">
        <v>103777.60000000001</v>
      </c>
      <c r="J130" s="21">
        <v>195397</v>
      </c>
      <c r="K130" s="23"/>
      <c r="L130" s="21">
        <v>202482</v>
      </c>
      <c r="M130" s="21">
        <v>202482</v>
      </c>
      <c r="N130" s="21">
        <v>202482</v>
      </c>
      <c r="O130" s="21">
        <v>202482</v>
      </c>
      <c r="P130" s="21">
        <f>+N130-J130</f>
        <v>7085</v>
      </c>
      <c r="Q130" s="21">
        <f>+N130-O130</f>
        <v>0</v>
      </c>
    </row>
    <row r="131" spans="1:17" ht="13.8" x14ac:dyDescent="0.25">
      <c r="A131" s="50" t="s">
        <v>251</v>
      </c>
      <c r="B131" s="19" t="s">
        <v>39</v>
      </c>
      <c r="C131" s="20" t="s">
        <v>40</v>
      </c>
      <c r="D131" s="21">
        <v>80497</v>
      </c>
      <c r="E131" s="21">
        <v>162664.89000000001</v>
      </c>
      <c r="F131" s="21">
        <v>94225</v>
      </c>
      <c r="G131" s="21">
        <v>128939.11</v>
      </c>
      <c r="H131" s="21">
        <v>112542</v>
      </c>
      <c r="I131" s="21">
        <v>72740.75</v>
      </c>
      <c r="J131" s="21">
        <v>112542</v>
      </c>
      <c r="K131" s="23"/>
      <c r="L131" s="21">
        <v>112542</v>
      </c>
      <c r="M131" s="21">
        <v>112542</v>
      </c>
      <c r="N131" s="21">
        <v>112542</v>
      </c>
      <c r="O131" s="21">
        <v>112542</v>
      </c>
      <c r="P131" s="21">
        <f>+N131-J131</f>
        <v>0</v>
      </c>
      <c r="Q131" s="21">
        <f>+N131-O131</f>
        <v>0</v>
      </c>
    </row>
    <row r="132" spans="1:17" ht="14.25" customHeight="1" x14ac:dyDescent="0.25">
      <c r="A132" s="50" t="s">
        <v>251</v>
      </c>
      <c r="B132" s="19" t="s">
        <v>222</v>
      </c>
      <c r="C132" s="20" t="s">
        <v>266</v>
      </c>
      <c r="D132" s="21">
        <v>0</v>
      </c>
      <c r="E132" s="21">
        <v>0</v>
      </c>
      <c r="F132" s="21">
        <v>0</v>
      </c>
      <c r="G132" s="21">
        <v>0</v>
      </c>
      <c r="H132" s="21">
        <v>0</v>
      </c>
      <c r="I132" s="21">
        <v>0</v>
      </c>
      <c r="J132" s="21">
        <v>2484</v>
      </c>
      <c r="K132" s="23"/>
      <c r="L132" s="21">
        <v>2545</v>
      </c>
      <c r="M132" s="21">
        <v>2545</v>
      </c>
      <c r="N132" s="21">
        <v>2545</v>
      </c>
      <c r="O132" s="21">
        <v>2545</v>
      </c>
      <c r="P132" s="21">
        <f>+N132-J132</f>
        <v>61</v>
      </c>
      <c r="Q132" s="21">
        <f t="shared" ref="Q132" si="100">+N132-O132</f>
        <v>0</v>
      </c>
    </row>
    <row r="133" spans="1:17" ht="13.8" x14ac:dyDescent="0.25">
      <c r="A133" s="50" t="s">
        <v>251</v>
      </c>
      <c r="B133" s="19" t="s">
        <v>240</v>
      </c>
      <c r="C133" s="20" t="s">
        <v>241</v>
      </c>
      <c r="D133" s="21">
        <v>32026</v>
      </c>
      <c r="E133" s="21">
        <v>14420.01</v>
      </c>
      <c r="F133" s="21">
        <v>33373</v>
      </c>
      <c r="G133" s="21">
        <v>18708.88</v>
      </c>
      <c r="H133" s="21">
        <v>42012</v>
      </c>
      <c r="I133" s="21">
        <v>22678.61</v>
      </c>
      <c r="J133" s="21">
        <v>40840</v>
      </c>
      <c r="K133" s="23"/>
      <c r="L133" s="21">
        <v>41839</v>
      </c>
      <c r="M133" s="21">
        <v>41839</v>
      </c>
      <c r="N133" s="21">
        <v>41839</v>
      </c>
      <c r="O133" s="21">
        <v>41839</v>
      </c>
      <c r="P133" s="21">
        <f>+N133-J133</f>
        <v>999</v>
      </c>
      <c r="Q133" s="21">
        <f>+N133-O133</f>
        <v>0</v>
      </c>
    </row>
    <row r="134" spans="1:17" ht="13.8" x14ac:dyDescent="0.25">
      <c r="A134" s="177" t="s">
        <v>74</v>
      </c>
      <c r="B134" s="177"/>
      <c r="C134" s="177"/>
      <c r="D134" s="24">
        <f t="shared" ref="D134" si="101">SUM(D129:D133)</f>
        <v>865825</v>
      </c>
      <c r="E134" s="24">
        <f>SUM(E129:E133)</f>
        <v>849809.76</v>
      </c>
      <c r="F134" s="24">
        <f t="shared" ref="F134" si="102">SUM(F129:F133)</f>
        <v>878835</v>
      </c>
      <c r="G134" s="24">
        <f>SUM(G129:G133)</f>
        <v>839834.76</v>
      </c>
      <c r="H134" s="24">
        <f t="shared" ref="H134:J134" si="103">SUM(H129:H133)</f>
        <v>975011</v>
      </c>
      <c r="I134" s="24">
        <f t="shared" si="103"/>
        <v>772540.36</v>
      </c>
      <c r="J134" s="24">
        <f t="shared" si="103"/>
        <v>948415</v>
      </c>
      <c r="K134" s="26"/>
      <c r="L134" s="24">
        <f t="shared" ref="L134:N134" si="104">SUM(L129:L133)</f>
        <v>968157</v>
      </c>
      <c r="M134" s="24">
        <f t="shared" si="104"/>
        <v>968157</v>
      </c>
      <c r="N134" s="24">
        <f t="shared" si="104"/>
        <v>968157</v>
      </c>
      <c r="O134" s="24">
        <f>SUM(O129:O133)</f>
        <v>968157</v>
      </c>
      <c r="P134" s="24">
        <f>SUM(P129:P133)</f>
        <v>19742</v>
      </c>
      <c r="Q134" s="24">
        <f>SUM(Q129:Q133)</f>
        <v>0</v>
      </c>
    </row>
    <row r="135" spans="1:17" ht="13.8" x14ac:dyDescent="0.25">
      <c r="A135" s="175" t="s">
        <v>14</v>
      </c>
      <c r="B135" s="175"/>
      <c r="C135" s="175"/>
      <c r="D135" s="27"/>
      <c r="E135" s="30"/>
      <c r="F135" s="27"/>
      <c r="G135" s="30"/>
      <c r="H135" s="27"/>
      <c r="I135" s="27"/>
      <c r="J135" s="27"/>
      <c r="K135" s="29"/>
      <c r="L135" s="27"/>
      <c r="M135" s="27"/>
      <c r="N135" s="27"/>
      <c r="O135" s="27"/>
      <c r="P135" s="30"/>
      <c r="Q135" s="30"/>
    </row>
    <row r="136" spans="1:17" ht="13.8" x14ac:dyDescent="0.25">
      <c r="A136" s="50" t="s">
        <v>251</v>
      </c>
      <c r="B136" s="19" t="s">
        <v>15</v>
      </c>
      <c r="C136" s="20" t="s">
        <v>16</v>
      </c>
      <c r="D136" s="21">
        <v>53682</v>
      </c>
      <c r="E136" s="21">
        <v>47559.91</v>
      </c>
      <c r="F136" s="21">
        <v>54384</v>
      </c>
      <c r="G136" s="21">
        <v>42958.1</v>
      </c>
      <c r="H136" s="21">
        <v>60451</v>
      </c>
      <c r="I136" s="21">
        <v>40742.68</v>
      </c>
      <c r="J136" s="21">
        <v>58971</v>
      </c>
      <c r="K136" s="23"/>
      <c r="L136" s="21">
        <v>60191</v>
      </c>
      <c r="M136" s="21">
        <v>60191</v>
      </c>
      <c r="N136" s="21">
        <v>60191</v>
      </c>
      <c r="O136" s="21">
        <v>60191</v>
      </c>
      <c r="P136" s="21">
        <f>+N136-J136</f>
        <v>1220</v>
      </c>
      <c r="Q136" s="21">
        <f>+N136-O136</f>
        <v>0</v>
      </c>
    </row>
    <row r="137" spans="1:17" ht="13.8" x14ac:dyDescent="0.25">
      <c r="A137" s="50" t="s">
        <v>251</v>
      </c>
      <c r="B137" s="19" t="s">
        <v>17</v>
      </c>
      <c r="C137" s="20" t="s">
        <v>18</v>
      </c>
      <c r="D137" s="21">
        <v>12555</v>
      </c>
      <c r="E137" s="21">
        <v>11878.1</v>
      </c>
      <c r="F137" s="21">
        <v>12723</v>
      </c>
      <c r="G137" s="21">
        <v>11541.31</v>
      </c>
      <c r="H137" s="21">
        <v>14138</v>
      </c>
      <c r="I137" s="21">
        <v>11277.03</v>
      </c>
      <c r="J137" s="21">
        <v>13792</v>
      </c>
      <c r="K137" s="23"/>
      <c r="L137" s="21">
        <v>14077</v>
      </c>
      <c r="M137" s="21">
        <v>14077</v>
      </c>
      <c r="N137" s="21">
        <v>14077</v>
      </c>
      <c r="O137" s="21">
        <v>14077</v>
      </c>
      <c r="P137" s="21">
        <f>+N137-J137</f>
        <v>285</v>
      </c>
      <c r="Q137" s="21">
        <f>+N137-O137</f>
        <v>0</v>
      </c>
    </row>
    <row r="138" spans="1:17" ht="13.8" x14ac:dyDescent="0.25">
      <c r="A138" s="50" t="s">
        <v>251</v>
      </c>
      <c r="B138" s="19" t="s">
        <v>43</v>
      </c>
      <c r="C138" s="20" t="s">
        <v>44</v>
      </c>
      <c r="D138" s="21">
        <v>124121</v>
      </c>
      <c r="E138" s="21">
        <v>110679.93</v>
      </c>
      <c r="F138" s="21">
        <v>97797</v>
      </c>
      <c r="G138" s="21">
        <v>100849.5</v>
      </c>
      <c r="H138" s="21">
        <v>105823</v>
      </c>
      <c r="I138" s="21">
        <v>92117.440000000002</v>
      </c>
      <c r="J138" s="21">
        <v>95716</v>
      </c>
      <c r="K138" s="23"/>
      <c r="L138" s="21">
        <v>97305</v>
      </c>
      <c r="M138" s="21">
        <v>97305</v>
      </c>
      <c r="N138" s="21">
        <v>97305</v>
      </c>
      <c r="O138" s="21">
        <v>97305</v>
      </c>
      <c r="P138" s="21">
        <f>+N138-J138</f>
        <v>1589</v>
      </c>
      <c r="Q138" s="21">
        <f>+N138-O138</f>
        <v>0</v>
      </c>
    </row>
    <row r="139" spans="1:17" ht="13.8" x14ac:dyDescent="0.25">
      <c r="A139" s="50" t="s">
        <v>251</v>
      </c>
      <c r="B139" s="19" t="s">
        <v>19</v>
      </c>
      <c r="C139" s="20" t="s">
        <v>20</v>
      </c>
      <c r="D139" s="21">
        <v>11289</v>
      </c>
      <c r="E139" s="21">
        <v>10759.88</v>
      </c>
      <c r="F139" s="21">
        <v>11956</v>
      </c>
      <c r="G139" s="21">
        <v>12741.42</v>
      </c>
      <c r="H139" s="21">
        <v>14278</v>
      </c>
      <c r="I139" s="21">
        <v>14278.43</v>
      </c>
      <c r="J139" s="21">
        <v>16870</v>
      </c>
      <c r="K139" s="23"/>
      <c r="L139" s="21">
        <v>16619</v>
      </c>
      <c r="M139" s="21">
        <v>16619</v>
      </c>
      <c r="N139" s="21">
        <v>16619</v>
      </c>
      <c r="O139" s="21">
        <v>16619</v>
      </c>
      <c r="P139" s="21">
        <f>+N139-J139</f>
        <v>-251</v>
      </c>
      <c r="Q139" s="21">
        <f>+N139-O139</f>
        <v>0</v>
      </c>
    </row>
    <row r="140" spans="1:17" ht="13.8" x14ac:dyDescent="0.25">
      <c r="A140" s="177" t="s">
        <v>75</v>
      </c>
      <c r="B140" s="177"/>
      <c r="C140" s="177"/>
      <c r="D140" s="24">
        <f t="shared" ref="D140" si="105">SUM(D136:D139)</f>
        <v>201647</v>
      </c>
      <c r="E140" s="24">
        <f>SUM(E136:E139)</f>
        <v>180877.82</v>
      </c>
      <c r="F140" s="24">
        <f t="shared" ref="F140" si="106">SUM(F136:F139)</f>
        <v>176860</v>
      </c>
      <c r="G140" s="24">
        <f>SUM(G136:G139)</f>
        <v>168090.33000000002</v>
      </c>
      <c r="H140" s="24">
        <f t="shared" ref="H140:J140" si="107">SUM(H136:H139)</f>
        <v>194690</v>
      </c>
      <c r="I140" s="24">
        <f t="shared" si="107"/>
        <v>158415.57999999999</v>
      </c>
      <c r="J140" s="24">
        <f t="shared" si="107"/>
        <v>185349</v>
      </c>
      <c r="K140" s="26"/>
      <c r="L140" s="24">
        <f t="shared" ref="L140:O140" si="108">SUM(L136:L139)</f>
        <v>188192</v>
      </c>
      <c r="M140" s="24">
        <f t="shared" si="108"/>
        <v>188192</v>
      </c>
      <c r="N140" s="24">
        <f t="shared" si="108"/>
        <v>188192</v>
      </c>
      <c r="O140" s="24">
        <f t="shared" si="108"/>
        <v>188192</v>
      </c>
      <c r="P140" s="24">
        <f>SUM(P136:P139)</f>
        <v>2843</v>
      </c>
      <c r="Q140" s="24">
        <f>SUM(Q136:Q139)</f>
        <v>0</v>
      </c>
    </row>
    <row r="141" spans="1:17" x14ac:dyDescent="0.3">
      <c r="A141" s="175" t="s">
        <v>21</v>
      </c>
      <c r="B141" s="175"/>
      <c r="C141" s="175"/>
      <c r="D141" s="27"/>
      <c r="E141" s="30"/>
      <c r="F141" s="27"/>
      <c r="G141" s="30"/>
      <c r="H141" s="27"/>
      <c r="I141" s="27"/>
      <c r="J141" s="27"/>
      <c r="K141" s="29"/>
      <c r="L141" s="27"/>
      <c r="M141" s="27"/>
      <c r="N141" s="27"/>
      <c r="O141" s="27"/>
      <c r="P141" s="30"/>
    </row>
    <row r="142" spans="1:17" ht="13.8" x14ac:dyDescent="0.25">
      <c r="A142" s="50" t="s">
        <v>251</v>
      </c>
      <c r="B142" s="19" t="s">
        <v>131</v>
      </c>
      <c r="C142" s="20" t="s">
        <v>132</v>
      </c>
      <c r="D142" s="21">
        <v>40000</v>
      </c>
      <c r="E142" s="21">
        <v>123694.72</v>
      </c>
      <c r="F142" s="21">
        <v>40000</v>
      </c>
      <c r="G142" s="21">
        <v>186228.1</v>
      </c>
      <c r="H142" s="21">
        <v>40000</v>
      </c>
      <c r="I142" s="21">
        <v>87415.42</v>
      </c>
      <c r="J142" s="21">
        <v>143500</v>
      </c>
      <c r="K142" s="23"/>
      <c r="L142" s="21">
        <v>143500</v>
      </c>
      <c r="M142" s="21">
        <v>143500</v>
      </c>
      <c r="N142" s="21">
        <v>143500</v>
      </c>
      <c r="O142" s="21">
        <v>143500</v>
      </c>
      <c r="P142" s="21">
        <f>+N142-J142</f>
        <v>0</v>
      </c>
      <c r="Q142" s="21">
        <f>+N142-O142</f>
        <v>0</v>
      </c>
    </row>
    <row r="143" spans="1:17" ht="13.8" x14ac:dyDescent="0.25">
      <c r="A143" s="50" t="s">
        <v>251</v>
      </c>
      <c r="B143" s="19" t="s">
        <v>225</v>
      </c>
      <c r="C143" s="20" t="s">
        <v>226</v>
      </c>
      <c r="D143" s="21">
        <v>0</v>
      </c>
      <c r="E143" s="21">
        <v>1624.7</v>
      </c>
      <c r="F143" s="21">
        <v>0</v>
      </c>
      <c r="G143" s="21">
        <v>0</v>
      </c>
      <c r="H143" s="21">
        <v>0</v>
      </c>
      <c r="I143" s="21">
        <v>0</v>
      </c>
      <c r="J143" s="21">
        <v>0</v>
      </c>
      <c r="K143" s="23"/>
      <c r="L143" s="21">
        <v>0</v>
      </c>
      <c r="M143" s="21">
        <v>0</v>
      </c>
      <c r="N143" s="21">
        <v>0</v>
      </c>
      <c r="O143" s="21">
        <v>0</v>
      </c>
      <c r="P143" s="21">
        <f>+N143-J143</f>
        <v>0</v>
      </c>
      <c r="Q143" s="21">
        <f>+N143-O143</f>
        <v>0</v>
      </c>
    </row>
    <row r="144" spans="1:17" ht="13.8" x14ac:dyDescent="0.25">
      <c r="A144" s="50" t="s">
        <v>251</v>
      </c>
      <c r="B144" s="19" t="s">
        <v>229</v>
      </c>
      <c r="C144" s="20" t="s">
        <v>230</v>
      </c>
      <c r="D144" s="21">
        <v>2500</v>
      </c>
      <c r="E144" s="21">
        <v>6089.75</v>
      </c>
      <c r="F144" s="21">
        <v>2500</v>
      </c>
      <c r="G144" s="21">
        <v>1455</v>
      </c>
      <c r="H144" s="21">
        <v>2500</v>
      </c>
      <c r="I144" s="21">
        <v>1330</v>
      </c>
      <c r="J144" s="21">
        <v>2500</v>
      </c>
      <c r="K144" s="23"/>
      <c r="L144" s="21">
        <v>2500</v>
      </c>
      <c r="M144" s="21">
        <v>2500</v>
      </c>
      <c r="N144" s="21">
        <v>2500</v>
      </c>
      <c r="O144" s="21">
        <v>2500</v>
      </c>
      <c r="P144" s="21">
        <f>+N144-J144</f>
        <v>0</v>
      </c>
      <c r="Q144" s="21">
        <f>+N144-O144</f>
        <v>0</v>
      </c>
    </row>
    <row r="145" spans="1:17" ht="13.8" x14ac:dyDescent="0.25">
      <c r="A145" s="176" t="s">
        <v>76</v>
      </c>
      <c r="B145" s="176"/>
      <c r="C145" s="176"/>
      <c r="D145" s="24">
        <f t="shared" ref="D145:Q145" si="109">SUM(D142:D144)</f>
        <v>42500</v>
      </c>
      <c r="E145" s="24">
        <f t="shared" si="109"/>
        <v>131409.16999999998</v>
      </c>
      <c r="F145" s="24">
        <f t="shared" si="109"/>
        <v>42500</v>
      </c>
      <c r="G145" s="24">
        <f t="shared" si="109"/>
        <v>187683.1</v>
      </c>
      <c r="H145" s="24">
        <f t="shared" si="109"/>
        <v>42500</v>
      </c>
      <c r="I145" s="24">
        <f t="shared" si="109"/>
        <v>88745.42</v>
      </c>
      <c r="J145" s="24">
        <f t="shared" si="109"/>
        <v>146000</v>
      </c>
      <c r="K145" s="26"/>
      <c r="L145" s="24">
        <f t="shared" ref="L145:O145" si="110">SUM(L142:L144)</f>
        <v>146000</v>
      </c>
      <c r="M145" s="24">
        <f t="shared" si="110"/>
        <v>146000</v>
      </c>
      <c r="N145" s="24">
        <f t="shared" si="110"/>
        <v>146000</v>
      </c>
      <c r="O145" s="24">
        <f t="shared" si="110"/>
        <v>146000</v>
      </c>
      <c r="P145" s="24">
        <f t="shared" si="109"/>
        <v>0</v>
      </c>
      <c r="Q145" s="24">
        <f t="shared" si="109"/>
        <v>0</v>
      </c>
    </row>
    <row r="146" spans="1:17" ht="13.8" x14ac:dyDescent="0.25">
      <c r="A146" s="175" t="s">
        <v>133</v>
      </c>
      <c r="B146" s="175"/>
      <c r="C146" s="175"/>
      <c r="D146" s="27"/>
      <c r="E146" s="30"/>
      <c r="F146" s="27"/>
      <c r="G146" s="30"/>
      <c r="H146" s="27"/>
      <c r="I146" s="27"/>
      <c r="J146" s="27"/>
      <c r="K146" s="29"/>
      <c r="L146" s="27"/>
      <c r="M146" s="27"/>
      <c r="N146" s="27"/>
      <c r="O146" s="27"/>
      <c r="P146" s="30"/>
      <c r="Q146" s="30"/>
    </row>
    <row r="147" spans="1:17" ht="13.8" x14ac:dyDescent="0.25">
      <c r="A147" s="50" t="s">
        <v>251</v>
      </c>
      <c r="B147" s="19" t="s">
        <v>146</v>
      </c>
      <c r="C147" s="20" t="s">
        <v>147</v>
      </c>
      <c r="D147" s="21">
        <v>36600</v>
      </c>
      <c r="E147" s="21">
        <v>36486.800000000003</v>
      </c>
      <c r="F147" s="21">
        <v>4000</v>
      </c>
      <c r="G147" s="21">
        <v>6700</v>
      </c>
      <c r="H147" s="21">
        <v>4000</v>
      </c>
      <c r="I147" s="21">
        <v>101.48</v>
      </c>
      <c r="J147" s="21">
        <v>4000</v>
      </c>
      <c r="K147" s="23"/>
      <c r="L147" s="21">
        <v>4000</v>
      </c>
      <c r="M147" s="21">
        <v>4000</v>
      </c>
      <c r="N147" s="21">
        <v>4000</v>
      </c>
      <c r="O147" s="21">
        <v>4000</v>
      </c>
      <c r="P147" s="21">
        <f>+N147-J147</f>
        <v>0</v>
      </c>
      <c r="Q147" s="21">
        <f>+N147-O147</f>
        <v>0</v>
      </c>
    </row>
    <row r="148" spans="1:17" ht="13.8" x14ac:dyDescent="0.25">
      <c r="A148" s="176" t="s">
        <v>136</v>
      </c>
      <c r="B148" s="176"/>
      <c r="C148" s="176"/>
      <c r="D148" s="24">
        <f t="shared" ref="D148:F148" si="111">SUM(D147:D147)</f>
        <v>36600</v>
      </c>
      <c r="E148" s="24">
        <f t="shared" si="111"/>
        <v>36486.800000000003</v>
      </c>
      <c r="F148" s="24">
        <f t="shared" si="111"/>
        <v>4000</v>
      </c>
      <c r="G148" s="24">
        <f>SUM(G147:G147)</f>
        <v>6700</v>
      </c>
      <c r="H148" s="24">
        <f t="shared" ref="H148:J148" si="112">SUM(H147:H147)</f>
        <v>4000</v>
      </c>
      <c r="I148" s="24">
        <f t="shared" si="112"/>
        <v>101.48</v>
      </c>
      <c r="J148" s="24">
        <f t="shared" si="112"/>
        <v>4000</v>
      </c>
      <c r="K148" s="26"/>
      <c r="L148" s="24">
        <f t="shared" ref="L148:Q148" si="113">SUM(L147:L147)</f>
        <v>4000</v>
      </c>
      <c r="M148" s="24">
        <f t="shared" si="113"/>
        <v>4000</v>
      </c>
      <c r="N148" s="24">
        <f t="shared" si="113"/>
        <v>4000</v>
      </c>
      <c r="O148" s="24">
        <f t="shared" si="113"/>
        <v>4000</v>
      </c>
      <c r="P148" s="24">
        <f t="shared" si="113"/>
        <v>0</v>
      </c>
      <c r="Q148" s="24">
        <f t="shared" si="113"/>
        <v>0</v>
      </c>
    </row>
    <row r="149" spans="1:17" ht="13.8" x14ac:dyDescent="0.25">
      <c r="A149" s="175" t="s">
        <v>45</v>
      </c>
      <c r="B149" s="175"/>
      <c r="C149" s="175"/>
      <c r="D149" s="27"/>
      <c r="E149" s="30"/>
      <c r="F149" s="27"/>
      <c r="G149" s="30"/>
      <c r="H149" s="27"/>
      <c r="I149" s="27"/>
      <c r="J149" s="27"/>
      <c r="K149" s="29"/>
      <c r="L149" s="27"/>
      <c r="M149" s="27"/>
      <c r="N149" s="27"/>
      <c r="O149" s="27"/>
      <c r="P149" s="30"/>
      <c r="Q149" s="30"/>
    </row>
    <row r="150" spans="1:17" ht="13.8" x14ac:dyDescent="0.25">
      <c r="A150" s="50" t="s">
        <v>251</v>
      </c>
      <c r="B150" s="19" t="s">
        <v>24</v>
      </c>
      <c r="C150" s="20" t="s">
        <v>25</v>
      </c>
      <c r="D150" s="21">
        <v>5000</v>
      </c>
      <c r="E150" s="21">
        <v>268.64999999999998</v>
      </c>
      <c r="F150" s="21">
        <v>500</v>
      </c>
      <c r="G150" s="21">
        <v>5404.35</v>
      </c>
      <c r="H150" s="21">
        <v>500</v>
      </c>
      <c r="I150" s="21">
        <v>1072</v>
      </c>
      <c r="J150" s="21">
        <v>500</v>
      </c>
      <c r="K150" s="23"/>
      <c r="L150" s="21">
        <v>500</v>
      </c>
      <c r="M150" s="21">
        <v>500</v>
      </c>
      <c r="N150" s="21">
        <v>500</v>
      </c>
      <c r="O150" s="21">
        <v>500</v>
      </c>
      <c r="P150" s="21">
        <f>+N150-J150</f>
        <v>0</v>
      </c>
      <c r="Q150" s="21">
        <f>+N150-O150</f>
        <v>0</v>
      </c>
    </row>
    <row r="151" spans="1:17" ht="13.8" x14ac:dyDescent="0.25">
      <c r="A151" s="177" t="s">
        <v>85</v>
      </c>
      <c r="B151" s="177"/>
      <c r="C151" s="177"/>
      <c r="D151" s="24">
        <f t="shared" ref="D151:F151" si="114">SUM(D150:D150)</f>
        <v>5000</v>
      </c>
      <c r="E151" s="24">
        <f t="shared" si="114"/>
        <v>268.64999999999998</v>
      </c>
      <c r="F151" s="24">
        <f t="shared" si="114"/>
        <v>500</v>
      </c>
      <c r="G151" s="24">
        <f>SUM(G150:G150)</f>
        <v>5404.35</v>
      </c>
      <c r="H151" s="24">
        <f t="shared" ref="H151:J151" si="115">SUM(H150:H150)</f>
        <v>500</v>
      </c>
      <c r="I151" s="24">
        <f t="shared" si="115"/>
        <v>1072</v>
      </c>
      <c r="J151" s="24">
        <f t="shared" si="115"/>
        <v>500</v>
      </c>
      <c r="K151" s="26"/>
      <c r="L151" s="24">
        <f t="shared" ref="L151:Q151" si="116">SUM(L150:L150)</f>
        <v>500</v>
      </c>
      <c r="M151" s="24">
        <f t="shared" si="116"/>
        <v>500</v>
      </c>
      <c r="N151" s="24">
        <f t="shared" si="116"/>
        <v>500</v>
      </c>
      <c r="O151" s="24">
        <f t="shared" si="116"/>
        <v>500</v>
      </c>
      <c r="P151" s="24">
        <f t="shared" si="116"/>
        <v>0</v>
      </c>
      <c r="Q151" s="24">
        <f t="shared" si="116"/>
        <v>0</v>
      </c>
    </row>
    <row r="152" spans="1:17" ht="13.8" x14ac:dyDescent="0.25">
      <c r="A152" s="175" t="s">
        <v>30</v>
      </c>
      <c r="B152" s="175"/>
      <c r="C152" s="175"/>
      <c r="D152" s="27"/>
      <c r="E152" s="30"/>
      <c r="F152" s="27"/>
      <c r="G152" s="30"/>
      <c r="H152" s="27"/>
      <c r="I152" s="27"/>
      <c r="J152" s="27"/>
      <c r="K152" s="29"/>
      <c r="L152" s="27"/>
      <c r="M152" s="27"/>
      <c r="N152" s="27"/>
      <c r="O152" s="27"/>
      <c r="P152" s="30"/>
      <c r="Q152" s="30"/>
    </row>
    <row r="153" spans="1:17" ht="13.8" x14ac:dyDescent="0.25">
      <c r="A153" s="50" t="s">
        <v>251</v>
      </c>
      <c r="B153" s="19" t="s">
        <v>252</v>
      </c>
      <c r="C153" s="20" t="s">
        <v>253</v>
      </c>
      <c r="D153" s="21">
        <v>2000</v>
      </c>
      <c r="E153" s="21">
        <v>1714.96</v>
      </c>
      <c r="F153" s="21">
        <v>2000</v>
      </c>
      <c r="G153" s="21">
        <v>881.64</v>
      </c>
      <c r="H153" s="21">
        <v>2000</v>
      </c>
      <c r="I153" s="21">
        <v>352.76</v>
      </c>
      <c r="J153" s="21">
        <v>2000</v>
      </c>
      <c r="K153" s="23"/>
      <c r="L153" s="21">
        <v>2000</v>
      </c>
      <c r="M153" s="21">
        <v>2000</v>
      </c>
      <c r="N153" s="21">
        <v>2000</v>
      </c>
      <c r="O153" s="21">
        <v>2000</v>
      </c>
      <c r="P153" s="21">
        <f>+N153-J153</f>
        <v>0</v>
      </c>
      <c r="Q153" s="21">
        <f>+N153-O153</f>
        <v>0</v>
      </c>
    </row>
    <row r="154" spans="1:17" ht="13.8" x14ac:dyDescent="0.25">
      <c r="A154" s="50" t="s">
        <v>251</v>
      </c>
      <c r="B154" s="19" t="s">
        <v>254</v>
      </c>
      <c r="C154" s="20" t="s">
        <v>255</v>
      </c>
      <c r="D154" s="21">
        <v>0</v>
      </c>
      <c r="E154" s="21">
        <v>722.08</v>
      </c>
      <c r="F154" s="21">
        <v>0</v>
      </c>
      <c r="G154" s="21">
        <v>0</v>
      </c>
      <c r="H154" s="21">
        <v>0</v>
      </c>
      <c r="I154" s="21">
        <v>198.72</v>
      </c>
      <c r="J154" s="21">
        <v>0</v>
      </c>
      <c r="K154" s="23"/>
      <c r="L154" s="21">
        <v>0</v>
      </c>
      <c r="M154" s="21">
        <v>0</v>
      </c>
      <c r="N154" s="21">
        <v>0</v>
      </c>
      <c r="O154" s="21">
        <v>0</v>
      </c>
      <c r="P154" s="21">
        <f>+N154-J154</f>
        <v>0</v>
      </c>
      <c r="Q154" s="21">
        <f>+N154-O154</f>
        <v>0</v>
      </c>
    </row>
    <row r="155" spans="1:17" ht="13.8" x14ac:dyDescent="0.25">
      <c r="A155" s="50" t="s">
        <v>251</v>
      </c>
      <c r="B155" s="19" t="s">
        <v>170</v>
      </c>
      <c r="C155" s="20" t="s">
        <v>171</v>
      </c>
      <c r="D155" s="21">
        <v>4000</v>
      </c>
      <c r="E155" s="21">
        <v>51312.04</v>
      </c>
      <c r="F155" s="21">
        <v>60000</v>
      </c>
      <c r="G155" s="21">
        <v>54648.83</v>
      </c>
      <c r="H155" s="21">
        <v>60000</v>
      </c>
      <c r="I155" s="21">
        <v>68432.75</v>
      </c>
      <c r="J155" s="21">
        <v>60000</v>
      </c>
      <c r="K155" s="23"/>
      <c r="L155" s="21">
        <v>60000</v>
      </c>
      <c r="M155" s="21">
        <v>60000</v>
      </c>
      <c r="N155" s="21">
        <v>60000</v>
      </c>
      <c r="O155" s="21">
        <v>60000</v>
      </c>
      <c r="P155" s="21">
        <f>+N155-J155</f>
        <v>0</v>
      </c>
      <c r="Q155" s="21">
        <f>+N155-O155</f>
        <v>0</v>
      </c>
    </row>
    <row r="156" spans="1:17" ht="13.8" x14ac:dyDescent="0.25">
      <c r="A156" s="177" t="s">
        <v>77</v>
      </c>
      <c r="B156" s="177"/>
      <c r="C156" s="177"/>
      <c r="D156" s="24">
        <f t="shared" ref="D156:F156" si="117">SUM(D153:D155)</f>
        <v>6000</v>
      </c>
      <c r="E156" s="24">
        <f t="shared" si="117"/>
        <v>53749.08</v>
      </c>
      <c r="F156" s="24">
        <f t="shared" si="117"/>
        <v>62000</v>
      </c>
      <c r="G156" s="24">
        <f>SUM(G153:G155)</f>
        <v>55530.47</v>
      </c>
      <c r="H156" s="24">
        <f t="shared" ref="H156:J156" si="118">SUM(H153:H155)</f>
        <v>62000</v>
      </c>
      <c r="I156" s="24">
        <f t="shared" si="118"/>
        <v>68984.23</v>
      </c>
      <c r="J156" s="24">
        <f t="shared" si="118"/>
        <v>62000</v>
      </c>
      <c r="K156" s="26"/>
      <c r="L156" s="24">
        <f t="shared" ref="L156:Q156" si="119">SUM(L153:L155)</f>
        <v>62000</v>
      </c>
      <c r="M156" s="24">
        <f t="shared" si="119"/>
        <v>62000</v>
      </c>
      <c r="N156" s="24">
        <f t="shared" si="119"/>
        <v>62000</v>
      </c>
      <c r="O156" s="24">
        <f t="shared" si="119"/>
        <v>62000</v>
      </c>
      <c r="P156" s="24">
        <f t="shared" si="119"/>
        <v>0</v>
      </c>
      <c r="Q156" s="24">
        <f t="shared" si="119"/>
        <v>0</v>
      </c>
    </row>
    <row r="157" spans="1:17" ht="13.8" x14ac:dyDescent="0.25">
      <c r="A157" s="169" t="s">
        <v>54</v>
      </c>
      <c r="B157" s="169"/>
      <c r="C157" s="169"/>
      <c r="D157" s="27"/>
      <c r="E157" s="30"/>
      <c r="F157" s="27"/>
      <c r="G157" s="30"/>
      <c r="H157" s="27"/>
      <c r="I157" s="27"/>
      <c r="J157" s="27"/>
      <c r="K157" s="29"/>
      <c r="L157" s="27"/>
      <c r="M157" s="27"/>
      <c r="N157" s="27"/>
      <c r="O157" s="27"/>
      <c r="P157" s="30"/>
      <c r="Q157" s="30"/>
    </row>
    <row r="158" spans="1:17" ht="13.8" x14ac:dyDescent="0.25">
      <c r="A158" s="50" t="s">
        <v>251</v>
      </c>
      <c r="B158" s="19" t="s">
        <v>256</v>
      </c>
      <c r="C158" s="20" t="s">
        <v>257</v>
      </c>
      <c r="D158" s="21">
        <v>150000</v>
      </c>
      <c r="E158" s="21">
        <v>129625.85</v>
      </c>
      <c r="F158" s="21">
        <v>150000</v>
      </c>
      <c r="G158" s="21">
        <v>211267.35</v>
      </c>
      <c r="H158" s="21">
        <v>150000</v>
      </c>
      <c r="I158" s="21">
        <v>150000</v>
      </c>
      <c r="J158" s="21">
        <v>518181</v>
      </c>
      <c r="K158" s="23"/>
      <c r="L158" s="21">
        <f>518181-50000</f>
        <v>468181</v>
      </c>
      <c r="M158" s="21">
        <f>518181-50000</f>
        <v>468181</v>
      </c>
      <c r="N158" s="21">
        <f>518181-50000</f>
        <v>468181</v>
      </c>
      <c r="O158" s="21">
        <f>518181-50000</f>
        <v>468181</v>
      </c>
      <c r="P158" s="21">
        <f>+N158-J158</f>
        <v>-50000</v>
      </c>
      <c r="Q158" s="21">
        <f>+N158-O158</f>
        <v>0</v>
      </c>
    </row>
    <row r="159" spans="1:17" ht="13.8" x14ac:dyDescent="0.25">
      <c r="A159" s="177" t="s">
        <v>86</v>
      </c>
      <c r="B159" s="177"/>
      <c r="C159" s="177"/>
      <c r="D159" s="24">
        <f t="shared" ref="D159:F159" si="120">SUM(D158:D158)</f>
        <v>150000</v>
      </c>
      <c r="E159" s="24">
        <f t="shared" si="120"/>
        <v>129625.85</v>
      </c>
      <c r="F159" s="24">
        <f t="shared" si="120"/>
        <v>150000</v>
      </c>
      <c r="G159" s="24">
        <f>SUM(G158:G158)</f>
        <v>211267.35</v>
      </c>
      <c r="H159" s="24">
        <f t="shared" ref="H159:J159" si="121">SUM(H158:H158)</f>
        <v>150000</v>
      </c>
      <c r="I159" s="24">
        <f t="shared" si="121"/>
        <v>150000</v>
      </c>
      <c r="J159" s="24">
        <f t="shared" si="121"/>
        <v>518181</v>
      </c>
      <c r="K159" s="26"/>
      <c r="L159" s="24">
        <f t="shared" ref="L159:Q159" si="122">SUM(L158:L158)</f>
        <v>468181</v>
      </c>
      <c r="M159" s="24">
        <f t="shared" si="122"/>
        <v>468181</v>
      </c>
      <c r="N159" s="24">
        <f t="shared" si="122"/>
        <v>468181</v>
      </c>
      <c r="O159" s="24">
        <f t="shared" si="122"/>
        <v>468181</v>
      </c>
      <c r="P159" s="24">
        <f t="shared" si="122"/>
        <v>-50000</v>
      </c>
      <c r="Q159" s="24">
        <f t="shared" si="122"/>
        <v>0</v>
      </c>
    </row>
    <row r="160" spans="1:17" ht="13.8" x14ac:dyDescent="0.25">
      <c r="A160" s="178" t="s">
        <v>258</v>
      </c>
      <c r="B160" s="178"/>
      <c r="C160" s="178"/>
      <c r="D160" s="40">
        <f t="shared" ref="D160" si="123">D134+D140+D145+D148+D151+D156+D159</f>
        <v>1307572</v>
      </c>
      <c r="E160" s="40">
        <f>E134+E140+E145+E148+E151+E156+E159</f>
        <v>1382227.1300000001</v>
      </c>
      <c r="F160" s="40">
        <f t="shared" ref="F160" si="124">F134+F140+F145+F148+F151+F156+F159</f>
        <v>1314695</v>
      </c>
      <c r="G160" s="40">
        <f>G134+G140+G145+G148+G151+G156+G159</f>
        <v>1474510.3600000003</v>
      </c>
      <c r="H160" s="40">
        <f t="shared" ref="H160:J160" si="125">H134+H140+H145+H148+H151+H156+H159</f>
        <v>1428701</v>
      </c>
      <c r="I160" s="40">
        <f t="shared" si="125"/>
        <v>1239859.07</v>
      </c>
      <c r="J160" s="40">
        <f t="shared" si="125"/>
        <v>1864445</v>
      </c>
      <c r="K160" s="26"/>
      <c r="L160" s="40">
        <f t="shared" ref="L160:O160" si="126">L134+L140+L145+L148+L151+L156+L159</f>
        <v>1837030</v>
      </c>
      <c r="M160" s="40">
        <f t="shared" si="126"/>
        <v>1837030</v>
      </c>
      <c r="N160" s="40">
        <f t="shared" si="126"/>
        <v>1837030</v>
      </c>
      <c r="O160" s="40">
        <f t="shared" si="126"/>
        <v>1837030</v>
      </c>
      <c r="P160" s="40">
        <f>P134+P140+P145+P148+P151+P156+P159</f>
        <v>-27415</v>
      </c>
      <c r="Q160" s="40">
        <f>Q134+Q140+Q145+Q148+Q151+Q156+Q159</f>
        <v>0</v>
      </c>
    </row>
    <row r="161" spans="1:17" ht="13.8" x14ac:dyDescent="0.25">
      <c r="A161" s="174" t="s">
        <v>259</v>
      </c>
      <c r="B161" s="174"/>
      <c r="C161" s="174"/>
      <c r="D161" s="27"/>
      <c r="E161" s="30"/>
      <c r="F161" s="27"/>
      <c r="G161" s="30"/>
      <c r="H161" s="27"/>
      <c r="I161" s="27"/>
      <c r="J161" s="27"/>
      <c r="K161" s="29"/>
      <c r="L161" s="27"/>
      <c r="M161" s="27"/>
      <c r="N161" s="27"/>
      <c r="O161" s="27"/>
      <c r="P161" s="30"/>
      <c r="Q161" s="30"/>
    </row>
    <row r="162" spans="1:17" ht="13.8" x14ac:dyDescent="0.25">
      <c r="A162" s="175" t="s">
        <v>11</v>
      </c>
      <c r="B162" s="175"/>
      <c r="C162" s="175"/>
      <c r="D162" s="27"/>
      <c r="E162" s="30"/>
      <c r="F162" s="27"/>
      <c r="G162" s="30"/>
      <c r="H162" s="27"/>
      <c r="I162" s="27"/>
      <c r="J162" s="27"/>
      <c r="K162" s="29"/>
      <c r="L162" s="27"/>
      <c r="M162" s="27"/>
      <c r="N162" s="27"/>
      <c r="O162" s="27"/>
      <c r="P162" s="30"/>
      <c r="Q162" s="30"/>
    </row>
    <row r="163" spans="1:17" ht="13.8" x14ac:dyDescent="0.25">
      <c r="A163" s="50" t="s">
        <v>260</v>
      </c>
      <c r="B163" s="19" t="s">
        <v>35</v>
      </c>
      <c r="C163" s="20" t="s">
        <v>36</v>
      </c>
      <c r="D163" s="27"/>
      <c r="E163" s="21">
        <v>0</v>
      </c>
      <c r="F163" s="27"/>
      <c r="G163" s="27"/>
      <c r="H163" s="27"/>
      <c r="I163" s="27"/>
      <c r="J163" s="27"/>
      <c r="K163" s="29"/>
      <c r="L163" s="27"/>
      <c r="M163" s="27"/>
      <c r="N163" s="27"/>
      <c r="O163" s="27"/>
      <c r="P163" s="21">
        <f>+N163-J163</f>
        <v>0</v>
      </c>
      <c r="Q163" s="21">
        <f>+N163-O163</f>
        <v>0</v>
      </c>
    </row>
    <row r="164" spans="1:17" ht="13.8" x14ac:dyDescent="0.25">
      <c r="A164" s="50" t="s">
        <v>260</v>
      </c>
      <c r="B164" s="19" t="s">
        <v>37</v>
      </c>
      <c r="C164" s="20" t="s">
        <v>38</v>
      </c>
      <c r="D164" s="21">
        <v>35190</v>
      </c>
      <c r="E164" s="21">
        <v>41331.08</v>
      </c>
      <c r="F164" s="21">
        <v>35715</v>
      </c>
      <c r="G164" s="21">
        <v>37950.17</v>
      </c>
      <c r="H164" s="21">
        <v>38816</v>
      </c>
      <c r="I164" s="21">
        <v>43294.68</v>
      </c>
      <c r="J164" s="21">
        <v>38445</v>
      </c>
      <c r="K164" s="23"/>
      <c r="L164" s="21">
        <v>39402</v>
      </c>
      <c r="M164" s="21">
        <v>39402</v>
      </c>
      <c r="N164" s="21">
        <v>39402</v>
      </c>
      <c r="O164" s="21">
        <v>39402</v>
      </c>
      <c r="P164" s="21">
        <f>+N164-J164</f>
        <v>957</v>
      </c>
      <c r="Q164" s="21">
        <f>+N164-O164</f>
        <v>0</v>
      </c>
    </row>
    <row r="165" spans="1:17" ht="13.8" x14ac:dyDescent="0.25">
      <c r="A165" s="177" t="s">
        <v>74</v>
      </c>
      <c r="B165" s="177"/>
      <c r="C165" s="177"/>
      <c r="D165" s="24">
        <f t="shared" ref="D165" si="127">SUM(D164:D164)</f>
        <v>35190</v>
      </c>
      <c r="E165" s="24">
        <f t="shared" ref="E165" si="128">SUM(E163:E164)</f>
        <v>41331.08</v>
      </c>
      <c r="F165" s="24">
        <f t="shared" ref="F165" si="129">SUM(F164:F164)</f>
        <v>35715</v>
      </c>
      <c r="G165" s="24">
        <f>SUM(G164:G164)</f>
        <v>37950.17</v>
      </c>
      <c r="H165" s="24">
        <f t="shared" ref="H165:I165" si="130">SUM(H164:H164)</f>
        <v>38816</v>
      </c>
      <c r="I165" s="24">
        <f t="shared" si="130"/>
        <v>43294.68</v>
      </c>
      <c r="J165" s="24">
        <f>SUM(J163:J164)</f>
        <v>38445</v>
      </c>
      <c r="K165" s="26"/>
      <c r="L165" s="24">
        <f t="shared" ref="L165:O165" si="131">SUM(L164:L164)</f>
        <v>39402</v>
      </c>
      <c r="M165" s="24">
        <f t="shared" si="131"/>
        <v>39402</v>
      </c>
      <c r="N165" s="24">
        <f t="shared" si="131"/>
        <v>39402</v>
      </c>
      <c r="O165" s="24">
        <f t="shared" si="131"/>
        <v>39402</v>
      </c>
      <c r="P165" s="24">
        <f t="shared" ref="P165:Q165" si="132">SUM(P163:P164)</f>
        <v>957</v>
      </c>
      <c r="Q165" s="24">
        <f t="shared" si="132"/>
        <v>0</v>
      </c>
    </row>
    <row r="166" spans="1:17" ht="13.8" x14ac:dyDescent="0.25">
      <c r="A166" s="175" t="s">
        <v>14</v>
      </c>
      <c r="B166" s="175"/>
      <c r="C166" s="175"/>
      <c r="D166" s="27"/>
      <c r="E166" s="30"/>
      <c r="F166" s="27"/>
      <c r="G166" s="30"/>
      <c r="H166" s="27"/>
      <c r="I166" s="27"/>
      <c r="J166" s="27"/>
      <c r="K166" s="29"/>
      <c r="L166" s="27"/>
      <c r="M166" s="27"/>
      <c r="N166" s="27"/>
      <c r="O166" s="27"/>
      <c r="P166" s="30"/>
      <c r="Q166" s="30"/>
    </row>
    <row r="167" spans="1:17" ht="13.8" x14ac:dyDescent="0.25">
      <c r="A167" s="50" t="s">
        <v>260</v>
      </c>
      <c r="B167" s="19" t="s">
        <v>15</v>
      </c>
      <c r="C167" s="20" t="s">
        <v>16</v>
      </c>
      <c r="D167" s="21">
        <v>2063</v>
      </c>
      <c r="E167" s="21">
        <v>2205.92</v>
      </c>
      <c r="F167" s="21">
        <v>2338</v>
      </c>
      <c r="G167" s="21">
        <v>2008.45</v>
      </c>
      <c r="H167" s="21">
        <v>2407</v>
      </c>
      <c r="I167" s="21">
        <v>2310.54</v>
      </c>
      <c r="J167" s="21">
        <v>2384</v>
      </c>
      <c r="K167" s="23"/>
      <c r="L167" s="21">
        <v>2443</v>
      </c>
      <c r="M167" s="21">
        <v>2443</v>
      </c>
      <c r="N167" s="21">
        <v>2443</v>
      </c>
      <c r="O167" s="21">
        <v>2443</v>
      </c>
      <c r="P167" s="21">
        <f>+N167-J167</f>
        <v>59</v>
      </c>
      <c r="Q167" s="21">
        <f>+N167-O167</f>
        <v>0</v>
      </c>
    </row>
    <row r="168" spans="1:17" ht="13.8" x14ac:dyDescent="0.25">
      <c r="A168" s="50" t="s">
        <v>260</v>
      </c>
      <c r="B168" s="19" t="s">
        <v>17</v>
      </c>
      <c r="C168" s="20" t="s">
        <v>18</v>
      </c>
      <c r="D168" s="21">
        <v>483</v>
      </c>
      <c r="E168" s="21">
        <v>515.9</v>
      </c>
      <c r="F168" s="21">
        <v>548</v>
      </c>
      <c r="G168" s="21">
        <v>469.71</v>
      </c>
      <c r="H168" s="21">
        <v>563</v>
      </c>
      <c r="I168" s="21">
        <v>540.38</v>
      </c>
      <c r="J168" s="21">
        <v>558</v>
      </c>
      <c r="K168" s="23"/>
      <c r="L168" s="21">
        <v>572</v>
      </c>
      <c r="M168" s="21">
        <v>572</v>
      </c>
      <c r="N168" s="21">
        <v>572</v>
      </c>
      <c r="O168" s="21">
        <v>572</v>
      </c>
      <c r="P168" s="21">
        <f>+N168-J168</f>
        <v>14</v>
      </c>
      <c r="Q168" s="21">
        <f>+N168-O168</f>
        <v>0</v>
      </c>
    </row>
    <row r="169" spans="1:17" ht="13.8" x14ac:dyDescent="0.25">
      <c r="A169" s="50" t="s">
        <v>260</v>
      </c>
      <c r="B169" s="19" t="s">
        <v>19</v>
      </c>
      <c r="C169" s="20" t="s">
        <v>20</v>
      </c>
      <c r="D169" s="21">
        <v>449</v>
      </c>
      <c r="E169" s="21">
        <v>428.52</v>
      </c>
      <c r="F169" s="21">
        <v>476</v>
      </c>
      <c r="G169" s="21">
        <v>507.29</v>
      </c>
      <c r="H169" s="21">
        <v>568</v>
      </c>
      <c r="I169" s="21">
        <v>568.48</v>
      </c>
      <c r="J169" s="21">
        <v>672</v>
      </c>
      <c r="K169" s="23"/>
      <c r="L169" s="21">
        <v>662</v>
      </c>
      <c r="M169" s="21">
        <v>662</v>
      </c>
      <c r="N169" s="21">
        <v>662</v>
      </c>
      <c r="O169" s="21">
        <v>662</v>
      </c>
      <c r="P169" s="21">
        <f>+N169-J169</f>
        <v>-10</v>
      </c>
      <c r="Q169" s="21">
        <f>+N169-O169</f>
        <v>0</v>
      </c>
    </row>
    <row r="170" spans="1:17" ht="13.8" x14ac:dyDescent="0.25">
      <c r="A170" s="177" t="s">
        <v>75</v>
      </c>
      <c r="B170" s="177"/>
      <c r="C170" s="177"/>
      <c r="D170" s="24">
        <f t="shared" ref="D170:F170" si="133">SUM(D167:D169)</f>
        <v>2995</v>
      </c>
      <c r="E170" s="24">
        <f t="shared" si="133"/>
        <v>3150.34</v>
      </c>
      <c r="F170" s="24">
        <f t="shared" si="133"/>
        <v>3362</v>
      </c>
      <c r="G170" s="24">
        <f>SUM(G167:G169)</f>
        <v>2985.45</v>
      </c>
      <c r="H170" s="24">
        <f t="shared" ref="H170:J170" si="134">SUM(H167:H169)</f>
        <v>3538</v>
      </c>
      <c r="I170" s="24">
        <f t="shared" si="134"/>
        <v>3419.4</v>
      </c>
      <c r="J170" s="24">
        <f t="shared" si="134"/>
        <v>3614</v>
      </c>
      <c r="K170" s="26"/>
      <c r="L170" s="24">
        <f t="shared" ref="L170:Q170" si="135">SUM(L167:L169)</f>
        <v>3677</v>
      </c>
      <c r="M170" s="24">
        <f t="shared" si="135"/>
        <v>3677</v>
      </c>
      <c r="N170" s="24">
        <f t="shared" si="135"/>
        <v>3677</v>
      </c>
      <c r="O170" s="24">
        <f t="shared" si="135"/>
        <v>3677</v>
      </c>
      <c r="P170" s="24">
        <f t="shared" si="135"/>
        <v>63</v>
      </c>
      <c r="Q170" s="24">
        <f t="shared" si="135"/>
        <v>0</v>
      </c>
    </row>
    <row r="171" spans="1:17" ht="13.8" x14ac:dyDescent="0.25">
      <c r="A171" s="175" t="s">
        <v>21</v>
      </c>
      <c r="B171" s="175"/>
      <c r="C171" s="175"/>
      <c r="D171" s="27"/>
      <c r="E171" s="30"/>
      <c r="F171" s="27"/>
      <c r="G171" s="30"/>
      <c r="H171" s="27"/>
      <c r="I171" s="27"/>
      <c r="J171" s="27"/>
      <c r="K171" s="29"/>
      <c r="L171" s="27"/>
      <c r="M171" s="27"/>
      <c r="N171" s="27"/>
      <c r="O171" s="27"/>
      <c r="P171" s="3"/>
      <c r="Q171" s="3"/>
    </row>
    <row r="172" spans="1:17" ht="13.8" x14ac:dyDescent="0.25">
      <c r="A172" s="50" t="s">
        <v>260</v>
      </c>
      <c r="B172" s="19" t="s">
        <v>24</v>
      </c>
      <c r="C172" s="20" t="s">
        <v>25</v>
      </c>
      <c r="D172" s="21">
        <v>0</v>
      </c>
      <c r="E172" s="21">
        <v>40</v>
      </c>
      <c r="F172" s="21">
        <v>0</v>
      </c>
      <c r="G172" s="21">
        <v>40</v>
      </c>
      <c r="H172" s="21">
        <v>0</v>
      </c>
      <c r="I172" s="21">
        <v>0</v>
      </c>
      <c r="J172" s="21">
        <v>0</v>
      </c>
      <c r="K172" s="23"/>
      <c r="L172" s="21">
        <v>0</v>
      </c>
      <c r="M172" s="21">
        <v>0</v>
      </c>
      <c r="N172" s="21">
        <v>0</v>
      </c>
      <c r="O172" s="21">
        <v>0</v>
      </c>
      <c r="P172" s="21">
        <f>+N172-J172</f>
        <v>0</v>
      </c>
      <c r="Q172" s="21">
        <f>+N172-O172</f>
        <v>0</v>
      </c>
    </row>
    <row r="173" spans="1:17" ht="13.8" x14ac:dyDescent="0.25">
      <c r="A173" s="176" t="s">
        <v>76</v>
      </c>
      <c r="B173" s="176"/>
      <c r="C173" s="176"/>
      <c r="D173" s="24">
        <f t="shared" ref="D173" si="136">SUM(D172:D172)</f>
        <v>0</v>
      </c>
      <c r="E173" s="112">
        <f>SUM(E172:E172)</f>
        <v>40</v>
      </c>
      <c r="F173" s="24">
        <f t="shared" ref="F173" si="137">SUM(F172:F172)</f>
        <v>0</v>
      </c>
      <c r="G173" s="24">
        <f>SUM(G172:G172)</f>
        <v>40</v>
      </c>
      <c r="H173" s="24">
        <f t="shared" ref="H173:J173" si="138">SUM(H172:H172)</f>
        <v>0</v>
      </c>
      <c r="I173" s="24">
        <f t="shared" si="138"/>
        <v>0</v>
      </c>
      <c r="J173" s="24">
        <f t="shared" si="138"/>
        <v>0</v>
      </c>
      <c r="K173" s="26"/>
      <c r="L173" s="24">
        <f t="shared" ref="L173:O173" si="139">SUM(L172:L172)</f>
        <v>0</v>
      </c>
      <c r="M173" s="24">
        <f t="shared" si="139"/>
        <v>0</v>
      </c>
      <c r="N173" s="24">
        <f t="shared" si="139"/>
        <v>0</v>
      </c>
      <c r="O173" s="24">
        <f t="shared" si="139"/>
        <v>0</v>
      </c>
      <c r="P173" s="112">
        <f>SUM(P172:P172)</f>
        <v>0</v>
      </c>
      <c r="Q173" s="112">
        <f>SUM(Q172:Q172)</f>
        <v>0</v>
      </c>
    </row>
    <row r="174" spans="1:17" ht="13.8" x14ac:dyDescent="0.25">
      <c r="A174" s="175" t="s">
        <v>30</v>
      </c>
      <c r="B174" s="175"/>
      <c r="C174" s="175"/>
      <c r="D174" s="27"/>
      <c r="E174" s="30"/>
      <c r="F174" s="27"/>
      <c r="G174" s="30"/>
      <c r="H174" s="27"/>
      <c r="I174" s="27"/>
      <c r="J174" s="27"/>
      <c r="K174" s="29"/>
      <c r="L174" s="27"/>
      <c r="M174" s="27"/>
      <c r="N174" s="27"/>
      <c r="O174" s="27"/>
      <c r="P174" s="30"/>
      <c r="Q174" s="30"/>
    </row>
    <row r="175" spans="1:17" ht="13.8" x14ac:dyDescent="0.25">
      <c r="A175" s="50" t="s">
        <v>260</v>
      </c>
      <c r="B175" s="19" t="s">
        <v>31</v>
      </c>
      <c r="C175" s="20" t="s">
        <v>32</v>
      </c>
      <c r="D175" s="21">
        <v>200</v>
      </c>
      <c r="E175" s="21">
        <v>576.36</v>
      </c>
      <c r="F175" s="21">
        <v>200</v>
      </c>
      <c r="G175" s="21">
        <v>303.14999999999998</v>
      </c>
      <c r="H175" s="21">
        <v>200</v>
      </c>
      <c r="I175" s="21">
        <v>18.78</v>
      </c>
      <c r="J175" s="21">
        <v>200</v>
      </c>
      <c r="K175" s="23"/>
      <c r="L175" s="21">
        <v>200</v>
      </c>
      <c r="M175" s="21">
        <v>200</v>
      </c>
      <c r="N175" s="21">
        <v>200</v>
      </c>
      <c r="O175" s="21">
        <v>200</v>
      </c>
      <c r="P175" s="21">
        <f>+N175-J175</f>
        <v>0</v>
      </c>
      <c r="Q175" s="21">
        <f>+N175-O175</f>
        <v>0</v>
      </c>
    </row>
    <row r="176" spans="1:17" ht="13.8" x14ac:dyDescent="0.25">
      <c r="A176" s="177" t="s">
        <v>77</v>
      </c>
      <c r="B176" s="177"/>
      <c r="C176" s="177"/>
      <c r="D176" s="24">
        <f t="shared" ref="D176:F176" si="140">SUM(D175:D175)</f>
        <v>200</v>
      </c>
      <c r="E176" s="24">
        <f t="shared" si="140"/>
        <v>576.36</v>
      </c>
      <c r="F176" s="24">
        <f t="shared" si="140"/>
        <v>200</v>
      </c>
      <c r="G176" s="24">
        <f>SUM(G175:G175)</f>
        <v>303.14999999999998</v>
      </c>
      <c r="H176" s="24">
        <f t="shared" ref="H176:J176" si="141">SUM(H175:H175)</f>
        <v>200</v>
      </c>
      <c r="I176" s="24">
        <f t="shared" si="141"/>
        <v>18.78</v>
      </c>
      <c r="J176" s="24">
        <f t="shared" si="141"/>
        <v>200</v>
      </c>
      <c r="K176" s="26"/>
      <c r="L176" s="24">
        <f t="shared" ref="L176:Q176" si="142">SUM(L175:L175)</f>
        <v>200</v>
      </c>
      <c r="M176" s="24">
        <f t="shared" si="142"/>
        <v>200</v>
      </c>
      <c r="N176" s="24">
        <f t="shared" si="142"/>
        <v>200</v>
      </c>
      <c r="O176" s="24">
        <f t="shared" si="142"/>
        <v>200</v>
      </c>
      <c r="P176" s="24">
        <f t="shared" si="142"/>
        <v>0</v>
      </c>
      <c r="Q176" s="24">
        <f t="shared" si="142"/>
        <v>0</v>
      </c>
    </row>
    <row r="177" spans="1:17" ht="13.8" x14ac:dyDescent="0.25">
      <c r="A177" s="178" t="s">
        <v>261</v>
      </c>
      <c r="B177" s="178"/>
      <c r="C177" s="178"/>
      <c r="D177" s="40">
        <f t="shared" ref="D177" si="143">D165+D170+D173+D176</f>
        <v>38385</v>
      </c>
      <c r="E177" s="40">
        <f>E165+E170+E176+E173</f>
        <v>45097.78</v>
      </c>
      <c r="F177" s="40">
        <f t="shared" ref="F177" si="144">F165+F170+F173+F176</f>
        <v>39277</v>
      </c>
      <c r="G177" s="40">
        <f>G165+G170+G173+G176</f>
        <v>41278.769999999997</v>
      </c>
      <c r="H177" s="40">
        <f t="shared" ref="H177:J177" si="145">H165+H170+H173+H176</f>
        <v>42554</v>
      </c>
      <c r="I177" s="40">
        <f t="shared" si="145"/>
        <v>46732.86</v>
      </c>
      <c r="J177" s="40">
        <f t="shared" si="145"/>
        <v>42259</v>
      </c>
      <c r="K177" s="26"/>
      <c r="L177" s="40">
        <f t="shared" ref="L177:O177" si="146">L165+L170+L173+L176</f>
        <v>43279</v>
      </c>
      <c r="M177" s="40">
        <f t="shared" si="146"/>
        <v>43279</v>
      </c>
      <c r="N177" s="40">
        <f t="shared" si="146"/>
        <v>43279</v>
      </c>
      <c r="O177" s="40">
        <f t="shared" si="146"/>
        <v>43279</v>
      </c>
      <c r="P177" s="40">
        <f>P165+P170+P176+P173</f>
        <v>1020</v>
      </c>
      <c r="Q177" s="40">
        <f>Q165+Q170+Q176+Q173</f>
        <v>0</v>
      </c>
    </row>
    <row r="178" spans="1:17" ht="13.8" x14ac:dyDescent="0.25">
      <c r="A178" s="178" t="s">
        <v>262</v>
      </c>
      <c r="B178" s="178"/>
      <c r="C178" s="178"/>
      <c r="D178" s="40">
        <f t="shared" ref="D178:I178" si="147">D46+D71+D96+D126+D160+D177</f>
        <v>9301623.6500000004</v>
      </c>
      <c r="E178" s="40">
        <f t="shared" si="147"/>
        <v>9220099.2699999996</v>
      </c>
      <c r="F178" s="40">
        <f t="shared" si="147"/>
        <v>9642006.7100000009</v>
      </c>
      <c r="G178" s="40">
        <f t="shared" si="147"/>
        <v>9455403.9800000004</v>
      </c>
      <c r="H178" s="40">
        <f t="shared" si="147"/>
        <v>10555083</v>
      </c>
      <c r="I178" s="40">
        <f t="shared" si="147"/>
        <v>10403952.109999999</v>
      </c>
      <c r="J178" s="40">
        <f>J46+J71+J96+J126+J160+J177</f>
        <v>12056310</v>
      </c>
      <c r="K178" s="26"/>
      <c r="L178" s="40">
        <f t="shared" ref="L178:P178" si="148">L46+L71+L96+L126+L160+L177</f>
        <v>12367456</v>
      </c>
      <c r="M178" s="40">
        <f t="shared" si="148"/>
        <v>12367456</v>
      </c>
      <c r="N178" s="40">
        <f t="shared" si="148"/>
        <v>12367456</v>
      </c>
      <c r="O178" s="40">
        <f t="shared" si="148"/>
        <v>12367456</v>
      </c>
      <c r="P178" s="40">
        <f t="shared" si="148"/>
        <v>311146</v>
      </c>
      <c r="Q178" s="40">
        <f>Q46+Q71+Q96+Q126+Q160+Q177</f>
        <v>0</v>
      </c>
    </row>
    <row r="179" spans="1:17" ht="13.8" x14ac:dyDescent="0.25">
      <c r="A179" s="179" t="s">
        <v>80</v>
      </c>
      <c r="B179" s="179"/>
      <c r="C179" s="179"/>
      <c r="D179" s="41">
        <f t="shared" ref="D179:J179" si="149">D178</f>
        <v>9301623.6500000004</v>
      </c>
      <c r="E179" s="41">
        <f t="shared" si="149"/>
        <v>9220099.2699999996</v>
      </c>
      <c r="F179" s="41">
        <f t="shared" si="149"/>
        <v>9642006.7100000009</v>
      </c>
      <c r="G179" s="41">
        <f t="shared" si="149"/>
        <v>9455403.9800000004</v>
      </c>
      <c r="H179" s="41">
        <f t="shared" si="149"/>
        <v>10555083</v>
      </c>
      <c r="I179" s="41">
        <f t="shared" si="149"/>
        <v>10403952.109999999</v>
      </c>
      <c r="J179" s="41">
        <f t="shared" si="149"/>
        <v>12056310</v>
      </c>
      <c r="K179" s="26"/>
      <c r="L179" s="41">
        <f t="shared" ref="L179:P179" si="150">L178</f>
        <v>12367456</v>
      </c>
      <c r="M179" s="41">
        <f t="shared" si="150"/>
        <v>12367456</v>
      </c>
      <c r="N179" s="41">
        <f t="shared" si="150"/>
        <v>12367456</v>
      </c>
      <c r="O179" s="41">
        <f t="shared" si="150"/>
        <v>12367456</v>
      </c>
      <c r="P179" s="41">
        <f t="shared" si="150"/>
        <v>311146</v>
      </c>
      <c r="Q179" s="41">
        <f>Q178</f>
        <v>0</v>
      </c>
    </row>
    <row r="180" spans="1:17" ht="13.8" x14ac:dyDescent="0.25">
      <c r="B180" s="64"/>
      <c r="D180" s="27"/>
      <c r="E180" s="30"/>
      <c r="F180" s="27"/>
      <c r="G180" s="30"/>
      <c r="H180" s="27"/>
      <c r="I180" s="27"/>
      <c r="J180" s="27"/>
      <c r="K180" s="29"/>
      <c r="L180" s="27"/>
      <c r="M180" s="27"/>
      <c r="N180" s="27"/>
      <c r="O180" s="27"/>
      <c r="P180" s="30"/>
      <c r="Q180" s="30"/>
    </row>
    <row r="181" spans="1:17" ht="13.8" x14ac:dyDescent="0.25">
      <c r="A181" s="179" t="s">
        <v>81</v>
      </c>
      <c r="B181" s="179"/>
      <c r="C181" s="179"/>
      <c r="D181" s="41">
        <f t="shared" ref="D181:I181" si="151">D179</f>
        <v>9301623.6500000004</v>
      </c>
      <c r="E181" s="41">
        <f t="shared" si="151"/>
        <v>9220099.2699999996</v>
      </c>
      <c r="F181" s="41">
        <f t="shared" si="151"/>
        <v>9642006.7100000009</v>
      </c>
      <c r="G181" s="41">
        <f t="shared" si="151"/>
        <v>9455403.9800000004</v>
      </c>
      <c r="H181" s="41">
        <f t="shared" si="151"/>
        <v>10555083</v>
      </c>
      <c r="I181" s="41">
        <f t="shared" si="151"/>
        <v>10403952.109999999</v>
      </c>
      <c r="J181" s="41">
        <f>J179</f>
        <v>12056310</v>
      </c>
      <c r="K181" s="26"/>
      <c r="L181" s="41">
        <f t="shared" ref="L181:O181" si="152">L179</f>
        <v>12367456</v>
      </c>
      <c r="M181" s="41">
        <f t="shared" si="152"/>
        <v>12367456</v>
      </c>
      <c r="N181" s="41">
        <f t="shared" si="152"/>
        <v>12367456</v>
      </c>
      <c r="O181" s="41">
        <f t="shared" si="152"/>
        <v>12367456</v>
      </c>
      <c r="P181" s="41">
        <f>P179</f>
        <v>311146</v>
      </c>
      <c r="Q181" s="41">
        <f t="shared" ref="Q181" si="153">Q179</f>
        <v>0</v>
      </c>
    </row>
    <row r="182" spans="1:17" x14ac:dyDescent="0.3">
      <c r="B182" s="64"/>
      <c r="H182" s="30"/>
      <c r="I182" s="30"/>
      <c r="J182" s="30"/>
      <c r="K182" s="30"/>
      <c r="L182" s="30"/>
      <c r="M182" s="30"/>
      <c r="N182" s="30"/>
      <c r="O182" s="30"/>
    </row>
    <row r="183" spans="1:17" x14ac:dyDescent="0.3">
      <c r="M183" s="97"/>
      <c r="N183" s="97"/>
    </row>
    <row r="184" spans="1:17" x14ac:dyDescent="0.3">
      <c r="L184" s="97">
        <f>+L181-J181</f>
        <v>311146</v>
      </c>
      <c r="M184" s="97"/>
      <c r="N184" s="97">
        <f>+N181-O181</f>
        <v>0</v>
      </c>
    </row>
    <row r="185" spans="1:17" x14ac:dyDescent="0.3">
      <c r="L185" s="113"/>
      <c r="M185" s="97"/>
      <c r="N185" s="97"/>
    </row>
    <row r="224" ht="6" customHeight="1" x14ac:dyDescent="0.3"/>
    <row r="226" ht="6" customHeight="1" x14ac:dyDescent="0.3"/>
  </sheetData>
  <mergeCells count="85">
    <mergeCell ref="A181:C181"/>
    <mergeCell ref="A173:C173"/>
    <mergeCell ref="A174:C174"/>
    <mergeCell ref="A176:C176"/>
    <mergeCell ref="A177:C177"/>
    <mergeCell ref="A178:C178"/>
    <mergeCell ref="A179:C179"/>
    <mergeCell ref="A171:C171"/>
    <mergeCell ref="A151:C151"/>
    <mergeCell ref="A152:C152"/>
    <mergeCell ref="A156:C156"/>
    <mergeCell ref="A157:C157"/>
    <mergeCell ref="A159:C159"/>
    <mergeCell ref="A160:C160"/>
    <mergeCell ref="A161:C161"/>
    <mergeCell ref="A162:C162"/>
    <mergeCell ref="A165:C165"/>
    <mergeCell ref="A166:C166"/>
    <mergeCell ref="A170:C170"/>
    <mergeCell ref="A149:C149"/>
    <mergeCell ref="A125:C125"/>
    <mergeCell ref="A126:C126"/>
    <mergeCell ref="A127:C127"/>
    <mergeCell ref="A128:C128"/>
    <mergeCell ref="A134:C134"/>
    <mergeCell ref="A135:C135"/>
    <mergeCell ref="A140:C140"/>
    <mergeCell ref="A141:C141"/>
    <mergeCell ref="A145:C145"/>
    <mergeCell ref="A146:C146"/>
    <mergeCell ref="A148:C148"/>
    <mergeCell ref="A122:C122"/>
    <mergeCell ref="A95:C95"/>
    <mergeCell ref="A96:C96"/>
    <mergeCell ref="A97:C97"/>
    <mergeCell ref="A98:C98"/>
    <mergeCell ref="A105:C105"/>
    <mergeCell ref="A106:C106"/>
    <mergeCell ref="A112:C112"/>
    <mergeCell ref="A113:C113"/>
    <mergeCell ref="A117:C117"/>
    <mergeCell ref="A118:C118"/>
    <mergeCell ref="A121:C121"/>
    <mergeCell ref="A93:C93"/>
    <mergeCell ref="A72:C72"/>
    <mergeCell ref="A73:C73"/>
    <mergeCell ref="A75:C75"/>
    <mergeCell ref="A76:C76"/>
    <mergeCell ref="A80:C80"/>
    <mergeCell ref="A81:C81"/>
    <mergeCell ref="A85:C85"/>
    <mergeCell ref="A86:C86"/>
    <mergeCell ref="A88:C88"/>
    <mergeCell ref="A89:C89"/>
    <mergeCell ref="A92:C92"/>
    <mergeCell ref="A71:C71"/>
    <mergeCell ref="A47:C47"/>
    <mergeCell ref="A48:C48"/>
    <mergeCell ref="A52:C52"/>
    <mergeCell ref="A53:C53"/>
    <mergeCell ref="A58:C58"/>
    <mergeCell ref="A59:C59"/>
    <mergeCell ref="A62:C62"/>
    <mergeCell ref="A63:C63"/>
    <mergeCell ref="A67:C67"/>
    <mergeCell ref="A68:C68"/>
    <mergeCell ref="A70:C70"/>
    <mergeCell ref="A46:C46"/>
    <mergeCell ref="A15:C15"/>
    <mergeCell ref="A16:C16"/>
    <mergeCell ref="A23:C23"/>
    <mergeCell ref="A24:C24"/>
    <mergeCell ref="A31:C31"/>
    <mergeCell ref="A32:C32"/>
    <mergeCell ref="A35:C35"/>
    <mergeCell ref="A36:C36"/>
    <mergeCell ref="A41:C41"/>
    <mergeCell ref="A42:C42"/>
    <mergeCell ref="A45:C45"/>
    <mergeCell ref="A9:C9"/>
    <mergeCell ref="A1:Q1"/>
    <mergeCell ref="A5:C5"/>
    <mergeCell ref="A6:C6"/>
    <mergeCell ref="A7:C7"/>
    <mergeCell ref="A8:C8"/>
  </mergeCells>
  <printOptions horizontalCentered="1" verticalCentered="1"/>
  <pageMargins left="0.7" right="0.7" top="0.75" bottom="0.75" header="0.3" footer="0.3"/>
  <pageSetup scale="52" fitToHeight="0" orientation="landscape" r:id="rId1"/>
  <headerFooter>
    <oddFooter>&amp;RBudget Kick Off - 11.01.25</oddFooter>
  </headerFooter>
  <rowBreaks count="5" manualBreakCount="5">
    <brk id="46" max="16383" man="1"/>
    <brk id="71" max="16383" man="1"/>
    <brk id="96" max="16383" man="1"/>
    <brk id="126" max="16383" man="1"/>
    <brk id="160" max="16383"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F4C73-F68C-4F4E-84C3-205C113C4F12}">
  <sheetPr codeName="Sheet20">
    <tabColor rgb="FF92D050"/>
    <pageSetUpPr fitToPage="1"/>
  </sheetPr>
  <dimension ref="A1:Q184"/>
  <sheetViews>
    <sheetView zoomScale="90" zoomScaleNormal="90" zoomScalePageLayoutView="80" workbookViewId="0">
      <pane ySplit="4" topLeftCell="A5" activePane="bottomLeft" state="frozen"/>
      <selection activeCell="AD145" sqref="AD145"/>
      <selection pane="bottomLeft" activeCell="C16" sqref="C16"/>
    </sheetView>
  </sheetViews>
  <sheetFormatPr defaultColWidth="9" defaultRowHeight="14.4" x14ac:dyDescent="0.3"/>
  <cols>
    <col min="1" max="1" width="5.33203125" style="3" bestFit="1" customWidth="1"/>
    <col min="2" max="2" width="8.6640625" style="3" bestFit="1" customWidth="1"/>
    <col min="3" max="3" width="32.109375" style="3" bestFit="1" customWidth="1"/>
    <col min="4" max="9" width="13" style="3" customWidth="1"/>
    <col min="10" max="10" width="13.5546875" style="30" bestFit="1" customWidth="1"/>
    <col min="11" max="11" width="1.88671875" style="3" customWidth="1"/>
    <col min="12" max="12" width="15.5546875" style="3" bestFit="1" customWidth="1"/>
    <col min="13" max="13" width="15" style="3" bestFit="1" customWidth="1"/>
    <col min="14" max="14" width="17.33203125" style="3" bestFit="1" customWidth="1"/>
    <col min="15" max="15" width="13.5546875" style="3" bestFit="1" customWidth="1"/>
    <col min="16" max="16" width="16.33203125" bestFit="1" customWidth="1"/>
    <col min="17" max="17" width="12" bestFit="1" customWidth="1"/>
    <col min="18" max="16384" width="9" style="3"/>
  </cols>
  <sheetData>
    <row r="1" spans="1:17" s="4" customFormat="1" ht="75" customHeight="1" x14ac:dyDescent="0.25">
      <c r="A1" s="170" t="s">
        <v>263</v>
      </c>
      <c r="B1" s="170"/>
      <c r="C1" s="170"/>
      <c r="D1" s="170"/>
      <c r="E1" s="170"/>
      <c r="F1" s="170"/>
      <c r="G1" s="170"/>
      <c r="H1" s="170"/>
      <c r="I1" s="170"/>
      <c r="J1" s="170"/>
      <c r="K1" s="170"/>
      <c r="L1" s="170"/>
      <c r="M1" s="170"/>
      <c r="N1" s="170"/>
      <c r="O1" s="170"/>
      <c r="P1" s="170"/>
      <c r="Q1" s="170"/>
    </row>
    <row r="2" spans="1:17" s="4" customFormat="1" ht="6" customHeight="1" x14ac:dyDescent="0.25"/>
    <row r="3" spans="1:17" s="4" customFormat="1" ht="39.6" x14ac:dyDescent="0.25">
      <c r="A3" s="9"/>
      <c r="B3" s="9" t="s">
        <v>0</v>
      </c>
      <c r="C3" s="9"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11"/>
      <c r="P4" s="3"/>
      <c r="Q4" s="3"/>
    </row>
    <row r="5" spans="1:17" ht="13.8" x14ac:dyDescent="0.25">
      <c r="A5" s="171" t="s">
        <v>69</v>
      </c>
      <c r="B5" s="171"/>
      <c r="C5" s="171"/>
      <c r="D5" s="12"/>
      <c r="E5" s="12"/>
      <c r="F5" s="12"/>
      <c r="G5" s="12"/>
      <c r="K5" s="11"/>
      <c r="P5" s="3"/>
      <c r="Q5" s="3"/>
    </row>
    <row r="6" spans="1:17" ht="13.8" x14ac:dyDescent="0.25">
      <c r="A6" s="172" t="s">
        <v>70</v>
      </c>
      <c r="B6" s="172"/>
      <c r="C6" s="172"/>
      <c r="D6" s="14"/>
      <c r="E6" s="14"/>
      <c r="F6" s="14"/>
      <c r="G6" s="14"/>
      <c r="K6" s="11"/>
      <c r="P6" s="3"/>
      <c r="Q6" s="3"/>
    </row>
    <row r="7" spans="1:17" ht="13.8" x14ac:dyDescent="0.25">
      <c r="A7" s="173" t="s">
        <v>264</v>
      </c>
      <c r="B7" s="173"/>
      <c r="C7" s="173"/>
      <c r="D7" s="15"/>
      <c r="E7" s="15"/>
      <c r="F7" s="15"/>
      <c r="G7" s="15"/>
      <c r="K7" s="11"/>
      <c r="P7" s="3"/>
      <c r="Q7" s="3"/>
    </row>
    <row r="8" spans="1:17" ht="13.8" x14ac:dyDescent="0.25">
      <c r="A8" s="174" t="s">
        <v>220</v>
      </c>
      <c r="B8" s="174"/>
      <c r="C8" s="174"/>
      <c r="D8" s="16"/>
      <c r="E8" s="16"/>
      <c r="F8" s="16"/>
      <c r="G8" s="16"/>
      <c r="K8" s="11"/>
      <c r="P8" s="3"/>
      <c r="Q8" s="3"/>
    </row>
    <row r="9" spans="1:17" ht="13.8" x14ac:dyDescent="0.25">
      <c r="A9" s="175" t="s">
        <v>11</v>
      </c>
      <c r="B9" s="175"/>
      <c r="C9" s="175"/>
      <c r="D9" s="17"/>
      <c r="E9" s="17"/>
      <c r="F9" s="17"/>
      <c r="G9" s="17"/>
      <c r="K9" s="11"/>
      <c r="P9" s="3"/>
      <c r="Q9" s="3"/>
    </row>
    <row r="10" spans="1:17" ht="13.8" x14ac:dyDescent="0.25">
      <c r="A10" s="50" t="s">
        <v>265</v>
      </c>
      <c r="B10" s="19" t="s">
        <v>35</v>
      </c>
      <c r="C10" s="20" t="s">
        <v>36</v>
      </c>
      <c r="D10" s="21">
        <v>729926</v>
      </c>
      <c r="E10" s="21">
        <v>656095.5</v>
      </c>
      <c r="F10" s="21">
        <v>728886</v>
      </c>
      <c r="G10" s="21">
        <v>700814.56</v>
      </c>
      <c r="H10" s="21">
        <v>761392</v>
      </c>
      <c r="I10" s="21">
        <v>672650.92</v>
      </c>
      <c r="J10" s="114">
        <v>793562</v>
      </c>
      <c r="K10" s="23"/>
      <c r="L10" s="114">
        <v>874055</v>
      </c>
      <c r="M10" s="114">
        <v>874055</v>
      </c>
      <c r="N10" s="114">
        <v>874055</v>
      </c>
      <c r="O10" s="114">
        <v>874055</v>
      </c>
      <c r="P10" s="21">
        <f>+N10-J10</f>
        <v>80493</v>
      </c>
      <c r="Q10" s="21">
        <f>+N10-O10</f>
        <v>0</v>
      </c>
    </row>
    <row r="11" spans="1:17" ht="13.8" x14ac:dyDescent="0.25">
      <c r="A11" s="50" t="s">
        <v>265</v>
      </c>
      <c r="B11" s="19" t="s">
        <v>39</v>
      </c>
      <c r="C11" s="20" t="s">
        <v>40</v>
      </c>
      <c r="D11" s="21">
        <v>122735</v>
      </c>
      <c r="E11" s="21">
        <v>121180.27</v>
      </c>
      <c r="F11" s="21">
        <v>117128</v>
      </c>
      <c r="G11" s="21">
        <v>125845.11</v>
      </c>
      <c r="H11" s="21">
        <v>112787</v>
      </c>
      <c r="I11" s="21">
        <v>137287.09</v>
      </c>
      <c r="J11" s="114">
        <v>140993</v>
      </c>
      <c r="K11" s="23"/>
      <c r="L11" s="114">
        <v>149678</v>
      </c>
      <c r="M11" s="114">
        <v>149678</v>
      </c>
      <c r="N11" s="114">
        <v>149678</v>
      </c>
      <c r="O11" s="114">
        <v>140993</v>
      </c>
      <c r="P11" s="21">
        <f>+N11-J11</f>
        <v>8685</v>
      </c>
      <c r="Q11" s="21">
        <f>+N11-O11</f>
        <v>8685</v>
      </c>
    </row>
    <row r="12" spans="1:17" ht="13.8" x14ac:dyDescent="0.25">
      <c r="A12" s="50" t="s">
        <v>265</v>
      </c>
      <c r="B12" s="19" t="s">
        <v>222</v>
      </c>
      <c r="C12" s="20" t="s">
        <v>266</v>
      </c>
      <c r="D12" s="21">
        <v>0</v>
      </c>
      <c r="E12" s="21">
        <v>0</v>
      </c>
      <c r="F12" s="21">
        <v>0</v>
      </c>
      <c r="G12" s="21">
        <v>0</v>
      </c>
      <c r="H12" s="21">
        <v>0</v>
      </c>
      <c r="I12" s="21">
        <v>0</v>
      </c>
      <c r="J12" s="114">
        <v>7368</v>
      </c>
      <c r="K12" s="23"/>
      <c r="L12" s="114">
        <v>7826</v>
      </c>
      <c r="M12" s="114">
        <v>7826</v>
      </c>
      <c r="N12" s="114">
        <v>7826</v>
      </c>
      <c r="O12" s="114">
        <v>7826</v>
      </c>
      <c r="P12" s="21">
        <f>+N12-J12</f>
        <v>458</v>
      </c>
      <c r="Q12" s="21">
        <f>+N12-O12</f>
        <v>0</v>
      </c>
    </row>
    <row r="13" spans="1:17" ht="13.8" x14ac:dyDescent="0.25">
      <c r="A13" s="50" t="s">
        <v>265</v>
      </c>
      <c r="B13" s="19" t="s">
        <v>240</v>
      </c>
      <c r="C13" s="20" t="s">
        <v>241</v>
      </c>
      <c r="D13" s="21">
        <v>19399</v>
      </c>
      <c r="E13" s="21">
        <v>20245.09</v>
      </c>
      <c r="F13" s="21">
        <v>23282</v>
      </c>
      <c r="G13" s="21">
        <v>14595.12</v>
      </c>
      <c r="H13" s="21">
        <v>25796</v>
      </c>
      <c r="I13" s="21">
        <v>17875.88</v>
      </c>
      <c r="J13" s="114">
        <v>25798</v>
      </c>
      <c r="K13" s="23"/>
      <c r="L13" s="114">
        <v>28739</v>
      </c>
      <c r="M13" s="114">
        <v>28739</v>
      </c>
      <c r="N13" s="114">
        <v>28739</v>
      </c>
      <c r="O13" s="114">
        <v>28739</v>
      </c>
      <c r="P13" s="21">
        <f>+N13-J13</f>
        <v>2941</v>
      </c>
      <c r="Q13" s="21">
        <f>+N13-O13</f>
        <v>0</v>
      </c>
    </row>
    <row r="14" spans="1:17" ht="13.8" x14ac:dyDescent="0.25">
      <c r="A14" s="176" t="s">
        <v>74</v>
      </c>
      <c r="B14" s="176"/>
      <c r="C14" s="176"/>
      <c r="D14" s="24">
        <f t="shared" ref="D14:J14" si="0">SUM(D10:D13)</f>
        <v>872060</v>
      </c>
      <c r="E14" s="24">
        <f t="shared" si="0"/>
        <v>797520.86</v>
      </c>
      <c r="F14" s="24">
        <f t="shared" si="0"/>
        <v>869296</v>
      </c>
      <c r="G14" s="24">
        <f t="shared" si="0"/>
        <v>841254.79</v>
      </c>
      <c r="H14" s="24">
        <f t="shared" si="0"/>
        <v>899975</v>
      </c>
      <c r="I14" s="24">
        <f t="shared" si="0"/>
        <v>827813.89</v>
      </c>
      <c r="J14" s="24">
        <f t="shared" si="0"/>
        <v>967721</v>
      </c>
      <c r="K14" s="26"/>
      <c r="L14" s="24">
        <f t="shared" ref="L14:Q14" si="1">SUM(L10:L13)</f>
        <v>1060298</v>
      </c>
      <c r="M14" s="24">
        <f t="shared" si="1"/>
        <v>1060298</v>
      </c>
      <c r="N14" s="24">
        <f t="shared" si="1"/>
        <v>1060298</v>
      </c>
      <c r="O14" s="24">
        <f t="shared" si="1"/>
        <v>1051613</v>
      </c>
      <c r="P14" s="24">
        <f t="shared" si="1"/>
        <v>92577</v>
      </c>
      <c r="Q14" s="24">
        <f t="shared" si="1"/>
        <v>8685</v>
      </c>
    </row>
    <row r="15" spans="1:17" ht="13.8" x14ac:dyDescent="0.25">
      <c r="A15" s="175" t="s">
        <v>14</v>
      </c>
      <c r="B15" s="175"/>
      <c r="C15" s="175"/>
      <c r="D15" s="27"/>
      <c r="E15" s="27"/>
      <c r="F15" s="27"/>
      <c r="G15" s="27"/>
      <c r="H15" s="27"/>
      <c r="I15" s="27"/>
      <c r="J15" s="27"/>
      <c r="K15" s="29"/>
      <c r="L15" s="27"/>
      <c r="M15" s="27"/>
      <c r="N15" s="27"/>
      <c r="O15" s="27"/>
      <c r="P15" s="30"/>
      <c r="Q15" s="30"/>
    </row>
    <row r="16" spans="1:17" ht="13.8" x14ac:dyDescent="0.25">
      <c r="A16" s="50" t="s">
        <v>265</v>
      </c>
      <c r="B16" s="19" t="s">
        <v>41</v>
      </c>
      <c r="C16" s="20" t="s">
        <v>42</v>
      </c>
      <c r="D16" s="21">
        <v>47503</v>
      </c>
      <c r="E16" s="21">
        <v>38968.33</v>
      </c>
      <c r="F16" s="21">
        <v>54292</v>
      </c>
      <c r="G16" s="21">
        <v>47633.13</v>
      </c>
      <c r="H16" s="21">
        <v>52595</v>
      </c>
      <c r="I16" s="21">
        <v>38983.15</v>
      </c>
      <c r="J16" s="114">
        <v>32000</v>
      </c>
      <c r="K16" s="23"/>
      <c r="L16" s="115">
        <v>38246</v>
      </c>
      <c r="M16" s="115">
        <v>38246</v>
      </c>
      <c r="N16" s="115">
        <v>38246</v>
      </c>
      <c r="O16" s="115">
        <v>38246</v>
      </c>
      <c r="P16" s="21">
        <f>+N16-J16</f>
        <v>6246</v>
      </c>
      <c r="Q16" s="21">
        <f>+N16-O16</f>
        <v>0</v>
      </c>
    </row>
    <row r="17" spans="1:17" ht="13.8" x14ac:dyDescent="0.25">
      <c r="A17" s="50" t="s">
        <v>265</v>
      </c>
      <c r="B17" s="19" t="s">
        <v>15</v>
      </c>
      <c r="C17" s="20" t="s">
        <v>16</v>
      </c>
      <c r="D17" s="21">
        <v>4186</v>
      </c>
      <c r="E17" s="21">
        <v>1105.1300000000001</v>
      </c>
      <c r="F17" s="21">
        <v>0</v>
      </c>
      <c r="G17" s="21">
        <v>0</v>
      </c>
      <c r="H17" s="21">
        <v>0</v>
      </c>
      <c r="I17" s="21">
        <v>0</v>
      </c>
      <c r="J17" s="21">
        <v>0</v>
      </c>
      <c r="K17" s="23"/>
      <c r="L17" s="21">
        <v>0</v>
      </c>
      <c r="M17" s="21">
        <v>0</v>
      </c>
      <c r="N17" s="21">
        <v>0</v>
      </c>
      <c r="O17" s="21">
        <v>0</v>
      </c>
      <c r="P17" s="21">
        <f>+N17-J17</f>
        <v>0</v>
      </c>
      <c r="Q17" s="21">
        <f>+N17-O17</f>
        <v>0</v>
      </c>
    </row>
    <row r="18" spans="1:17" ht="13.8" x14ac:dyDescent="0.25">
      <c r="A18" s="50" t="s">
        <v>265</v>
      </c>
      <c r="B18" s="19" t="s">
        <v>17</v>
      </c>
      <c r="C18" s="20" t="s">
        <v>18</v>
      </c>
      <c r="D18" s="21">
        <v>12645</v>
      </c>
      <c r="E18" s="21">
        <v>12470.81</v>
      </c>
      <c r="F18" s="21">
        <v>12605</v>
      </c>
      <c r="G18" s="21">
        <v>11601.51</v>
      </c>
      <c r="H18" s="21">
        <v>13050</v>
      </c>
      <c r="I18" s="21">
        <v>11583.67</v>
      </c>
      <c r="J18" s="114">
        <v>14034</v>
      </c>
      <c r="K18" s="23"/>
      <c r="L18" s="114">
        <v>15375</v>
      </c>
      <c r="M18" s="114">
        <v>15375</v>
      </c>
      <c r="N18" s="114">
        <v>15375</v>
      </c>
      <c r="O18" s="114">
        <v>15249</v>
      </c>
      <c r="P18" s="21">
        <f>+N18-J18</f>
        <v>1341</v>
      </c>
      <c r="Q18" s="21">
        <f>+N18-O18</f>
        <v>126</v>
      </c>
    </row>
    <row r="19" spans="1:17" ht="13.8" x14ac:dyDescent="0.25">
      <c r="A19" s="50" t="s">
        <v>265</v>
      </c>
      <c r="B19" s="19" t="s">
        <v>43</v>
      </c>
      <c r="C19" s="20" t="s">
        <v>44</v>
      </c>
      <c r="D19" s="21">
        <v>274911</v>
      </c>
      <c r="E19" s="21">
        <v>259293.95</v>
      </c>
      <c r="F19" s="21">
        <v>263832</v>
      </c>
      <c r="G19" s="21">
        <v>247160.76</v>
      </c>
      <c r="H19" s="21">
        <v>273142</v>
      </c>
      <c r="I19" s="21">
        <v>251125.28</v>
      </c>
      <c r="J19" s="114">
        <v>282092</v>
      </c>
      <c r="K19" s="23"/>
      <c r="L19" s="115">
        <v>309077</v>
      </c>
      <c r="M19" s="115">
        <v>309077</v>
      </c>
      <c r="N19" s="115">
        <v>309077</v>
      </c>
      <c r="O19" s="115">
        <v>306546</v>
      </c>
      <c r="P19" s="21">
        <f>+N19-J19</f>
        <v>26985</v>
      </c>
      <c r="Q19" s="21">
        <f>+N19-O19</f>
        <v>2531</v>
      </c>
    </row>
    <row r="20" spans="1:17" ht="13.8" x14ac:dyDescent="0.25">
      <c r="A20" s="50" t="s">
        <v>265</v>
      </c>
      <c r="B20" s="19" t="s">
        <v>19</v>
      </c>
      <c r="C20" s="20" t="s">
        <v>20</v>
      </c>
      <c r="D20" s="21">
        <v>26694</v>
      </c>
      <c r="E20" s="21">
        <v>25445.24</v>
      </c>
      <c r="F20" s="21">
        <v>28270</v>
      </c>
      <c r="G20" s="21">
        <v>30122.47</v>
      </c>
      <c r="H20" s="21">
        <v>33756</v>
      </c>
      <c r="I20" s="21">
        <v>33756.17</v>
      </c>
      <c r="J20" s="114">
        <v>39884</v>
      </c>
      <c r="K20" s="23"/>
      <c r="L20" s="115">
        <v>39290</v>
      </c>
      <c r="M20" s="115">
        <v>39290</v>
      </c>
      <c r="N20" s="115">
        <v>39290</v>
      </c>
      <c r="O20" s="115">
        <v>39290</v>
      </c>
      <c r="P20" s="21">
        <f>+N20-J20</f>
        <v>-594</v>
      </c>
      <c r="Q20" s="21">
        <f>+N20-O20</f>
        <v>0</v>
      </c>
    </row>
    <row r="21" spans="1:17" ht="13.8" x14ac:dyDescent="0.25">
      <c r="A21" s="176" t="s">
        <v>75</v>
      </c>
      <c r="B21" s="176"/>
      <c r="C21" s="176"/>
      <c r="D21" s="24">
        <f t="shared" ref="D21" si="2">SUM(D16:D20)</f>
        <v>365939</v>
      </c>
      <c r="E21" s="24">
        <f>SUM(E16:E20)</f>
        <v>337283.46</v>
      </c>
      <c r="F21" s="24">
        <f t="shared" ref="F21:J21" si="3">SUM(F16:F20)</f>
        <v>358999</v>
      </c>
      <c r="G21" s="24">
        <f t="shared" si="3"/>
        <v>336517.87</v>
      </c>
      <c r="H21" s="24">
        <f t="shared" si="3"/>
        <v>372543</v>
      </c>
      <c r="I21" s="24">
        <f t="shared" si="3"/>
        <v>335448.26999999996</v>
      </c>
      <c r="J21" s="24">
        <f t="shared" si="3"/>
        <v>368010</v>
      </c>
      <c r="K21" s="26"/>
      <c r="L21" s="24">
        <f t="shared" ref="L21:O21" si="4">SUM(L16:L20)</f>
        <v>401988</v>
      </c>
      <c r="M21" s="24">
        <f t="shared" si="4"/>
        <v>401988</v>
      </c>
      <c r="N21" s="24">
        <f t="shared" si="4"/>
        <v>401988</v>
      </c>
      <c r="O21" s="24">
        <f t="shared" si="4"/>
        <v>399331</v>
      </c>
      <c r="P21" s="24">
        <f>SUM(P16:P20)</f>
        <v>33978</v>
      </c>
      <c r="Q21" s="24">
        <f>SUM(Q16:Q20)</f>
        <v>2657</v>
      </c>
    </row>
    <row r="22" spans="1:17" ht="13.8" x14ac:dyDescent="0.25">
      <c r="A22" s="175" t="s">
        <v>21</v>
      </c>
      <c r="B22" s="175"/>
      <c r="C22" s="175"/>
      <c r="D22" s="27"/>
      <c r="E22" s="27"/>
      <c r="F22" s="27"/>
      <c r="G22" s="27"/>
      <c r="H22" s="27"/>
      <c r="I22" s="27"/>
      <c r="J22" s="27"/>
      <c r="K22" s="29"/>
      <c r="L22" s="27"/>
      <c r="M22" s="27"/>
      <c r="N22" s="27"/>
      <c r="O22" s="27"/>
      <c r="P22" s="30"/>
      <c r="Q22" s="30"/>
    </row>
    <row r="23" spans="1:17" ht="13.8" x14ac:dyDescent="0.25">
      <c r="A23" s="50" t="s">
        <v>265</v>
      </c>
      <c r="B23" s="19" t="s">
        <v>131</v>
      </c>
      <c r="C23" s="20" t="s">
        <v>132</v>
      </c>
      <c r="D23" s="21">
        <v>8000</v>
      </c>
      <c r="E23" s="21">
        <v>1179</v>
      </c>
      <c r="F23" s="21">
        <v>8000</v>
      </c>
      <c r="G23" s="21">
        <v>2303.08</v>
      </c>
      <c r="H23" s="21">
        <v>8000</v>
      </c>
      <c r="I23" s="21">
        <v>375</v>
      </c>
      <c r="J23" s="114">
        <v>8000</v>
      </c>
      <c r="K23" s="23"/>
      <c r="L23" s="114">
        <v>15250</v>
      </c>
      <c r="M23" s="114">
        <v>15250</v>
      </c>
      <c r="N23" s="114">
        <v>15250</v>
      </c>
      <c r="O23" s="114">
        <v>8000</v>
      </c>
      <c r="P23" s="21">
        <f>+N23-J23</f>
        <v>7250</v>
      </c>
      <c r="Q23" s="21">
        <f>+N23-O23</f>
        <v>7250</v>
      </c>
    </row>
    <row r="24" spans="1:17" ht="13.8" x14ac:dyDescent="0.25">
      <c r="A24" s="50" t="s">
        <v>265</v>
      </c>
      <c r="B24" s="19" t="s">
        <v>144</v>
      </c>
      <c r="C24" s="20" t="s">
        <v>145</v>
      </c>
      <c r="D24" s="21">
        <v>13000</v>
      </c>
      <c r="E24" s="21">
        <v>24025.67</v>
      </c>
      <c r="F24" s="21">
        <v>13000</v>
      </c>
      <c r="G24" s="21">
        <v>19040.05</v>
      </c>
      <c r="H24" s="21">
        <v>13000</v>
      </c>
      <c r="I24" s="21">
        <v>36422.79</v>
      </c>
      <c r="J24" s="114">
        <v>19100</v>
      </c>
      <c r="K24" s="23"/>
      <c r="L24" s="114">
        <v>20000</v>
      </c>
      <c r="M24" s="114">
        <v>20000</v>
      </c>
      <c r="N24" s="114">
        <v>20000</v>
      </c>
      <c r="O24" s="114">
        <v>19978</v>
      </c>
      <c r="P24" s="21">
        <f>+N24-J24</f>
        <v>900</v>
      </c>
      <c r="Q24" s="21">
        <f>+N24-O24</f>
        <v>22</v>
      </c>
    </row>
    <row r="25" spans="1:17" ht="13.8" x14ac:dyDescent="0.25">
      <c r="A25" s="50" t="s">
        <v>265</v>
      </c>
      <c r="B25" s="19" t="s">
        <v>111</v>
      </c>
      <c r="C25" s="20" t="s">
        <v>112</v>
      </c>
      <c r="D25" s="21">
        <v>3500</v>
      </c>
      <c r="E25" s="21">
        <v>4582.37</v>
      </c>
      <c r="F25" s="21">
        <v>8000</v>
      </c>
      <c r="G25" s="21">
        <v>5158.42</v>
      </c>
      <c r="H25" s="21">
        <v>8000</v>
      </c>
      <c r="I25" s="21">
        <v>3806.56</v>
      </c>
      <c r="J25" s="114">
        <v>8000</v>
      </c>
      <c r="K25" s="23"/>
      <c r="L25" s="114">
        <v>3500</v>
      </c>
      <c r="M25" s="114">
        <v>3500</v>
      </c>
      <c r="N25" s="114">
        <v>3500</v>
      </c>
      <c r="O25" s="114">
        <v>8000</v>
      </c>
      <c r="P25" s="21">
        <f>+N25-J25</f>
        <v>-4500</v>
      </c>
      <c r="Q25" s="21">
        <f>+N25-O25</f>
        <v>-4500</v>
      </c>
    </row>
    <row r="26" spans="1:17" ht="13.8" x14ac:dyDescent="0.25">
      <c r="A26" s="176" t="s">
        <v>76</v>
      </c>
      <c r="B26" s="176"/>
      <c r="C26" s="176"/>
      <c r="D26" s="24">
        <f t="shared" ref="D26" si="5">SUM(D23:D25)</f>
        <v>24500</v>
      </c>
      <c r="E26" s="24">
        <f>SUM(E23:E25)</f>
        <v>29787.039999999997</v>
      </c>
      <c r="F26" s="24">
        <f t="shared" ref="F26:J26" si="6">SUM(F23:F25)</f>
        <v>29000</v>
      </c>
      <c r="G26" s="24">
        <f t="shared" si="6"/>
        <v>26501.549999999996</v>
      </c>
      <c r="H26" s="24">
        <f t="shared" si="6"/>
        <v>29000</v>
      </c>
      <c r="I26" s="24">
        <f t="shared" si="6"/>
        <v>40604.35</v>
      </c>
      <c r="J26" s="24">
        <f t="shared" si="6"/>
        <v>35100</v>
      </c>
      <c r="K26" s="26"/>
      <c r="L26" s="24">
        <f t="shared" ref="L26:Q26" si="7">SUM(L23:L25)</f>
        <v>38750</v>
      </c>
      <c r="M26" s="24">
        <f t="shared" si="7"/>
        <v>38750</v>
      </c>
      <c r="N26" s="24">
        <f t="shared" si="7"/>
        <v>38750</v>
      </c>
      <c r="O26" s="24">
        <f t="shared" si="7"/>
        <v>35978</v>
      </c>
      <c r="P26" s="24">
        <f t="shared" si="7"/>
        <v>3650</v>
      </c>
      <c r="Q26" s="24">
        <f t="shared" si="7"/>
        <v>2772</v>
      </c>
    </row>
    <row r="27" spans="1:17" ht="13.8" x14ac:dyDescent="0.25">
      <c r="A27" s="175" t="s">
        <v>133</v>
      </c>
      <c r="B27" s="175"/>
      <c r="C27" s="175"/>
      <c r="D27" s="27"/>
      <c r="E27" s="27"/>
      <c r="F27" s="27"/>
      <c r="G27" s="27"/>
      <c r="H27" s="27"/>
      <c r="I27" s="27"/>
      <c r="J27" s="27"/>
      <c r="K27" s="29"/>
      <c r="L27" s="27"/>
      <c r="M27" s="27"/>
      <c r="N27" s="27"/>
      <c r="O27" s="27"/>
      <c r="P27" s="30"/>
      <c r="Q27" s="30"/>
    </row>
    <row r="28" spans="1:17" ht="13.8" x14ac:dyDescent="0.25">
      <c r="A28" s="50" t="s">
        <v>265</v>
      </c>
      <c r="B28" s="19" t="s">
        <v>134</v>
      </c>
      <c r="C28" s="20" t="s">
        <v>135</v>
      </c>
      <c r="D28" s="21">
        <v>6100</v>
      </c>
      <c r="E28" s="21">
        <v>5696.99</v>
      </c>
      <c r="F28" s="21">
        <v>6100</v>
      </c>
      <c r="G28" s="21">
        <v>6037</v>
      </c>
      <c r="H28" s="21">
        <v>6100</v>
      </c>
      <c r="I28" s="21">
        <v>18972.25</v>
      </c>
      <c r="J28" s="114">
        <v>14364</v>
      </c>
      <c r="K28" s="23"/>
      <c r="L28" s="114">
        <f>22799-1200-480-198-10370</f>
        <v>10551</v>
      </c>
      <c r="M28" s="114">
        <f>22799-1200-480-198-10370</f>
        <v>10551</v>
      </c>
      <c r="N28" s="114">
        <f>22799-1200-480-198-10370</f>
        <v>10551</v>
      </c>
      <c r="O28" s="114">
        <v>14364</v>
      </c>
      <c r="P28" s="21">
        <f>+N28-J28</f>
        <v>-3813</v>
      </c>
      <c r="Q28" s="21">
        <f>+N28-O28</f>
        <v>-3813</v>
      </c>
    </row>
    <row r="29" spans="1:17" ht="13.8" x14ac:dyDescent="0.25">
      <c r="A29" s="50" t="s">
        <v>265</v>
      </c>
      <c r="B29" s="19" t="s">
        <v>267</v>
      </c>
      <c r="C29" s="20" t="s">
        <v>268</v>
      </c>
      <c r="D29" s="21">
        <v>38000</v>
      </c>
      <c r="E29" s="21">
        <v>54194.400000000001</v>
      </c>
      <c r="F29" s="21">
        <v>50000</v>
      </c>
      <c r="G29" s="21">
        <v>85707.14</v>
      </c>
      <c r="H29" s="21">
        <v>50000</v>
      </c>
      <c r="I29" s="21">
        <v>293414.61</v>
      </c>
      <c r="J29" s="114">
        <v>53180</v>
      </c>
      <c r="K29" s="23"/>
      <c r="L29" s="114">
        <v>63000</v>
      </c>
      <c r="M29" s="114">
        <v>53000</v>
      </c>
      <c r="N29" s="114">
        <v>53000</v>
      </c>
      <c r="O29" s="114">
        <v>53180</v>
      </c>
      <c r="P29" s="21">
        <f>+N29-J29</f>
        <v>-180</v>
      </c>
      <c r="Q29" s="21">
        <f>+N29-O29</f>
        <v>-180</v>
      </c>
    </row>
    <row r="30" spans="1:17" ht="13.8" x14ac:dyDescent="0.25">
      <c r="A30" s="176" t="s">
        <v>136</v>
      </c>
      <c r="B30" s="176"/>
      <c r="C30" s="176"/>
      <c r="D30" s="24">
        <f t="shared" ref="D30" si="8">SUM(D28:D29)</f>
        <v>44100</v>
      </c>
      <c r="E30" s="24">
        <f>SUM(E28:E29)</f>
        <v>59891.39</v>
      </c>
      <c r="F30" s="24">
        <f t="shared" ref="F30:J30" si="9">SUM(F28:F29)</f>
        <v>56100</v>
      </c>
      <c r="G30" s="24">
        <f t="shared" si="9"/>
        <v>91744.14</v>
      </c>
      <c r="H30" s="24">
        <f t="shared" si="9"/>
        <v>56100</v>
      </c>
      <c r="I30" s="24">
        <f t="shared" si="9"/>
        <v>312386.86</v>
      </c>
      <c r="J30" s="24">
        <f t="shared" si="9"/>
        <v>67544</v>
      </c>
      <c r="K30" s="26"/>
      <c r="L30" s="24">
        <f t="shared" ref="L30:Q30" si="10">SUM(L28:L29)</f>
        <v>73551</v>
      </c>
      <c r="M30" s="24">
        <f t="shared" si="10"/>
        <v>63551</v>
      </c>
      <c r="N30" s="24">
        <f t="shared" si="10"/>
        <v>63551</v>
      </c>
      <c r="O30" s="24">
        <f t="shared" si="10"/>
        <v>67544</v>
      </c>
      <c r="P30" s="24">
        <f t="shared" si="10"/>
        <v>-3993</v>
      </c>
      <c r="Q30" s="24">
        <f t="shared" si="10"/>
        <v>-3993</v>
      </c>
    </row>
    <row r="31" spans="1:17" ht="13.8" x14ac:dyDescent="0.25">
      <c r="A31" s="175" t="s">
        <v>45</v>
      </c>
      <c r="B31" s="175"/>
      <c r="C31" s="175"/>
      <c r="D31" s="27"/>
      <c r="E31" s="27"/>
      <c r="F31" s="27"/>
      <c r="G31" s="27"/>
      <c r="H31" s="27"/>
      <c r="I31" s="27"/>
      <c r="J31" s="27"/>
      <c r="K31" s="29"/>
      <c r="L31" s="27"/>
      <c r="M31" s="27"/>
      <c r="N31" s="27"/>
      <c r="O31" s="27"/>
      <c r="P31" s="30"/>
      <c r="Q31" s="30"/>
    </row>
    <row r="32" spans="1:17" ht="13.8" x14ac:dyDescent="0.25">
      <c r="A32" s="50" t="s">
        <v>265</v>
      </c>
      <c r="B32" s="19" t="s">
        <v>269</v>
      </c>
      <c r="C32" s="20" t="s">
        <v>270</v>
      </c>
      <c r="D32" s="21">
        <v>2500</v>
      </c>
      <c r="E32" s="21">
        <v>1495.94</v>
      </c>
      <c r="F32" s="21">
        <v>2500</v>
      </c>
      <c r="G32" s="21">
        <v>880</v>
      </c>
      <c r="H32" s="21">
        <v>2500</v>
      </c>
      <c r="I32" s="21">
        <v>3253.7</v>
      </c>
      <c r="J32" s="114">
        <v>2500</v>
      </c>
      <c r="K32" s="23"/>
      <c r="L32" s="114">
        <v>3440</v>
      </c>
      <c r="M32" s="114">
        <v>3440</v>
      </c>
      <c r="N32" s="114">
        <v>3440</v>
      </c>
      <c r="O32" s="114">
        <v>2500</v>
      </c>
      <c r="P32" s="21">
        <f>+N32-J32</f>
        <v>940</v>
      </c>
      <c r="Q32" s="21">
        <f>+N32-O32</f>
        <v>940</v>
      </c>
    </row>
    <row r="33" spans="1:17" ht="13.8" x14ac:dyDescent="0.25">
      <c r="A33" s="50" t="s">
        <v>265</v>
      </c>
      <c r="B33" s="19" t="s">
        <v>22</v>
      </c>
      <c r="C33" s="20" t="s">
        <v>23</v>
      </c>
      <c r="D33" s="21">
        <v>450</v>
      </c>
      <c r="E33" s="21">
        <v>355.98</v>
      </c>
      <c r="F33" s="21">
        <v>450</v>
      </c>
      <c r="G33" s="21">
        <v>535.20000000000005</v>
      </c>
      <c r="H33" s="21">
        <v>450</v>
      </c>
      <c r="I33" s="21">
        <v>7214.75</v>
      </c>
      <c r="J33" s="114">
        <v>450</v>
      </c>
      <c r="K33" s="23"/>
      <c r="L33" s="114">
        <v>3251</v>
      </c>
      <c r="M33" s="114">
        <v>3251</v>
      </c>
      <c r="N33" s="114">
        <v>3251</v>
      </c>
      <c r="O33" s="114">
        <v>450</v>
      </c>
      <c r="P33" s="21">
        <f>+N33-J33</f>
        <v>2801</v>
      </c>
      <c r="Q33" s="21">
        <f>+N33-O33</f>
        <v>2801</v>
      </c>
    </row>
    <row r="34" spans="1:17" ht="13.8" x14ac:dyDescent="0.25">
      <c r="A34" s="50" t="s">
        <v>265</v>
      </c>
      <c r="B34" s="19" t="s">
        <v>46</v>
      </c>
      <c r="C34" s="20" t="s">
        <v>47</v>
      </c>
      <c r="D34" s="21">
        <v>300</v>
      </c>
      <c r="E34" s="21">
        <v>100</v>
      </c>
      <c r="F34" s="21">
        <v>300</v>
      </c>
      <c r="G34" s="21">
        <v>479.95</v>
      </c>
      <c r="H34" s="21">
        <v>300</v>
      </c>
      <c r="I34" s="21">
        <v>1175</v>
      </c>
      <c r="J34" s="114">
        <v>300</v>
      </c>
      <c r="K34" s="23"/>
      <c r="L34" s="114">
        <f>2943+1500</f>
        <v>4443</v>
      </c>
      <c r="M34" s="114">
        <f t="shared" ref="M34:N34" si="11">2943+1500</f>
        <v>4443</v>
      </c>
      <c r="N34" s="114">
        <f t="shared" si="11"/>
        <v>4443</v>
      </c>
      <c r="O34" s="114">
        <f>300+1500</f>
        <v>1800</v>
      </c>
      <c r="P34" s="21">
        <f>+N34-J34</f>
        <v>4143</v>
      </c>
      <c r="Q34" s="21">
        <f>+N34-O34</f>
        <v>2643</v>
      </c>
    </row>
    <row r="35" spans="1:17" ht="13.8" x14ac:dyDescent="0.25">
      <c r="A35" s="176" t="s">
        <v>85</v>
      </c>
      <c r="B35" s="176"/>
      <c r="C35" s="176"/>
      <c r="D35" s="24">
        <f t="shared" ref="D35" si="12">SUM(D32:D34)</f>
        <v>3250</v>
      </c>
      <c r="E35" s="24">
        <f>SUM(E32:E34)</f>
        <v>1951.92</v>
      </c>
      <c r="F35" s="24">
        <f t="shared" ref="F35:J35" si="13">SUM(F32:F34)</f>
        <v>3250</v>
      </c>
      <c r="G35" s="24">
        <f t="shared" si="13"/>
        <v>1895.15</v>
      </c>
      <c r="H35" s="24">
        <f t="shared" si="13"/>
        <v>3250</v>
      </c>
      <c r="I35" s="24">
        <f t="shared" si="13"/>
        <v>11643.45</v>
      </c>
      <c r="J35" s="24">
        <f t="shared" si="13"/>
        <v>3250</v>
      </c>
      <c r="K35" s="26"/>
      <c r="L35" s="24">
        <f t="shared" ref="L35:Q35" si="14">SUM(L32:L34)</f>
        <v>11134</v>
      </c>
      <c r="M35" s="24">
        <f t="shared" si="14"/>
        <v>11134</v>
      </c>
      <c r="N35" s="24">
        <f t="shared" si="14"/>
        <v>11134</v>
      </c>
      <c r="O35" s="24">
        <f t="shared" si="14"/>
        <v>4750</v>
      </c>
      <c r="P35" s="24">
        <f t="shared" si="14"/>
        <v>7884</v>
      </c>
      <c r="Q35" s="24">
        <f t="shared" si="14"/>
        <v>6384</v>
      </c>
    </row>
    <row r="36" spans="1:17" ht="13.8" x14ac:dyDescent="0.25">
      <c r="A36" s="175" t="s">
        <v>30</v>
      </c>
      <c r="B36" s="175"/>
      <c r="C36" s="175"/>
      <c r="D36" s="27"/>
      <c r="E36" s="27"/>
      <c r="F36" s="27"/>
      <c r="G36" s="27"/>
      <c r="H36" s="27"/>
      <c r="I36" s="27"/>
      <c r="J36" s="27"/>
      <c r="K36" s="29"/>
      <c r="L36" s="27"/>
      <c r="M36" s="27"/>
      <c r="N36" s="27"/>
      <c r="O36" s="27"/>
      <c r="P36" s="30"/>
      <c r="Q36" s="30"/>
    </row>
    <row r="37" spans="1:17" ht="13.8" x14ac:dyDescent="0.25">
      <c r="A37" s="50" t="s">
        <v>265</v>
      </c>
      <c r="B37" s="19" t="s">
        <v>31</v>
      </c>
      <c r="C37" s="20" t="s">
        <v>32</v>
      </c>
      <c r="D37" s="21">
        <v>2000</v>
      </c>
      <c r="E37" s="21">
        <v>1906.23</v>
      </c>
      <c r="F37" s="21">
        <v>2000</v>
      </c>
      <c r="G37" s="21">
        <v>1672.59</v>
      </c>
      <c r="H37" s="21">
        <v>2000</v>
      </c>
      <c r="I37" s="21">
        <v>679.06</v>
      </c>
      <c r="J37" s="114">
        <v>2000</v>
      </c>
      <c r="K37" s="23"/>
      <c r="L37" s="114">
        <v>1000</v>
      </c>
      <c r="M37" s="114">
        <v>1000</v>
      </c>
      <c r="N37" s="114">
        <v>1000</v>
      </c>
      <c r="O37" s="114">
        <v>2000</v>
      </c>
      <c r="P37" s="21">
        <f>+N37-J37</f>
        <v>-1000</v>
      </c>
      <c r="Q37" s="21">
        <f t="shared" ref="Q37:Q43" si="15">+N37-O37</f>
        <v>-1000</v>
      </c>
    </row>
    <row r="38" spans="1:17" ht="13.8" x14ac:dyDescent="0.25">
      <c r="A38" s="50" t="s">
        <v>265</v>
      </c>
      <c r="B38" s="19" t="s">
        <v>51</v>
      </c>
      <c r="C38" s="20" t="s">
        <v>48</v>
      </c>
      <c r="D38" s="21">
        <v>3500</v>
      </c>
      <c r="E38" s="21">
        <v>4183.76</v>
      </c>
      <c r="F38" s="21">
        <v>3500</v>
      </c>
      <c r="G38" s="21">
        <v>3232.4</v>
      </c>
      <c r="H38" s="21">
        <v>3500</v>
      </c>
      <c r="I38" s="21">
        <v>5114.97</v>
      </c>
      <c r="J38" s="114">
        <v>7500</v>
      </c>
      <c r="K38" s="23"/>
      <c r="L38" s="114">
        <v>7500</v>
      </c>
      <c r="M38" s="114">
        <v>7500</v>
      </c>
      <c r="N38" s="114">
        <v>7500</v>
      </c>
      <c r="O38" s="114">
        <v>7500</v>
      </c>
      <c r="P38" s="21">
        <f t="shared" ref="P38:P43" si="16">+N38-J38</f>
        <v>0</v>
      </c>
      <c r="Q38" s="21">
        <f t="shared" si="15"/>
        <v>0</v>
      </c>
    </row>
    <row r="39" spans="1:17" ht="13.8" x14ac:dyDescent="0.25">
      <c r="A39" s="50" t="s">
        <v>265</v>
      </c>
      <c r="B39" s="19" t="s">
        <v>52</v>
      </c>
      <c r="C39" s="20" t="s">
        <v>49</v>
      </c>
      <c r="D39" s="21">
        <v>600</v>
      </c>
      <c r="E39" s="21">
        <v>62.55</v>
      </c>
      <c r="F39" s="21">
        <v>600</v>
      </c>
      <c r="G39" s="21">
        <v>359.84</v>
      </c>
      <c r="H39" s="21">
        <v>600</v>
      </c>
      <c r="I39" s="21">
        <v>43.38</v>
      </c>
      <c r="J39" s="114">
        <v>600</v>
      </c>
      <c r="K39" s="23"/>
      <c r="L39" s="114">
        <v>200</v>
      </c>
      <c r="M39" s="114">
        <v>200</v>
      </c>
      <c r="N39" s="114">
        <v>200</v>
      </c>
      <c r="O39" s="114">
        <v>600</v>
      </c>
      <c r="P39" s="21">
        <f t="shared" si="16"/>
        <v>-400</v>
      </c>
      <c r="Q39" s="21">
        <f t="shared" si="15"/>
        <v>-400</v>
      </c>
    </row>
    <row r="40" spans="1:17" ht="13.8" x14ac:dyDescent="0.25">
      <c r="A40" s="50" t="s">
        <v>265</v>
      </c>
      <c r="B40" s="19" t="s">
        <v>271</v>
      </c>
      <c r="C40" s="20" t="s">
        <v>272</v>
      </c>
      <c r="D40" s="21">
        <v>14000</v>
      </c>
      <c r="E40" s="21">
        <v>14535.1</v>
      </c>
      <c r="F40" s="21">
        <v>14000</v>
      </c>
      <c r="G40" s="21">
        <v>16573.580000000002</v>
      </c>
      <c r="H40" s="21">
        <v>14000</v>
      </c>
      <c r="I40" s="21">
        <v>14989.63</v>
      </c>
      <c r="J40" s="114">
        <v>18490</v>
      </c>
      <c r="K40" s="23"/>
      <c r="L40" s="114">
        <v>20300</v>
      </c>
      <c r="M40" s="114">
        <v>20300</v>
      </c>
      <c r="N40" s="114">
        <v>20300</v>
      </c>
      <c r="O40" s="114">
        <v>18490</v>
      </c>
      <c r="P40" s="21">
        <f t="shared" si="16"/>
        <v>1810</v>
      </c>
      <c r="Q40" s="21">
        <f t="shared" si="15"/>
        <v>1810</v>
      </c>
    </row>
    <row r="41" spans="1:17" ht="13.8" x14ac:dyDescent="0.25">
      <c r="A41" s="50" t="s">
        <v>265</v>
      </c>
      <c r="B41" s="19" t="s">
        <v>170</v>
      </c>
      <c r="C41" s="20" t="s">
        <v>171</v>
      </c>
      <c r="D41" s="21">
        <v>85000</v>
      </c>
      <c r="E41" s="21">
        <v>108798.35</v>
      </c>
      <c r="F41" s="21">
        <v>120000</v>
      </c>
      <c r="G41" s="21">
        <v>234185.34</v>
      </c>
      <c r="H41" s="21">
        <v>145000</v>
      </c>
      <c r="I41" s="21">
        <v>242843.46</v>
      </c>
      <c r="J41" s="114">
        <v>145000</v>
      </c>
      <c r="K41" s="23"/>
      <c r="L41" s="114">
        <v>175000</v>
      </c>
      <c r="M41" s="114">
        <v>175000</v>
      </c>
      <c r="N41" s="114">
        <v>175000</v>
      </c>
      <c r="O41" s="114">
        <v>145000</v>
      </c>
      <c r="P41" s="21">
        <f t="shared" si="16"/>
        <v>30000</v>
      </c>
      <c r="Q41" s="21">
        <f t="shared" si="15"/>
        <v>30000</v>
      </c>
    </row>
    <row r="42" spans="1:17" ht="15.75" customHeight="1" x14ac:dyDescent="0.25">
      <c r="A42" s="52" t="s">
        <v>265</v>
      </c>
      <c r="B42" s="32" t="s">
        <v>33</v>
      </c>
      <c r="C42" s="33" t="s">
        <v>34</v>
      </c>
      <c r="D42" s="34">
        <v>0</v>
      </c>
      <c r="E42" s="34">
        <v>0</v>
      </c>
      <c r="F42" s="34">
        <v>0</v>
      </c>
      <c r="G42" s="34">
        <v>0</v>
      </c>
      <c r="H42" s="34">
        <v>0</v>
      </c>
      <c r="I42" s="34">
        <v>0</v>
      </c>
      <c r="J42" s="116">
        <v>0</v>
      </c>
      <c r="K42" s="23"/>
      <c r="L42" s="116">
        <v>12500</v>
      </c>
      <c r="M42" s="116">
        <v>12500</v>
      </c>
      <c r="N42" s="116">
        <v>12500</v>
      </c>
      <c r="O42" s="116">
        <v>0</v>
      </c>
      <c r="P42" s="34">
        <f>+N42-J42</f>
        <v>12500</v>
      </c>
      <c r="Q42" s="34">
        <f>+N42-O42</f>
        <v>12500</v>
      </c>
    </row>
    <row r="43" spans="1:17" ht="13.8" x14ac:dyDescent="0.25">
      <c r="A43" s="50" t="s">
        <v>265</v>
      </c>
      <c r="B43" s="19" t="s">
        <v>210</v>
      </c>
      <c r="C43" s="20" t="s">
        <v>211</v>
      </c>
      <c r="D43" s="21">
        <v>5000</v>
      </c>
      <c r="E43" s="21">
        <v>5173.2700000000004</v>
      </c>
      <c r="F43" s="21">
        <v>5000</v>
      </c>
      <c r="G43" s="21">
        <v>5227.99</v>
      </c>
      <c r="H43" s="21">
        <v>5000</v>
      </c>
      <c r="I43" s="21">
        <v>4572.16</v>
      </c>
      <c r="J43" s="114">
        <v>5400</v>
      </c>
      <c r="K43" s="23"/>
      <c r="L43" s="114">
        <v>5400</v>
      </c>
      <c r="M43" s="114">
        <v>5400</v>
      </c>
      <c r="N43" s="114">
        <v>5400</v>
      </c>
      <c r="O43" s="114">
        <v>5400</v>
      </c>
      <c r="P43" s="21">
        <f t="shared" si="16"/>
        <v>0</v>
      </c>
      <c r="Q43" s="21">
        <f t="shared" si="15"/>
        <v>0</v>
      </c>
    </row>
    <row r="44" spans="1:17" ht="13.8" x14ac:dyDescent="0.25">
      <c r="A44" s="177" t="s">
        <v>77</v>
      </c>
      <c r="B44" s="177"/>
      <c r="C44" s="177"/>
      <c r="D44" s="24">
        <f t="shared" ref="D44" si="17">SUM(D37:D43)</f>
        <v>110100</v>
      </c>
      <c r="E44" s="24">
        <f>SUM(E37:E43)</f>
        <v>134659.26</v>
      </c>
      <c r="F44" s="24">
        <f t="shared" ref="F44:J44" si="18">SUM(F37:F43)</f>
        <v>145100</v>
      </c>
      <c r="G44" s="24">
        <f t="shared" si="18"/>
        <v>261251.74</v>
      </c>
      <c r="H44" s="24">
        <f t="shared" si="18"/>
        <v>170100</v>
      </c>
      <c r="I44" s="24">
        <f t="shared" si="18"/>
        <v>268242.65999999997</v>
      </c>
      <c r="J44" s="24">
        <f t="shared" si="18"/>
        <v>178990</v>
      </c>
      <c r="K44" s="26"/>
      <c r="L44" s="24">
        <f>SUM(L37:L43)</f>
        <v>221900</v>
      </c>
      <c r="M44" s="24">
        <f t="shared" ref="M44:Q44" si="19">SUM(M37:M43)</f>
        <v>221900</v>
      </c>
      <c r="N44" s="24">
        <f t="shared" si="19"/>
        <v>221900</v>
      </c>
      <c r="O44" s="24">
        <f t="shared" si="19"/>
        <v>178990</v>
      </c>
      <c r="P44" s="24">
        <f t="shared" si="19"/>
        <v>42910</v>
      </c>
      <c r="Q44" s="24">
        <f t="shared" si="19"/>
        <v>42910</v>
      </c>
    </row>
    <row r="45" spans="1:17" ht="13.8" x14ac:dyDescent="0.25">
      <c r="A45" s="175" t="s">
        <v>54</v>
      </c>
      <c r="B45" s="175"/>
      <c r="C45" s="175"/>
      <c r="D45" s="27"/>
      <c r="E45" s="27"/>
      <c r="F45" s="27"/>
      <c r="G45" s="27"/>
      <c r="H45" s="27"/>
      <c r="I45" s="27"/>
      <c r="J45" s="27"/>
      <c r="K45" s="29"/>
      <c r="L45" s="27"/>
      <c r="M45" s="27"/>
      <c r="N45" s="27"/>
      <c r="O45" s="27"/>
      <c r="P45" s="30"/>
      <c r="Q45" s="30"/>
    </row>
    <row r="46" spans="1:17" ht="13.8" x14ac:dyDescent="0.25">
      <c r="A46" s="50" t="s">
        <v>265</v>
      </c>
      <c r="B46" s="19" t="s">
        <v>256</v>
      </c>
      <c r="C46" s="20" t="s">
        <v>257</v>
      </c>
      <c r="D46" s="21">
        <v>545929</v>
      </c>
      <c r="E46" s="21">
        <v>519832.76</v>
      </c>
      <c r="F46" s="21">
        <v>550929</v>
      </c>
      <c r="G46" s="21">
        <v>511012.61</v>
      </c>
      <c r="H46" s="21">
        <v>550929</v>
      </c>
      <c r="I46" s="21">
        <v>486809.51</v>
      </c>
      <c r="J46" s="114">
        <v>843059</v>
      </c>
      <c r="K46" s="23"/>
      <c r="L46" s="114">
        <v>843059</v>
      </c>
      <c r="M46" s="114">
        <v>843059</v>
      </c>
      <c r="N46" s="114">
        <v>843059</v>
      </c>
      <c r="O46" s="114">
        <v>843059</v>
      </c>
      <c r="P46" s="21">
        <f>+N46-J46</f>
        <v>0</v>
      </c>
      <c r="Q46" s="21">
        <f>+N46-O46</f>
        <v>0</v>
      </c>
    </row>
    <row r="47" spans="1:17" ht="13.8" x14ac:dyDescent="0.25">
      <c r="A47" s="50" t="s">
        <v>265</v>
      </c>
      <c r="B47" s="19" t="s">
        <v>273</v>
      </c>
      <c r="C47" s="20" t="s">
        <v>274</v>
      </c>
      <c r="D47" s="21">
        <v>0</v>
      </c>
      <c r="E47" s="21">
        <v>412392.46</v>
      </c>
      <c r="F47" s="21">
        <v>0</v>
      </c>
      <c r="G47" s="21">
        <v>0</v>
      </c>
      <c r="H47" s="21">
        <v>0</v>
      </c>
      <c r="I47" s="21">
        <v>0</v>
      </c>
      <c r="J47" s="21">
        <v>0</v>
      </c>
      <c r="K47" s="23"/>
      <c r="L47" s="114"/>
      <c r="M47" s="114"/>
      <c r="N47" s="114"/>
      <c r="O47" s="114"/>
      <c r="P47" s="21"/>
      <c r="Q47" s="21"/>
    </row>
    <row r="48" spans="1:17" ht="13.8" x14ac:dyDescent="0.25">
      <c r="A48" s="177" t="s">
        <v>86</v>
      </c>
      <c r="B48" s="177"/>
      <c r="C48" s="177"/>
      <c r="D48" s="24">
        <f>SUM(D46:D46)</f>
        <v>545929</v>
      </c>
      <c r="E48" s="24">
        <f>SUM(E46:E47)</f>
        <v>932225.22</v>
      </c>
      <c r="F48" s="24">
        <f t="shared" ref="F48:J48" si="20">SUM(F46:F46)</f>
        <v>550929</v>
      </c>
      <c r="G48" s="24">
        <f t="shared" si="20"/>
        <v>511012.61</v>
      </c>
      <c r="H48" s="24">
        <f t="shared" si="20"/>
        <v>550929</v>
      </c>
      <c r="I48" s="24">
        <f t="shared" si="20"/>
        <v>486809.51</v>
      </c>
      <c r="J48" s="24">
        <f t="shared" si="20"/>
        <v>843059</v>
      </c>
      <c r="K48" s="26"/>
      <c r="L48" s="24">
        <f t="shared" ref="L48:Q48" si="21">SUM(L46:L46)</f>
        <v>843059</v>
      </c>
      <c r="M48" s="24">
        <f t="shared" si="21"/>
        <v>843059</v>
      </c>
      <c r="N48" s="24">
        <f t="shared" si="21"/>
        <v>843059</v>
      </c>
      <c r="O48" s="24">
        <f t="shared" si="21"/>
        <v>843059</v>
      </c>
      <c r="P48" s="24">
        <f t="shared" si="21"/>
        <v>0</v>
      </c>
      <c r="Q48" s="24">
        <f t="shared" si="21"/>
        <v>0</v>
      </c>
    </row>
    <row r="49" spans="1:17" ht="13.8" x14ac:dyDescent="0.25">
      <c r="A49" s="178" t="s">
        <v>231</v>
      </c>
      <c r="B49" s="178"/>
      <c r="C49" s="178"/>
      <c r="D49" s="40">
        <f t="shared" ref="D49:J49" si="22">D14+D21+D26+D30+D35+D44+D48</f>
        <v>1965878</v>
      </c>
      <c r="E49" s="40">
        <f t="shared" si="22"/>
        <v>2293319.15</v>
      </c>
      <c r="F49" s="40">
        <f t="shared" si="22"/>
        <v>2012674</v>
      </c>
      <c r="G49" s="40">
        <f t="shared" si="22"/>
        <v>2070177.85</v>
      </c>
      <c r="H49" s="40">
        <f t="shared" si="22"/>
        <v>2081897</v>
      </c>
      <c r="I49" s="40">
        <f t="shared" si="22"/>
        <v>2282948.9900000002</v>
      </c>
      <c r="J49" s="40">
        <f t="shared" si="22"/>
        <v>2463674</v>
      </c>
      <c r="K49" s="26"/>
      <c r="L49" s="40">
        <f t="shared" ref="L49:O49" si="23">L14+L21+L26+L30+L35+L44+L48</f>
        <v>2650680</v>
      </c>
      <c r="M49" s="40">
        <f t="shared" si="23"/>
        <v>2640680</v>
      </c>
      <c r="N49" s="40">
        <f t="shared" si="23"/>
        <v>2640680</v>
      </c>
      <c r="O49" s="40">
        <f t="shared" si="23"/>
        <v>2581265</v>
      </c>
      <c r="P49" s="40">
        <f>P14+P21+P26+P30+P35+P44+P48</f>
        <v>177006</v>
      </c>
      <c r="Q49" s="40">
        <f>Q14+Q21+Q26+Q30+Q35+Q44+Q48</f>
        <v>59415</v>
      </c>
    </row>
    <row r="50" spans="1:17" ht="13.8" x14ac:dyDescent="0.25">
      <c r="A50" s="174" t="s">
        <v>232</v>
      </c>
      <c r="B50" s="174"/>
      <c r="C50" s="174"/>
      <c r="D50" s="27"/>
      <c r="E50" s="27"/>
      <c r="F50" s="27"/>
      <c r="G50" s="27"/>
      <c r="H50" s="27"/>
      <c r="I50" s="27"/>
      <c r="J50" s="27"/>
      <c r="K50" s="29"/>
      <c r="L50" s="27"/>
      <c r="M50" s="27"/>
      <c r="N50" s="27"/>
      <c r="O50" s="27"/>
      <c r="P50" s="30"/>
      <c r="Q50" s="30"/>
    </row>
    <row r="51" spans="1:17" ht="13.8" x14ac:dyDescent="0.25">
      <c r="A51" s="175" t="s">
        <v>133</v>
      </c>
      <c r="B51" s="175"/>
      <c r="C51" s="175"/>
      <c r="D51" s="27"/>
      <c r="E51" s="27"/>
      <c r="F51" s="27"/>
      <c r="G51" s="27"/>
      <c r="H51" s="27"/>
      <c r="I51" s="27"/>
      <c r="J51" s="27"/>
      <c r="K51" s="29"/>
      <c r="L51" s="27"/>
      <c r="M51" s="27"/>
      <c r="N51" s="27"/>
      <c r="O51" s="27"/>
      <c r="P51" s="30"/>
      <c r="Q51" s="30"/>
    </row>
    <row r="52" spans="1:17" ht="13.8" x14ac:dyDescent="0.25">
      <c r="A52" s="50" t="s">
        <v>275</v>
      </c>
      <c r="B52" s="19" t="s">
        <v>160</v>
      </c>
      <c r="C52" s="20" t="s">
        <v>161</v>
      </c>
      <c r="D52" s="21">
        <v>55850</v>
      </c>
      <c r="E52" s="21">
        <v>64312.22</v>
      </c>
      <c r="F52" s="21">
        <v>61500</v>
      </c>
      <c r="G52" s="21">
        <v>69773.45</v>
      </c>
      <c r="H52" s="21">
        <v>71820</v>
      </c>
      <c r="I52" s="21">
        <v>74910.100000000006</v>
      </c>
      <c r="J52" s="114">
        <v>71820</v>
      </c>
      <c r="K52" s="23"/>
      <c r="L52" s="114">
        <v>74910</v>
      </c>
      <c r="M52" s="114">
        <v>74910</v>
      </c>
      <c r="N52" s="114">
        <v>74910</v>
      </c>
      <c r="O52" s="114">
        <v>71820</v>
      </c>
      <c r="P52" s="21">
        <f>+N52-J52</f>
        <v>3090</v>
      </c>
      <c r="Q52" s="21">
        <f>+N52-O52</f>
        <v>3090</v>
      </c>
    </row>
    <row r="53" spans="1:17" ht="13.8" x14ac:dyDescent="0.25">
      <c r="A53" s="50" t="s">
        <v>275</v>
      </c>
      <c r="B53" s="19" t="s">
        <v>162</v>
      </c>
      <c r="C53" s="20" t="s">
        <v>163</v>
      </c>
      <c r="D53" s="21">
        <v>31320</v>
      </c>
      <c r="E53" s="21">
        <v>19062.89</v>
      </c>
      <c r="F53" s="21">
        <v>31320</v>
      </c>
      <c r="G53" s="21">
        <v>30496</v>
      </c>
      <c r="H53" s="21">
        <v>20000</v>
      </c>
      <c r="I53" s="21">
        <v>25932.68</v>
      </c>
      <c r="J53" s="114">
        <v>20000</v>
      </c>
      <c r="K53" s="23"/>
      <c r="L53" s="114">
        <v>25933</v>
      </c>
      <c r="M53" s="114">
        <v>25933</v>
      </c>
      <c r="N53" s="114">
        <v>25933</v>
      </c>
      <c r="O53" s="114">
        <v>20000</v>
      </c>
      <c r="P53" s="21">
        <f>+N53-J53</f>
        <v>5933</v>
      </c>
      <c r="Q53" s="21">
        <f>+N53-O53</f>
        <v>5933</v>
      </c>
    </row>
    <row r="54" spans="1:17" ht="13.8" x14ac:dyDescent="0.25">
      <c r="A54" s="50" t="s">
        <v>275</v>
      </c>
      <c r="B54" s="19" t="s">
        <v>164</v>
      </c>
      <c r="C54" s="20" t="s">
        <v>165</v>
      </c>
      <c r="D54" s="21">
        <v>12000</v>
      </c>
      <c r="E54" s="21">
        <v>13155.64</v>
      </c>
      <c r="F54" s="21">
        <v>12000</v>
      </c>
      <c r="G54" s="21">
        <v>15224.63</v>
      </c>
      <c r="H54" s="21">
        <v>12000</v>
      </c>
      <c r="I54" s="21">
        <v>14930.9</v>
      </c>
      <c r="J54" s="114">
        <v>12000</v>
      </c>
      <c r="K54" s="23"/>
      <c r="L54" s="114">
        <v>14263</v>
      </c>
      <c r="M54" s="114">
        <v>14263</v>
      </c>
      <c r="N54" s="114">
        <v>14263</v>
      </c>
      <c r="O54" s="114">
        <v>12000</v>
      </c>
      <c r="P54" s="21">
        <f>+N54-J54</f>
        <v>2263</v>
      </c>
      <c r="Q54" s="21">
        <f>+N54-O54</f>
        <v>2263</v>
      </c>
    </row>
    <row r="55" spans="1:17" ht="13.8" x14ac:dyDescent="0.25">
      <c r="A55" s="50" t="s">
        <v>275</v>
      </c>
      <c r="B55" s="19" t="s">
        <v>146</v>
      </c>
      <c r="C55" s="20" t="s">
        <v>147</v>
      </c>
      <c r="D55" s="21">
        <v>24700</v>
      </c>
      <c r="E55" s="21">
        <v>32454.54</v>
      </c>
      <c r="F55" s="21">
        <v>41700</v>
      </c>
      <c r="G55" s="21">
        <v>53212.65</v>
      </c>
      <c r="H55" s="21">
        <v>43150</v>
      </c>
      <c r="I55" s="21">
        <v>136607.35</v>
      </c>
      <c r="J55" s="114">
        <v>46150</v>
      </c>
      <c r="K55" s="23"/>
      <c r="L55" s="114">
        <v>46150</v>
      </c>
      <c r="M55" s="114">
        <v>46150</v>
      </c>
      <c r="N55" s="114">
        <v>46150</v>
      </c>
      <c r="O55" s="114">
        <v>46150</v>
      </c>
      <c r="P55" s="21">
        <f>+N55-J55</f>
        <v>0</v>
      </c>
      <c r="Q55" s="21">
        <f>+N55-O55</f>
        <v>0</v>
      </c>
    </row>
    <row r="56" spans="1:17" ht="13.8" x14ac:dyDescent="0.25">
      <c r="A56" s="176" t="s">
        <v>136</v>
      </c>
      <c r="B56" s="176"/>
      <c r="C56" s="176"/>
      <c r="D56" s="24">
        <f t="shared" ref="D56" si="24">SUM(D52:D55)</f>
        <v>123870</v>
      </c>
      <c r="E56" s="24">
        <f>SUM(E52:E55)</f>
        <v>128985.29000000001</v>
      </c>
      <c r="F56" s="24">
        <f t="shared" ref="F56:J56" si="25">SUM(F52:F55)</f>
        <v>146520</v>
      </c>
      <c r="G56" s="24">
        <f t="shared" si="25"/>
        <v>168706.73</v>
      </c>
      <c r="H56" s="24">
        <f t="shared" si="25"/>
        <v>146970</v>
      </c>
      <c r="I56" s="24">
        <f t="shared" si="25"/>
        <v>252381.03</v>
      </c>
      <c r="J56" s="24">
        <f t="shared" si="25"/>
        <v>149970</v>
      </c>
      <c r="K56" s="26"/>
      <c r="L56" s="24">
        <f t="shared" ref="L56:Q56" si="26">SUM(L52:L55)</f>
        <v>161256</v>
      </c>
      <c r="M56" s="24">
        <f t="shared" si="26"/>
        <v>161256</v>
      </c>
      <c r="N56" s="24">
        <f t="shared" si="26"/>
        <v>161256</v>
      </c>
      <c r="O56" s="24">
        <f t="shared" si="26"/>
        <v>149970</v>
      </c>
      <c r="P56" s="24">
        <f t="shared" si="26"/>
        <v>11286</v>
      </c>
      <c r="Q56" s="24">
        <f t="shared" si="26"/>
        <v>11286</v>
      </c>
    </row>
    <row r="57" spans="1:17" ht="13.8" x14ac:dyDescent="0.25">
      <c r="A57" s="175" t="s">
        <v>30</v>
      </c>
      <c r="B57" s="175"/>
      <c r="C57" s="175"/>
      <c r="D57" s="27"/>
      <c r="E57" s="27"/>
      <c r="F57" s="27"/>
      <c r="G57" s="27"/>
      <c r="H57" s="27"/>
      <c r="I57" s="27"/>
      <c r="J57" s="27"/>
      <c r="K57" s="29"/>
      <c r="L57" s="27"/>
      <c r="M57" s="27"/>
      <c r="N57" s="27"/>
      <c r="O57" s="27"/>
      <c r="P57" s="30"/>
      <c r="Q57" s="30"/>
    </row>
    <row r="58" spans="1:17" ht="13.8" x14ac:dyDescent="0.25">
      <c r="A58" s="50" t="s">
        <v>275</v>
      </c>
      <c r="B58" s="19" t="s">
        <v>31</v>
      </c>
      <c r="C58" s="20" t="s">
        <v>32</v>
      </c>
      <c r="D58" s="21">
        <v>15000</v>
      </c>
      <c r="E58" s="21">
        <v>14522.61</v>
      </c>
      <c r="F58" s="21">
        <v>15000</v>
      </c>
      <c r="G58" s="21">
        <v>14638.52</v>
      </c>
      <c r="H58" s="21">
        <v>15000</v>
      </c>
      <c r="I58" s="21">
        <v>21844.41</v>
      </c>
      <c r="J58" s="114">
        <v>16500</v>
      </c>
      <c r="K58" s="23"/>
      <c r="L58" s="114">
        <v>22000</v>
      </c>
      <c r="M58" s="114">
        <v>22000</v>
      </c>
      <c r="N58" s="114">
        <v>22000</v>
      </c>
      <c r="O58" s="114">
        <v>16500</v>
      </c>
      <c r="P58" s="21">
        <f>+N58-J58</f>
        <v>5500</v>
      </c>
      <c r="Q58" s="21">
        <f>+N58-O58</f>
        <v>5500</v>
      </c>
    </row>
    <row r="59" spans="1:17" ht="13.8" x14ac:dyDescent="0.25">
      <c r="A59" s="177" t="s">
        <v>77</v>
      </c>
      <c r="B59" s="177"/>
      <c r="C59" s="177"/>
      <c r="D59" s="24">
        <f t="shared" ref="D59:J59" si="27">SUM(D58:D58)</f>
        <v>15000</v>
      </c>
      <c r="E59" s="24">
        <f t="shared" si="27"/>
        <v>14522.61</v>
      </c>
      <c r="F59" s="24">
        <f t="shared" si="27"/>
        <v>15000</v>
      </c>
      <c r="G59" s="24">
        <f t="shared" si="27"/>
        <v>14638.52</v>
      </c>
      <c r="H59" s="24">
        <f t="shared" si="27"/>
        <v>15000</v>
      </c>
      <c r="I59" s="24">
        <f t="shared" si="27"/>
        <v>21844.41</v>
      </c>
      <c r="J59" s="24">
        <f t="shared" si="27"/>
        <v>16500</v>
      </c>
      <c r="K59" s="26"/>
      <c r="L59" s="24">
        <f t="shared" ref="L59:O59" si="28">SUM(L58:L58)</f>
        <v>22000</v>
      </c>
      <c r="M59" s="24">
        <f t="shared" si="28"/>
        <v>22000</v>
      </c>
      <c r="N59" s="24">
        <f t="shared" si="28"/>
        <v>22000</v>
      </c>
      <c r="O59" s="24">
        <f t="shared" si="28"/>
        <v>16500</v>
      </c>
      <c r="P59" s="24">
        <f>SUM(P58:P58)</f>
        <v>5500</v>
      </c>
      <c r="Q59" s="24">
        <f>SUM(Q58:Q58)</f>
        <v>5500</v>
      </c>
    </row>
    <row r="60" spans="1:17" ht="13.8" x14ac:dyDescent="0.25">
      <c r="A60" s="175" t="s">
        <v>54</v>
      </c>
      <c r="B60" s="175"/>
      <c r="C60" s="175"/>
      <c r="D60" s="27"/>
      <c r="E60" s="27"/>
      <c r="F60" s="27"/>
      <c r="G60" s="27"/>
      <c r="H60" s="27"/>
      <c r="I60" s="27"/>
      <c r="J60" s="27"/>
      <c r="K60" s="29"/>
      <c r="L60" s="27"/>
      <c r="M60" s="27"/>
      <c r="N60" s="27"/>
      <c r="O60" s="27"/>
      <c r="P60" s="30"/>
      <c r="Q60" s="30"/>
    </row>
    <row r="61" spans="1:17" ht="13.8" x14ac:dyDescent="0.25">
      <c r="A61" s="50" t="s">
        <v>275</v>
      </c>
      <c r="B61" s="19" t="s">
        <v>114</v>
      </c>
      <c r="C61" s="20" t="s">
        <v>115</v>
      </c>
      <c r="D61" s="21">
        <v>1000</v>
      </c>
      <c r="E61" s="21">
        <v>4915.21</v>
      </c>
      <c r="F61" s="21">
        <v>4000</v>
      </c>
      <c r="G61" s="21">
        <v>7782.89</v>
      </c>
      <c r="H61" s="21">
        <v>4000</v>
      </c>
      <c r="I61" s="21">
        <v>72250.92</v>
      </c>
      <c r="J61" s="114">
        <v>7400</v>
      </c>
      <c r="K61" s="23"/>
      <c r="L61" s="114">
        <v>7400</v>
      </c>
      <c r="M61" s="114">
        <v>7400</v>
      </c>
      <c r="N61" s="114">
        <v>7400</v>
      </c>
      <c r="O61" s="114">
        <v>7400</v>
      </c>
      <c r="P61" s="21">
        <f>+N61-J61</f>
        <v>0</v>
      </c>
      <c r="Q61" s="21">
        <f>+N61-O61</f>
        <v>0</v>
      </c>
    </row>
    <row r="62" spans="1:17" ht="13.8" x14ac:dyDescent="0.25">
      <c r="A62" s="177" t="s">
        <v>86</v>
      </c>
      <c r="B62" s="177"/>
      <c r="C62" s="177"/>
      <c r="D62" s="24">
        <f t="shared" ref="D62" si="29">SUM(D61:D61)</f>
        <v>1000</v>
      </c>
      <c r="E62" s="24">
        <f>SUM(E61:E61)</f>
        <v>4915.21</v>
      </c>
      <c r="F62" s="24">
        <f t="shared" ref="F62:J62" si="30">SUM(F61:F61)</f>
        <v>4000</v>
      </c>
      <c r="G62" s="24">
        <f t="shared" si="30"/>
        <v>7782.89</v>
      </c>
      <c r="H62" s="24">
        <f t="shared" si="30"/>
        <v>4000</v>
      </c>
      <c r="I62" s="24">
        <f t="shared" si="30"/>
        <v>72250.92</v>
      </c>
      <c r="J62" s="24">
        <f t="shared" si="30"/>
        <v>7400</v>
      </c>
      <c r="K62" s="26"/>
      <c r="L62" s="24">
        <f t="shared" ref="L62:Q62" si="31">SUM(L61:L61)</f>
        <v>7400</v>
      </c>
      <c r="M62" s="24">
        <f t="shared" si="31"/>
        <v>7400</v>
      </c>
      <c r="N62" s="24">
        <f t="shared" si="31"/>
        <v>7400</v>
      </c>
      <c r="O62" s="24">
        <f t="shared" si="31"/>
        <v>7400</v>
      </c>
      <c r="P62" s="24">
        <f t="shared" si="31"/>
        <v>0</v>
      </c>
      <c r="Q62" s="24">
        <f t="shared" si="31"/>
        <v>0</v>
      </c>
    </row>
    <row r="63" spans="1:17" ht="13.8" x14ac:dyDescent="0.25">
      <c r="A63" s="178" t="s">
        <v>234</v>
      </c>
      <c r="B63" s="178"/>
      <c r="C63" s="178"/>
      <c r="D63" s="40">
        <f t="shared" ref="D63:J63" si="32">D56+D59+D62</f>
        <v>139870</v>
      </c>
      <c r="E63" s="40">
        <f t="shared" si="32"/>
        <v>148423.11000000002</v>
      </c>
      <c r="F63" s="40">
        <f t="shared" si="32"/>
        <v>165520</v>
      </c>
      <c r="G63" s="40">
        <f t="shared" si="32"/>
        <v>191128.14</v>
      </c>
      <c r="H63" s="40">
        <f t="shared" si="32"/>
        <v>165970</v>
      </c>
      <c r="I63" s="40">
        <f t="shared" si="32"/>
        <v>346476.36</v>
      </c>
      <c r="J63" s="40">
        <f t="shared" si="32"/>
        <v>173870</v>
      </c>
      <c r="K63" s="26"/>
      <c r="L63" s="40">
        <f t="shared" ref="L63:O63" si="33">L56+L59+L62</f>
        <v>190656</v>
      </c>
      <c r="M63" s="40">
        <f t="shared" si="33"/>
        <v>190656</v>
      </c>
      <c r="N63" s="40">
        <f t="shared" si="33"/>
        <v>190656</v>
      </c>
      <c r="O63" s="40">
        <f t="shared" si="33"/>
        <v>173870</v>
      </c>
      <c r="P63" s="40">
        <f>P56+P59+P62</f>
        <v>16786</v>
      </c>
      <c r="Q63" s="40">
        <f>Q56+Q59+Q62</f>
        <v>16786</v>
      </c>
    </row>
    <row r="64" spans="1:17" ht="13.8" x14ac:dyDescent="0.25">
      <c r="A64" s="174" t="s">
        <v>276</v>
      </c>
      <c r="B64" s="174"/>
      <c r="C64" s="174"/>
      <c r="D64" s="27"/>
      <c r="E64" s="27"/>
      <c r="F64" s="27"/>
      <c r="G64" s="27"/>
      <c r="H64" s="27"/>
      <c r="I64" s="27"/>
      <c r="J64" s="27"/>
      <c r="K64" s="29"/>
      <c r="L64" s="27"/>
      <c r="M64" s="27"/>
      <c r="N64" s="27"/>
      <c r="O64" s="27"/>
      <c r="P64" s="30"/>
      <c r="Q64" s="30"/>
    </row>
    <row r="65" spans="1:17" ht="13.8" x14ac:dyDescent="0.25">
      <c r="A65" s="175" t="s">
        <v>11</v>
      </c>
      <c r="B65" s="175"/>
      <c r="C65" s="175"/>
      <c r="D65" s="27"/>
      <c r="E65" s="27"/>
      <c r="F65" s="27"/>
      <c r="G65" s="27"/>
      <c r="H65" s="27"/>
      <c r="I65" s="27"/>
      <c r="J65" s="27"/>
      <c r="K65" s="29"/>
      <c r="L65" s="27"/>
      <c r="M65" s="27"/>
      <c r="N65" s="27"/>
      <c r="O65" s="27"/>
      <c r="P65" s="30"/>
      <c r="Q65" s="30"/>
    </row>
    <row r="66" spans="1:17" ht="13.8" x14ac:dyDescent="0.25">
      <c r="A66" s="50" t="s">
        <v>277</v>
      </c>
      <c r="B66" s="19" t="s">
        <v>35</v>
      </c>
      <c r="C66" s="20" t="s">
        <v>36</v>
      </c>
      <c r="D66" s="21">
        <v>2816657</v>
      </c>
      <c r="E66" s="21">
        <v>2542157.2599999998</v>
      </c>
      <c r="F66" s="21">
        <v>2821057</v>
      </c>
      <c r="G66" s="21">
        <v>2701603.93</v>
      </c>
      <c r="H66" s="21">
        <v>3156851</v>
      </c>
      <c r="I66" s="21">
        <v>2985862.7</v>
      </c>
      <c r="J66" s="114">
        <v>3312812</v>
      </c>
      <c r="K66" s="23"/>
      <c r="L66" s="114">
        <v>3383953</v>
      </c>
      <c r="M66" s="114">
        <v>3383953</v>
      </c>
      <c r="N66" s="114">
        <v>3383953</v>
      </c>
      <c r="O66" s="114">
        <v>3383953</v>
      </c>
      <c r="P66" s="21">
        <f>+N66-J66</f>
        <v>71141</v>
      </c>
      <c r="Q66" s="21">
        <f t="shared" ref="Q66:Q71" si="34">+N66-O66</f>
        <v>0</v>
      </c>
    </row>
    <row r="67" spans="1:17" ht="13.8" x14ac:dyDescent="0.25">
      <c r="A67" s="50" t="s">
        <v>277</v>
      </c>
      <c r="B67" s="19" t="s">
        <v>37</v>
      </c>
      <c r="C67" s="20" t="s">
        <v>38</v>
      </c>
      <c r="D67" s="21">
        <v>20000</v>
      </c>
      <c r="E67" s="21">
        <v>2566.5</v>
      </c>
      <c r="F67" s="21">
        <v>20000</v>
      </c>
      <c r="G67" s="21">
        <v>4106.3</v>
      </c>
      <c r="H67" s="21">
        <v>20000</v>
      </c>
      <c r="I67" s="21">
        <v>34.380000000000003</v>
      </c>
      <c r="J67" s="114">
        <v>20000</v>
      </c>
      <c r="K67" s="23"/>
      <c r="L67" s="114">
        <v>20000</v>
      </c>
      <c r="M67" s="114">
        <v>20000</v>
      </c>
      <c r="N67" s="114">
        <v>20000</v>
      </c>
      <c r="O67" s="114">
        <v>20000</v>
      </c>
      <c r="P67" s="21">
        <f t="shared" ref="P67:P71" si="35">+N67-J67</f>
        <v>0</v>
      </c>
      <c r="Q67" s="21">
        <f t="shared" si="34"/>
        <v>0</v>
      </c>
    </row>
    <row r="68" spans="1:17" ht="13.8" x14ac:dyDescent="0.25">
      <c r="A68" s="50" t="s">
        <v>277</v>
      </c>
      <c r="B68" s="19" t="s">
        <v>39</v>
      </c>
      <c r="C68" s="20" t="s">
        <v>40</v>
      </c>
      <c r="D68" s="21">
        <v>676177</v>
      </c>
      <c r="E68" s="21">
        <v>1056477.3400000001</v>
      </c>
      <c r="F68" s="21">
        <v>723316</v>
      </c>
      <c r="G68" s="21">
        <v>982088.02</v>
      </c>
      <c r="H68" s="21">
        <v>845286</v>
      </c>
      <c r="I68" s="21">
        <v>817401.21</v>
      </c>
      <c r="J68" s="114">
        <v>1338816</v>
      </c>
      <c r="K68" s="23"/>
      <c r="L68" s="114">
        <v>1371488</v>
      </c>
      <c r="M68" s="114">
        <v>1371488</v>
      </c>
      <c r="N68" s="114">
        <v>1371488</v>
      </c>
      <c r="O68" s="114">
        <v>1338816</v>
      </c>
      <c r="P68" s="21">
        <f>+N68-J68</f>
        <v>32672</v>
      </c>
      <c r="Q68" s="21">
        <f>+N68-O68</f>
        <v>32672</v>
      </c>
    </row>
    <row r="69" spans="1:17" ht="13.8" x14ac:dyDescent="0.25">
      <c r="A69" s="50" t="s">
        <v>265</v>
      </c>
      <c r="B69" s="19" t="s">
        <v>222</v>
      </c>
      <c r="C69" s="20" t="s">
        <v>266</v>
      </c>
      <c r="D69" s="21">
        <v>0</v>
      </c>
      <c r="E69" s="21">
        <v>0</v>
      </c>
      <c r="F69" s="21">
        <v>0</v>
      </c>
      <c r="G69" s="21">
        <v>0</v>
      </c>
      <c r="H69" s="21">
        <v>0</v>
      </c>
      <c r="I69" s="21">
        <v>0</v>
      </c>
      <c r="J69" s="114">
        <v>46480</v>
      </c>
      <c r="K69" s="23"/>
      <c r="L69" s="114">
        <v>61513</v>
      </c>
      <c r="M69" s="114">
        <v>61513</v>
      </c>
      <c r="N69" s="114">
        <v>61513</v>
      </c>
      <c r="O69" s="114">
        <v>61513</v>
      </c>
      <c r="P69" s="21">
        <f t="shared" si="35"/>
        <v>15033</v>
      </c>
      <c r="Q69" s="21">
        <f t="shared" si="34"/>
        <v>0</v>
      </c>
    </row>
    <row r="70" spans="1:17" ht="13.8" x14ac:dyDescent="0.25">
      <c r="A70" s="50" t="s">
        <v>265</v>
      </c>
      <c r="B70" s="19" t="s">
        <v>278</v>
      </c>
      <c r="C70" s="20" t="s">
        <v>279</v>
      </c>
      <c r="D70" s="21">
        <v>0</v>
      </c>
      <c r="E70" s="21">
        <v>0</v>
      </c>
      <c r="F70" s="21">
        <v>0</v>
      </c>
      <c r="G70" s="21">
        <v>0</v>
      </c>
      <c r="H70" s="21">
        <v>0</v>
      </c>
      <c r="I70" s="21">
        <v>0</v>
      </c>
      <c r="J70" s="114">
        <v>10752</v>
      </c>
      <c r="K70" s="23"/>
      <c r="L70" s="114">
        <v>11235</v>
      </c>
      <c r="M70" s="114">
        <v>11235</v>
      </c>
      <c r="N70" s="114">
        <v>11235</v>
      </c>
      <c r="O70" s="114">
        <v>10752</v>
      </c>
      <c r="P70" s="21">
        <f t="shared" si="35"/>
        <v>483</v>
      </c>
      <c r="Q70" s="21">
        <f t="shared" si="34"/>
        <v>483</v>
      </c>
    </row>
    <row r="71" spans="1:17" ht="13.8" x14ac:dyDescent="0.25">
      <c r="A71" s="50" t="s">
        <v>277</v>
      </c>
      <c r="B71" s="19" t="s">
        <v>240</v>
      </c>
      <c r="C71" s="20" t="s">
        <v>241</v>
      </c>
      <c r="D71" s="21">
        <v>138155</v>
      </c>
      <c r="E71" s="21">
        <v>112953.19</v>
      </c>
      <c r="F71" s="21">
        <v>139422</v>
      </c>
      <c r="G71" s="21">
        <v>108930.75</v>
      </c>
      <c r="H71" s="21">
        <v>145046</v>
      </c>
      <c r="I71" s="21">
        <v>136709.04</v>
      </c>
      <c r="J71" s="114">
        <v>163149</v>
      </c>
      <c r="K71" s="23"/>
      <c r="L71" s="114">
        <v>166652</v>
      </c>
      <c r="M71" s="114">
        <v>166652</v>
      </c>
      <c r="N71" s="114">
        <v>166652</v>
      </c>
      <c r="O71" s="114">
        <v>166652</v>
      </c>
      <c r="P71" s="21">
        <f t="shared" si="35"/>
        <v>3503</v>
      </c>
      <c r="Q71" s="21">
        <f t="shared" si="34"/>
        <v>0</v>
      </c>
    </row>
    <row r="72" spans="1:17" ht="13.8" x14ac:dyDescent="0.25">
      <c r="A72" s="176" t="s">
        <v>74</v>
      </c>
      <c r="B72" s="176"/>
      <c r="C72" s="176"/>
      <c r="D72" s="24">
        <f t="shared" ref="D72:G72" si="36">SUM(D66:D71)</f>
        <v>3650989</v>
      </c>
      <c r="E72" s="24">
        <f t="shared" si="36"/>
        <v>3714154.2899999996</v>
      </c>
      <c r="F72" s="24">
        <f t="shared" si="36"/>
        <v>3703795</v>
      </c>
      <c r="G72" s="24">
        <f t="shared" si="36"/>
        <v>3796729</v>
      </c>
      <c r="H72" s="24">
        <f t="shared" ref="H72:J72" si="37">SUM(H66:H71)</f>
        <v>4167183</v>
      </c>
      <c r="I72" s="24">
        <f t="shared" si="37"/>
        <v>3940007.33</v>
      </c>
      <c r="J72" s="24">
        <f t="shared" si="37"/>
        <v>4892009</v>
      </c>
      <c r="K72" s="26"/>
      <c r="L72" s="24">
        <f t="shared" ref="L72:Q72" si="38">SUM(L66:L71)</f>
        <v>5014841</v>
      </c>
      <c r="M72" s="24">
        <f t="shared" si="38"/>
        <v>5014841</v>
      </c>
      <c r="N72" s="24">
        <f t="shared" si="38"/>
        <v>5014841</v>
      </c>
      <c r="O72" s="24">
        <f t="shared" si="38"/>
        <v>4981686</v>
      </c>
      <c r="P72" s="24">
        <f t="shared" si="38"/>
        <v>122832</v>
      </c>
      <c r="Q72" s="24">
        <f t="shared" si="38"/>
        <v>33155</v>
      </c>
    </row>
    <row r="73" spans="1:17" ht="13.8" x14ac:dyDescent="0.25">
      <c r="A73" s="175" t="s">
        <v>14</v>
      </c>
      <c r="B73" s="175"/>
      <c r="C73" s="175"/>
      <c r="D73" s="27"/>
      <c r="E73" s="27"/>
      <c r="F73" s="27"/>
      <c r="G73" s="27"/>
      <c r="H73" s="27"/>
      <c r="I73" s="27"/>
      <c r="J73" s="27"/>
      <c r="K73" s="29"/>
      <c r="L73" s="27"/>
      <c r="M73" s="27"/>
      <c r="N73" s="27"/>
      <c r="O73" s="27"/>
      <c r="P73" s="30"/>
      <c r="Q73" s="30"/>
    </row>
    <row r="74" spans="1:17" ht="13.8" x14ac:dyDescent="0.25">
      <c r="A74" s="50" t="s">
        <v>277</v>
      </c>
      <c r="B74" s="19" t="s">
        <v>41</v>
      </c>
      <c r="C74" s="20" t="s">
        <v>242</v>
      </c>
      <c r="D74" s="27">
        <v>0</v>
      </c>
      <c r="E74" s="21">
        <v>0</v>
      </c>
      <c r="F74" s="27">
        <v>0</v>
      </c>
      <c r="G74" s="27">
        <v>0</v>
      </c>
      <c r="H74" s="27">
        <v>0</v>
      </c>
      <c r="I74" s="27">
        <v>0</v>
      </c>
      <c r="J74" s="27">
        <v>0</v>
      </c>
      <c r="K74" s="29">
        <v>0</v>
      </c>
      <c r="L74" s="27">
        <v>0</v>
      </c>
      <c r="M74" s="27">
        <v>0</v>
      </c>
      <c r="N74" s="27">
        <v>0</v>
      </c>
      <c r="O74" s="27">
        <v>0</v>
      </c>
      <c r="P74" s="21">
        <v>0</v>
      </c>
      <c r="Q74" s="21">
        <v>0</v>
      </c>
    </row>
    <row r="75" spans="1:17" ht="13.8" x14ac:dyDescent="0.25">
      <c r="A75" s="50" t="s">
        <v>277</v>
      </c>
      <c r="B75" s="19" t="s">
        <v>15</v>
      </c>
      <c r="C75" s="20" t="s">
        <v>16</v>
      </c>
      <c r="D75" s="21">
        <v>1240</v>
      </c>
      <c r="E75" s="21">
        <v>214.85</v>
      </c>
      <c r="F75" s="21">
        <v>1240</v>
      </c>
      <c r="G75" s="21">
        <v>410.76</v>
      </c>
      <c r="H75" s="21">
        <v>1240</v>
      </c>
      <c r="I75" s="21">
        <v>112.37</v>
      </c>
      <c r="J75" s="114">
        <v>1240</v>
      </c>
      <c r="K75" s="23"/>
      <c r="L75" s="114">
        <v>1240</v>
      </c>
      <c r="M75" s="114">
        <v>1240</v>
      </c>
      <c r="N75" s="114">
        <v>1240</v>
      </c>
      <c r="O75" s="114">
        <v>1240</v>
      </c>
      <c r="P75" s="21">
        <f>+N75-J75</f>
        <v>0</v>
      </c>
      <c r="Q75" s="21">
        <f>+N75-O75</f>
        <v>0</v>
      </c>
    </row>
    <row r="76" spans="1:17" ht="13.8" x14ac:dyDescent="0.25">
      <c r="A76" s="50" t="s">
        <v>277</v>
      </c>
      <c r="B76" s="19" t="s">
        <v>17</v>
      </c>
      <c r="C76" s="20" t="s">
        <v>18</v>
      </c>
      <c r="D76" s="21">
        <v>52940</v>
      </c>
      <c r="E76" s="21">
        <v>53367.93</v>
      </c>
      <c r="F76" s="21">
        <v>53706</v>
      </c>
      <c r="G76" s="21">
        <v>54437.77</v>
      </c>
      <c r="H76" s="21">
        <v>59989</v>
      </c>
      <c r="I76" s="21">
        <v>56383.32</v>
      </c>
      <c r="J76" s="114">
        <v>70934</v>
      </c>
      <c r="K76" s="23"/>
      <c r="L76" s="114">
        <v>72716</v>
      </c>
      <c r="M76" s="114">
        <v>72716</v>
      </c>
      <c r="N76" s="114">
        <v>72716</v>
      </c>
      <c r="O76" s="114">
        <v>72235</v>
      </c>
      <c r="P76" s="21">
        <f>+N76-J76</f>
        <v>1782</v>
      </c>
      <c r="Q76" s="21">
        <f>+N76-O76</f>
        <v>481</v>
      </c>
    </row>
    <row r="77" spans="1:17" ht="13.8" x14ac:dyDescent="0.25">
      <c r="A77" s="50" t="s">
        <v>277</v>
      </c>
      <c r="B77" s="19" t="s">
        <v>43</v>
      </c>
      <c r="C77" s="20" t="s">
        <v>44</v>
      </c>
      <c r="D77" s="21">
        <v>1197863</v>
      </c>
      <c r="E77" s="21">
        <v>1207704.29</v>
      </c>
      <c r="F77" s="21">
        <v>1118032</v>
      </c>
      <c r="G77" s="21">
        <v>1149345.95</v>
      </c>
      <c r="H77" s="21">
        <v>1249568</v>
      </c>
      <c r="I77" s="21">
        <v>1190265.57</v>
      </c>
      <c r="J77" s="114">
        <v>1420191</v>
      </c>
      <c r="K77" s="23"/>
      <c r="L77" s="114">
        <v>1455996</v>
      </c>
      <c r="M77" s="114">
        <v>1455996</v>
      </c>
      <c r="N77" s="114">
        <v>1455996</v>
      </c>
      <c r="O77" s="114">
        <v>1446332</v>
      </c>
      <c r="P77" s="21">
        <f>+N77-J77</f>
        <v>35805</v>
      </c>
      <c r="Q77" s="21">
        <f>+N77-O77</f>
        <v>9664</v>
      </c>
    </row>
    <row r="78" spans="1:17" ht="13.8" x14ac:dyDescent="0.25">
      <c r="A78" s="50" t="s">
        <v>277</v>
      </c>
      <c r="B78" s="19" t="s">
        <v>59</v>
      </c>
      <c r="C78" s="20" t="s">
        <v>60</v>
      </c>
      <c r="D78" s="21">
        <v>15000</v>
      </c>
      <c r="E78" s="21">
        <v>13351</v>
      </c>
      <c r="F78" s="21">
        <v>15000</v>
      </c>
      <c r="G78" s="21">
        <v>0</v>
      </c>
      <c r="H78" s="21">
        <v>15000</v>
      </c>
      <c r="I78" s="21">
        <v>0</v>
      </c>
      <c r="J78" s="114">
        <v>15000</v>
      </c>
      <c r="K78" s="23"/>
      <c r="L78" s="115">
        <v>15000</v>
      </c>
      <c r="M78" s="115">
        <v>15000</v>
      </c>
      <c r="N78" s="115">
        <v>15000</v>
      </c>
      <c r="O78" s="115">
        <v>15000</v>
      </c>
      <c r="P78" s="21">
        <f>+N78-J78</f>
        <v>0</v>
      </c>
      <c r="Q78" s="21">
        <f>+N78-O78</f>
        <v>0</v>
      </c>
    </row>
    <row r="79" spans="1:17" ht="13.8" x14ac:dyDescent="0.25">
      <c r="A79" s="50" t="s">
        <v>277</v>
      </c>
      <c r="B79" s="19" t="s">
        <v>19</v>
      </c>
      <c r="C79" s="20" t="s">
        <v>20</v>
      </c>
      <c r="D79" s="21">
        <v>147869</v>
      </c>
      <c r="E79" s="21">
        <v>140951.28</v>
      </c>
      <c r="F79" s="21">
        <v>156595</v>
      </c>
      <c r="G79" s="21">
        <v>166632.97</v>
      </c>
      <c r="H79" s="21">
        <v>186989</v>
      </c>
      <c r="I79" s="21">
        <v>186988.87</v>
      </c>
      <c r="J79" s="114">
        <v>220933</v>
      </c>
      <c r="K79" s="23"/>
      <c r="L79" s="115">
        <v>217643</v>
      </c>
      <c r="M79" s="115">
        <v>217643</v>
      </c>
      <c r="N79" s="115">
        <v>217643</v>
      </c>
      <c r="O79" s="115">
        <v>217643</v>
      </c>
      <c r="P79" s="21">
        <f>+N79-J79</f>
        <v>-3290</v>
      </c>
      <c r="Q79" s="21">
        <f>+N79-O79</f>
        <v>0</v>
      </c>
    </row>
    <row r="80" spans="1:17" ht="13.8" x14ac:dyDescent="0.25">
      <c r="A80" s="176" t="s">
        <v>75</v>
      </c>
      <c r="B80" s="176"/>
      <c r="C80" s="176"/>
      <c r="D80" s="24">
        <f t="shared" ref="D80:J80" si="39">SUM(D74:D79)</f>
        <v>1414912</v>
      </c>
      <c r="E80" s="24">
        <f t="shared" si="39"/>
        <v>1415589.35</v>
      </c>
      <c r="F80" s="24">
        <f t="shared" si="39"/>
        <v>1344573</v>
      </c>
      <c r="G80" s="24">
        <f t="shared" si="39"/>
        <v>1370827.45</v>
      </c>
      <c r="H80" s="24">
        <f t="shared" si="39"/>
        <v>1512786</v>
      </c>
      <c r="I80" s="24">
        <f t="shared" si="39"/>
        <v>1433750.13</v>
      </c>
      <c r="J80" s="24">
        <f t="shared" si="39"/>
        <v>1728298</v>
      </c>
      <c r="K80" s="26"/>
      <c r="L80" s="24">
        <f t="shared" ref="L80:Q80" si="40">SUM(L74:L79)</f>
        <v>1762595</v>
      </c>
      <c r="M80" s="24">
        <f t="shared" si="40"/>
        <v>1762595</v>
      </c>
      <c r="N80" s="24">
        <f t="shared" si="40"/>
        <v>1762595</v>
      </c>
      <c r="O80" s="24">
        <f t="shared" si="40"/>
        <v>1752450</v>
      </c>
      <c r="P80" s="24">
        <f t="shared" si="40"/>
        <v>34297</v>
      </c>
      <c r="Q80" s="24">
        <f t="shared" si="40"/>
        <v>10145</v>
      </c>
    </row>
    <row r="81" spans="1:17" ht="13.8" x14ac:dyDescent="0.25">
      <c r="A81" s="175" t="s">
        <v>21</v>
      </c>
      <c r="B81" s="175"/>
      <c r="C81" s="175"/>
      <c r="D81" s="27"/>
      <c r="E81" s="27"/>
      <c r="F81" s="27"/>
      <c r="G81" s="27"/>
      <c r="H81" s="27"/>
      <c r="I81" s="27"/>
      <c r="J81" s="27"/>
      <c r="K81" s="29"/>
      <c r="L81" s="27"/>
      <c r="M81" s="27"/>
      <c r="N81" s="27"/>
      <c r="O81" s="27"/>
      <c r="P81" s="30"/>
      <c r="Q81" s="30"/>
    </row>
    <row r="82" spans="1:17" ht="13.8" x14ac:dyDescent="0.25">
      <c r="A82" s="50" t="s">
        <v>277</v>
      </c>
      <c r="B82" s="19" t="s">
        <v>131</v>
      </c>
      <c r="C82" s="20" t="s">
        <v>132</v>
      </c>
      <c r="D82" s="21">
        <v>50000</v>
      </c>
      <c r="E82" s="21">
        <v>73590.05</v>
      </c>
      <c r="F82" s="21">
        <v>80000</v>
      </c>
      <c r="G82" s="21">
        <v>46237.55</v>
      </c>
      <c r="H82" s="21">
        <v>100000</v>
      </c>
      <c r="I82" s="21">
        <v>98589.69</v>
      </c>
      <c r="J82" s="114">
        <v>100000</v>
      </c>
      <c r="K82" s="23"/>
      <c r="L82" s="114">
        <v>140000</v>
      </c>
      <c r="M82" s="114">
        <v>140000</v>
      </c>
      <c r="N82" s="114">
        <v>140000</v>
      </c>
      <c r="O82" s="114">
        <v>100000</v>
      </c>
      <c r="P82" s="21">
        <f>+N82-J82</f>
        <v>40000</v>
      </c>
      <c r="Q82" s="21">
        <f>+N82-O82</f>
        <v>40000</v>
      </c>
    </row>
    <row r="83" spans="1:17" ht="13.8" x14ac:dyDescent="0.25">
      <c r="A83" s="50" t="s">
        <v>277</v>
      </c>
      <c r="B83" s="19" t="s">
        <v>225</v>
      </c>
      <c r="C83" s="20" t="s">
        <v>226</v>
      </c>
      <c r="D83" s="21">
        <v>37800</v>
      </c>
      <c r="E83" s="21">
        <v>40384.160000000003</v>
      </c>
      <c r="F83" s="21">
        <v>37800</v>
      </c>
      <c r="G83" s="21">
        <v>39653.89</v>
      </c>
      <c r="H83" s="21">
        <v>41000</v>
      </c>
      <c r="I83" s="21">
        <v>41669.15</v>
      </c>
      <c r="J83" s="114">
        <v>42500</v>
      </c>
      <c r="K83" s="23"/>
      <c r="L83" s="114">
        <v>42500</v>
      </c>
      <c r="M83" s="114">
        <v>42500</v>
      </c>
      <c r="N83" s="114">
        <v>42500</v>
      </c>
      <c r="O83" s="114">
        <v>42500</v>
      </c>
      <c r="P83" s="21">
        <f>+N83-J83</f>
        <v>0</v>
      </c>
      <c r="Q83" s="21">
        <f>+N83-O83</f>
        <v>0</v>
      </c>
    </row>
    <row r="84" spans="1:17" ht="13.8" x14ac:dyDescent="0.25">
      <c r="A84" s="50" t="s">
        <v>277</v>
      </c>
      <c r="B84" s="19" t="s">
        <v>28</v>
      </c>
      <c r="C84" s="20" t="s">
        <v>29</v>
      </c>
      <c r="D84" s="21">
        <v>40000</v>
      </c>
      <c r="E84" s="21">
        <v>39930.54</v>
      </c>
      <c r="F84" s="21">
        <v>41600</v>
      </c>
      <c r="G84" s="21">
        <v>42703.18</v>
      </c>
      <c r="H84" s="21">
        <v>41600</v>
      </c>
      <c r="I84" s="21">
        <v>49384.71</v>
      </c>
      <c r="J84" s="114">
        <v>41600</v>
      </c>
      <c r="K84" s="23"/>
      <c r="L84" s="114">
        <v>43000</v>
      </c>
      <c r="M84" s="114">
        <v>43000</v>
      </c>
      <c r="N84" s="114">
        <v>43000</v>
      </c>
      <c r="O84" s="114">
        <v>41600</v>
      </c>
      <c r="P84" s="21">
        <f>+N84-J84</f>
        <v>1400</v>
      </c>
      <c r="Q84" s="21">
        <f>+N84-O84</f>
        <v>1400</v>
      </c>
    </row>
    <row r="85" spans="1:17" ht="13.8" x14ac:dyDescent="0.25">
      <c r="A85" s="176" t="s">
        <v>76</v>
      </c>
      <c r="B85" s="176"/>
      <c r="C85" s="176"/>
      <c r="D85" s="24">
        <f t="shared" ref="D85" si="41">SUM(D82:D84)</f>
        <v>127800</v>
      </c>
      <c r="E85" s="24">
        <f>SUM(E82:E84)</f>
        <v>153904.75</v>
      </c>
      <c r="F85" s="24">
        <f t="shared" ref="F85:J85" si="42">SUM(F82:F84)</f>
        <v>159400</v>
      </c>
      <c r="G85" s="24">
        <f t="shared" si="42"/>
        <v>128594.62</v>
      </c>
      <c r="H85" s="24">
        <f t="shared" si="42"/>
        <v>182600</v>
      </c>
      <c r="I85" s="24">
        <f t="shared" si="42"/>
        <v>189643.55</v>
      </c>
      <c r="J85" s="24">
        <f t="shared" si="42"/>
        <v>184100</v>
      </c>
      <c r="K85" s="26"/>
      <c r="L85" s="24">
        <f t="shared" ref="L85:Q85" si="43">SUM(L82:L84)</f>
        <v>225500</v>
      </c>
      <c r="M85" s="24">
        <f t="shared" si="43"/>
        <v>225500</v>
      </c>
      <c r="N85" s="24">
        <f t="shared" si="43"/>
        <v>225500</v>
      </c>
      <c r="O85" s="24">
        <f t="shared" si="43"/>
        <v>184100</v>
      </c>
      <c r="P85" s="24">
        <f t="shared" si="43"/>
        <v>41400</v>
      </c>
      <c r="Q85" s="24">
        <f t="shared" si="43"/>
        <v>41400</v>
      </c>
    </row>
    <row r="86" spans="1:17" ht="13.8" x14ac:dyDescent="0.25">
      <c r="A86" s="175" t="s">
        <v>30</v>
      </c>
      <c r="B86" s="175"/>
      <c r="C86" s="175"/>
      <c r="D86" s="27"/>
      <c r="E86" s="27"/>
      <c r="F86" s="27"/>
      <c r="G86" s="27"/>
      <c r="H86" s="27"/>
      <c r="I86" s="27"/>
      <c r="J86" s="27"/>
      <c r="K86" s="29"/>
      <c r="L86" s="27"/>
      <c r="M86" s="27"/>
      <c r="N86" s="27"/>
      <c r="O86" s="27"/>
      <c r="P86" s="30"/>
      <c r="Q86" s="30"/>
    </row>
    <row r="87" spans="1:17" ht="13.8" x14ac:dyDescent="0.25">
      <c r="A87" s="50" t="s">
        <v>277</v>
      </c>
      <c r="B87" s="19" t="s">
        <v>31</v>
      </c>
      <c r="C87" s="20" t="s">
        <v>32</v>
      </c>
      <c r="D87" s="21">
        <v>25000</v>
      </c>
      <c r="E87" s="21">
        <v>31973.65</v>
      </c>
      <c r="F87" s="21">
        <v>25000</v>
      </c>
      <c r="G87" s="21">
        <v>114747.98</v>
      </c>
      <c r="H87" s="21">
        <v>25000</v>
      </c>
      <c r="I87" s="21">
        <v>40141.75</v>
      </c>
      <c r="J87" s="114">
        <v>30000</v>
      </c>
      <c r="K87" s="23"/>
      <c r="L87" s="114">
        <v>35000</v>
      </c>
      <c r="M87" s="114">
        <v>35000</v>
      </c>
      <c r="N87" s="114">
        <v>35000</v>
      </c>
      <c r="O87" s="114">
        <v>30000</v>
      </c>
      <c r="P87" s="21">
        <f>+N87-J87</f>
        <v>5000</v>
      </c>
      <c r="Q87" s="21">
        <f>+N87-O87</f>
        <v>5000</v>
      </c>
    </row>
    <row r="88" spans="1:17" ht="13.8" x14ac:dyDescent="0.25">
      <c r="A88" s="50" t="s">
        <v>277</v>
      </c>
      <c r="B88" s="19" t="s">
        <v>137</v>
      </c>
      <c r="C88" s="20" t="s">
        <v>138</v>
      </c>
      <c r="D88" s="21">
        <v>21000</v>
      </c>
      <c r="E88" s="21">
        <v>22818.97</v>
      </c>
      <c r="F88" s="21">
        <v>26200</v>
      </c>
      <c r="G88" s="21">
        <v>27250.52</v>
      </c>
      <c r="H88" s="21">
        <v>26200</v>
      </c>
      <c r="I88" s="21">
        <v>28084.12</v>
      </c>
      <c r="J88" s="114">
        <v>31200</v>
      </c>
      <c r="K88" s="23"/>
      <c r="L88" s="114">
        <v>31200</v>
      </c>
      <c r="M88" s="114">
        <v>31200</v>
      </c>
      <c r="N88" s="114">
        <v>31200</v>
      </c>
      <c r="O88" s="114">
        <v>31200</v>
      </c>
      <c r="P88" s="21">
        <f>+N88-J88</f>
        <v>0</v>
      </c>
      <c r="Q88" s="21">
        <f>+N88-O88</f>
        <v>0</v>
      </c>
    </row>
    <row r="89" spans="1:17" ht="13.8" x14ac:dyDescent="0.25">
      <c r="A89" s="50" t="s">
        <v>277</v>
      </c>
      <c r="B89" s="19" t="s">
        <v>170</v>
      </c>
      <c r="C89" s="20" t="s">
        <v>171</v>
      </c>
      <c r="D89" s="21">
        <v>14000</v>
      </c>
      <c r="E89" s="21">
        <v>34337.81</v>
      </c>
      <c r="F89" s="21">
        <v>20000</v>
      </c>
      <c r="G89" s="21">
        <v>33026.410000000003</v>
      </c>
      <c r="H89" s="21">
        <v>20000</v>
      </c>
      <c r="I89" s="21">
        <v>27606.16</v>
      </c>
      <c r="J89" s="114">
        <v>20000</v>
      </c>
      <c r="K89" s="23"/>
      <c r="L89" s="114">
        <v>45000</v>
      </c>
      <c r="M89" s="114">
        <v>45000</v>
      </c>
      <c r="N89" s="114">
        <v>45000</v>
      </c>
      <c r="O89" s="114">
        <v>20000</v>
      </c>
      <c r="P89" s="21">
        <f>+N89-J89</f>
        <v>25000</v>
      </c>
      <c r="Q89" s="21">
        <f>+N89-O89</f>
        <v>25000</v>
      </c>
    </row>
    <row r="90" spans="1:17" ht="13.8" x14ac:dyDescent="0.25">
      <c r="A90" s="50" t="s">
        <v>277</v>
      </c>
      <c r="B90" s="19" t="s">
        <v>33</v>
      </c>
      <c r="C90" s="20" t="s">
        <v>34</v>
      </c>
      <c r="D90" s="21">
        <v>15000</v>
      </c>
      <c r="E90" s="21">
        <v>30821.48</v>
      </c>
      <c r="F90" s="21">
        <v>15000</v>
      </c>
      <c r="G90" s="21">
        <v>19432.919999999998</v>
      </c>
      <c r="H90" s="21">
        <v>15000</v>
      </c>
      <c r="I90" s="21">
        <v>59575.31</v>
      </c>
      <c r="J90" s="114">
        <v>22000</v>
      </c>
      <c r="K90" s="23"/>
      <c r="L90" s="114">
        <v>30000</v>
      </c>
      <c r="M90" s="114">
        <v>30000</v>
      </c>
      <c r="N90" s="114">
        <v>30000</v>
      </c>
      <c r="O90" s="114">
        <v>22000</v>
      </c>
      <c r="P90" s="21">
        <f>+N90-J90</f>
        <v>8000</v>
      </c>
      <c r="Q90" s="21">
        <f>+N90-O90</f>
        <v>8000</v>
      </c>
    </row>
    <row r="91" spans="1:17" ht="13.8" x14ac:dyDescent="0.25">
      <c r="A91" s="177" t="s">
        <v>77</v>
      </c>
      <c r="B91" s="177"/>
      <c r="C91" s="177"/>
      <c r="D91" s="24">
        <f t="shared" ref="D91" si="44">SUM(D87:D90)</f>
        <v>75000</v>
      </c>
      <c r="E91" s="24">
        <f>SUM(E87:E90)</f>
        <v>119951.90999999999</v>
      </c>
      <c r="F91" s="24">
        <f t="shared" ref="F91:J91" si="45">SUM(F87:F90)</f>
        <v>86200</v>
      </c>
      <c r="G91" s="24">
        <f t="shared" si="45"/>
        <v>194457.83000000002</v>
      </c>
      <c r="H91" s="24">
        <f t="shared" si="45"/>
        <v>86200</v>
      </c>
      <c r="I91" s="24">
        <f t="shared" si="45"/>
        <v>155407.34</v>
      </c>
      <c r="J91" s="24">
        <f t="shared" si="45"/>
        <v>103200</v>
      </c>
      <c r="K91" s="26"/>
      <c r="L91" s="24">
        <f t="shared" ref="L91:Q91" si="46">SUM(L87:L90)</f>
        <v>141200</v>
      </c>
      <c r="M91" s="24">
        <f t="shared" si="46"/>
        <v>141200</v>
      </c>
      <c r="N91" s="24">
        <f t="shared" si="46"/>
        <v>141200</v>
      </c>
      <c r="O91" s="24">
        <f t="shared" si="46"/>
        <v>103200</v>
      </c>
      <c r="P91" s="24">
        <f t="shared" si="46"/>
        <v>38000</v>
      </c>
      <c r="Q91" s="24">
        <f t="shared" si="46"/>
        <v>38000</v>
      </c>
    </row>
    <row r="92" spans="1:17" ht="13.8" x14ac:dyDescent="0.25">
      <c r="A92" s="178" t="s">
        <v>280</v>
      </c>
      <c r="B92" s="178"/>
      <c r="C92" s="178"/>
      <c r="D92" s="40">
        <f t="shared" ref="D92" si="47">D72+D80+D85+D91</f>
        <v>5268701</v>
      </c>
      <c r="E92" s="40">
        <f>E72+E80+E85+E91</f>
        <v>5403600.2999999998</v>
      </c>
      <c r="F92" s="40">
        <f t="shared" ref="F92:J92" si="48">F72+F80+F85+F91</f>
        <v>5293968</v>
      </c>
      <c r="G92" s="40">
        <f t="shared" si="48"/>
        <v>5490608.9000000004</v>
      </c>
      <c r="H92" s="40">
        <f t="shared" si="48"/>
        <v>5948769</v>
      </c>
      <c r="I92" s="40">
        <f t="shared" si="48"/>
        <v>5718808.3499999996</v>
      </c>
      <c r="J92" s="40">
        <f t="shared" si="48"/>
        <v>6907607</v>
      </c>
      <c r="K92" s="26"/>
      <c r="L92" s="40">
        <f t="shared" ref="L92:O92" si="49">L72+L80+L85+L91</f>
        <v>7144136</v>
      </c>
      <c r="M92" s="40">
        <f t="shared" si="49"/>
        <v>7144136</v>
      </c>
      <c r="N92" s="40">
        <f t="shared" si="49"/>
        <v>7144136</v>
      </c>
      <c r="O92" s="40">
        <f t="shared" si="49"/>
        <v>7021436</v>
      </c>
      <c r="P92" s="40">
        <f>P72+P80+P85+P91</f>
        <v>236529</v>
      </c>
      <c r="Q92" s="40">
        <f>Q72+Q80+Q85+Q91</f>
        <v>122700</v>
      </c>
    </row>
    <row r="93" spans="1:17" ht="13.8" x14ac:dyDescent="0.25">
      <c r="A93" s="174" t="s">
        <v>281</v>
      </c>
      <c r="B93" s="174"/>
      <c r="C93" s="174"/>
      <c r="D93" s="27"/>
      <c r="E93" s="27"/>
      <c r="F93" s="27"/>
      <c r="G93" s="27"/>
      <c r="H93" s="27"/>
      <c r="I93" s="27"/>
      <c r="J93" s="27"/>
      <c r="K93" s="29"/>
      <c r="L93" s="27"/>
      <c r="M93" s="27"/>
      <c r="N93" s="27"/>
      <c r="O93" s="27"/>
      <c r="P93" s="30"/>
      <c r="Q93" s="30"/>
    </row>
    <row r="94" spans="1:17" ht="13.8" x14ac:dyDescent="0.25">
      <c r="A94" s="175" t="s">
        <v>11</v>
      </c>
      <c r="B94" s="175"/>
      <c r="C94" s="175"/>
      <c r="D94" s="27"/>
      <c r="E94" s="27"/>
      <c r="F94" s="27"/>
      <c r="G94" s="27"/>
      <c r="H94" s="27"/>
      <c r="I94" s="27"/>
      <c r="J94" s="27"/>
      <c r="K94" s="29"/>
      <c r="L94" s="27"/>
      <c r="M94" s="27"/>
      <c r="N94" s="27"/>
      <c r="O94" s="27"/>
      <c r="P94" s="30"/>
      <c r="Q94" s="30"/>
    </row>
    <row r="95" spans="1:17" ht="13.8" x14ac:dyDescent="0.25">
      <c r="A95" s="50" t="s">
        <v>282</v>
      </c>
      <c r="B95" s="19" t="s">
        <v>35</v>
      </c>
      <c r="C95" s="20" t="s">
        <v>36</v>
      </c>
      <c r="D95" s="21">
        <v>102320</v>
      </c>
      <c r="E95" s="21">
        <v>100634.34</v>
      </c>
      <c r="F95" s="21">
        <v>102435</v>
      </c>
      <c r="G95" s="21">
        <v>102439.18</v>
      </c>
      <c r="H95" s="21">
        <v>106476</v>
      </c>
      <c r="I95" s="21">
        <v>101275.98</v>
      </c>
      <c r="J95" s="114">
        <v>107233</v>
      </c>
      <c r="K95" s="23"/>
      <c r="L95" s="114">
        <v>114422</v>
      </c>
      <c r="M95" s="114">
        <v>114422</v>
      </c>
      <c r="N95" s="114">
        <v>114422</v>
      </c>
      <c r="O95" s="114">
        <v>114422</v>
      </c>
      <c r="P95" s="21">
        <f>+N95-J95</f>
        <v>7189</v>
      </c>
      <c r="Q95" s="21">
        <f>+N95-O95</f>
        <v>0</v>
      </c>
    </row>
    <row r="96" spans="1:17" ht="13.8" x14ac:dyDescent="0.25">
      <c r="A96" s="50" t="s">
        <v>282</v>
      </c>
      <c r="B96" s="19" t="s">
        <v>39</v>
      </c>
      <c r="C96" s="20" t="s">
        <v>40</v>
      </c>
      <c r="D96" s="21">
        <v>2951</v>
      </c>
      <c r="E96" s="21">
        <v>7527.7</v>
      </c>
      <c r="F96" s="21">
        <v>3418</v>
      </c>
      <c r="G96" s="21">
        <v>6636.53</v>
      </c>
      <c r="H96" s="21">
        <v>4411</v>
      </c>
      <c r="I96" s="21">
        <v>4756.26</v>
      </c>
      <c r="J96" s="114">
        <v>6545</v>
      </c>
      <c r="K96" s="23"/>
      <c r="L96" s="114">
        <v>6545</v>
      </c>
      <c r="M96" s="114">
        <v>6545</v>
      </c>
      <c r="N96" s="114">
        <v>6545</v>
      </c>
      <c r="O96" s="114">
        <v>6545</v>
      </c>
      <c r="P96" s="21">
        <f>+N96-J96</f>
        <v>0</v>
      </c>
      <c r="Q96" s="21">
        <f>+N96-O96</f>
        <v>0</v>
      </c>
    </row>
    <row r="97" spans="1:17" ht="13.8" x14ac:dyDescent="0.25">
      <c r="A97" s="50" t="s">
        <v>282</v>
      </c>
      <c r="B97" s="19" t="s">
        <v>240</v>
      </c>
      <c r="C97" s="20" t="s">
        <v>283</v>
      </c>
      <c r="D97" s="21">
        <v>0</v>
      </c>
      <c r="E97" s="21">
        <v>0</v>
      </c>
      <c r="F97" s="21">
        <v>0</v>
      </c>
      <c r="G97" s="21">
        <v>0</v>
      </c>
      <c r="H97" s="21">
        <v>0</v>
      </c>
      <c r="I97" s="21">
        <v>390.24</v>
      </c>
      <c r="J97" s="114">
        <v>0</v>
      </c>
      <c r="K97" s="23"/>
      <c r="L97" s="114"/>
      <c r="M97" s="114"/>
      <c r="N97" s="114"/>
      <c r="O97" s="114"/>
      <c r="P97" s="21"/>
      <c r="Q97" s="21"/>
    </row>
    <row r="98" spans="1:17" ht="13.8" x14ac:dyDescent="0.25">
      <c r="A98" s="176" t="s">
        <v>74</v>
      </c>
      <c r="B98" s="176"/>
      <c r="C98" s="176"/>
      <c r="D98" s="24">
        <f t="shared" ref="D98:G98" si="50">SUM(D95:D96)</f>
        <v>105271</v>
      </c>
      <c r="E98" s="24">
        <f t="shared" si="50"/>
        <v>108162.04</v>
      </c>
      <c r="F98" s="24">
        <f t="shared" si="50"/>
        <v>105853</v>
      </c>
      <c r="G98" s="24">
        <f t="shared" si="50"/>
        <v>109075.70999999999</v>
      </c>
      <c r="H98" s="24">
        <f t="shared" ref="H98" si="51">SUM(H95:H96)</f>
        <v>110887</v>
      </c>
      <c r="I98" s="24">
        <f>SUM(I95:I97)</f>
        <v>106422.48</v>
      </c>
      <c r="J98" s="24">
        <f>SUM(J95:J96)</f>
        <v>113778</v>
      </c>
      <c r="K98" s="26"/>
      <c r="L98" s="24">
        <f t="shared" ref="L98:Q98" si="52">SUM(L95:L96)</f>
        <v>120967</v>
      </c>
      <c r="M98" s="24">
        <f t="shared" si="52"/>
        <v>120967</v>
      </c>
      <c r="N98" s="24">
        <f t="shared" si="52"/>
        <v>120967</v>
      </c>
      <c r="O98" s="24">
        <f t="shared" si="52"/>
        <v>120967</v>
      </c>
      <c r="P98" s="24">
        <f t="shared" si="52"/>
        <v>7189</v>
      </c>
      <c r="Q98" s="24">
        <f t="shared" si="52"/>
        <v>0</v>
      </c>
    </row>
    <row r="99" spans="1:17" ht="13.8" x14ac:dyDescent="0.25">
      <c r="A99" s="175" t="s">
        <v>14</v>
      </c>
      <c r="B99" s="175"/>
      <c r="C99" s="175"/>
      <c r="D99" s="27"/>
      <c r="E99" s="27"/>
      <c r="F99" s="27"/>
      <c r="G99" s="27"/>
      <c r="H99" s="27"/>
      <c r="I99" s="27"/>
      <c r="J99" s="27"/>
      <c r="K99" s="29"/>
      <c r="L99" s="27"/>
      <c r="M99" s="27"/>
      <c r="N99" s="27"/>
      <c r="O99" s="27"/>
      <c r="P99" s="30"/>
      <c r="Q99" s="30"/>
    </row>
    <row r="100" spans="1:17" ht="13.8" x14ac:dyDescent="0.25">
      <c r="A100" s="50" t="s">
        <v>282</v>
      </c>
      <c r="B100" s="19" t="s">
        <v>15</v>
      </c>
      <c r="C100" s="20" t="s">
        <v>16</v>
      </c>
      <c r="D100" s="21">
        <v>6527</v>
      </c>
      <c r="E100" s="21">
        <v>6399.45</v>
      </c>
      <c r="F100" s="21">
        <v>6563</v>
      </c>
      <c r="G100" s="21">
        <v>6423.1</v>
      </c>
      <c r="H100" s="21">
        <v>6875</v>
      </c>
      <c r="I100" s="21">
        <v>6396.16</v>
      </c>
      <c r="J100" s="114">
        <v>7055</v>
      </c>
      <c r="K100" s="23"/>
      <c r="L100" s="114">
        <v>7500</v>
      </c>
      <c r="M100" s="114">
        <v>7500</v>
      </c>
      <c r="N100" s="114">
        <v>7500</v>
      </c>
      <c r="O100" s="114">
        <v>7500</v>
      </c>
      <c r="P100" s="21">
        <f>+N100-J100</f>
        <v>445</v>
      </c>
      <c r="Q100" s="21">
        <f>+N100-O100</f>
        <v>0</v>
      </c>
    </row>
    <row r="101" spans="1:17" ht="13.8" x14ac:dyDescent="0.25">
      <c r="A101" s="50" t="s">
        <v>282</v>
      </c>
      <c r="B101" s="19" t="s">
        <v>17</v>
      </c>
      <c r="C101" s="20" t="s">
        <v>18</v>
      </c>
      <c r="D101" s="21">
        <v>1527</v>
      </c>
      <c r="E101" s="21">
        <v>1496.63</v>
      </c>
      <c r="F101" s="21">
        <v>1535</v>
      </c>
      <c r="G101" s="21">
        <v>1502.18</v>
      </c>
      <c r="H101" s="21">
        <v>1608</v>
      </c>
      <c r="I101" s="21">
        <v>1495.88</v>
      </c>
      <c r="J101" s="114">
        <v>1650</v>
      </c>
      <c r="K101" s="23"/>
      <c r="L101" s="114">
        <v>1755</v>
      </c>
      <c r="M101" s="114">
        <v>1755</v>
      </c>
      <c r="N101" s="114">
        <v>1755</v>
      </c>
      <c r="O101" s="114">
        <v>1755</v>
      </c>
      <c r="P101" s="21">
        <f>+N101-J101</f>
        <v>105</v>
      </c>
      <c r="Q101" s="21">
        <f>+N101-O101</f>
        <v>0</v>
      </c>
    </row>
    <row r="102" spans="1:17" ht="13.8" x14ac:dyDescent="0.25">
      <c r="A102" s="50" t="s">
        <v>282</v>
      </c>
      <c r="B102" s="19" t="s">
        <v>43</v>
      </c>
      <c r="C102" s="20" t="s">
        <v>44</v>
      </c>
      <c r="D102" s="21">
        <v>15360</v>
      </c>
      <c r="E102" s="21">
        <v>15176.74</v>
      </c>
      <c r="F102" s="21">
        <v>14322</v>
      </c>
      <c r="G102" s="21">
        <v>14723.87</v>
      </c>
      <c r="H102" s="21">
        <v>15003</v>
      </c>
      <c r="I102" s="21">
        <v>14793.64</v>
      </c>
      <c r="J102" s="114">
        <v>14507</v>
      </c>
      <c r="K102" s="23"/>
      <c r="L102" s="114">
        <v>15424</v>
      </c>
      <c r="M102" s="114">
        <v>15424</v>
      </c>
      <c r="N102" s="114">
        <v>15424</v>
      </c>
      <c r="O102" s="114">
        <v>15424</v>
      </c>
      <c r="P102" s="21">
        <f>+N102-J102</f>
        <v>917</v>
      </c>
      <c r="Q102" s="21">
        <f>+N102-O102</f>
        <v>0</v>
      </c>
    </row>
    <row r="103" spans="1:17" ht="13.8" x14ac:dyDescent="0.25">
      <c r="A103" s="50" t="s">
        <v>282</v>
      </c>
      <c r="B103" s="19" t="s">
        <v>19</v>
      </c>
      <c r="C103" s="20" t="s">
        <v>20</v>
      </c>
      <c r="D103" s="21">
        <v>322</v>
      </c>
      <c r="E103" s="21">
        <v>306.52999999999997</v>
      </c>
      <c r="F103" s="21">
        <v>341</v>
      </c>
      <c r="G103" s="21">
        <v>362.88</v>
      </c>
      <c r="H103" s="21">
        <v>407</v>
      </c>
      <c r="I103" s="21">
        <v>406.65</v>
      </c>
      <c r="J103" s="114">
        <v>480</v>
      </c>
      <c r="K103" s="23"/>
      <c r="L103" s="114">
        <v>473</v>
      </c>
      <c r="M103" s="114">
        <v>473</v>
      </c>
      <c r="N103" s="114">
        <v>473</v>
      </c>
      <c r="O103" s="114">
        <v>473</v>
      </c>
      <c r="P103" s="21">
        <f>+N103-J103</f>
        <v>-7</v>
      </c>
      <c r="Q103" s="21">
        <f>+N103-O103</f>
        <v>0</v>
      </c>
    </row>
    <row r="104" spans="1:17" ht="13.8" x14ac:dyDescent="0.25">
      <c r="A104" s="176" t="s">
        <v>75</v>
      </c>
      <c r="B104" s="176"/>
      <c r="C104" s="176"/>
      <c r="D104" s="24">
        <f t="shared" ref="D104" si="53">SUM(D100:D103)</f>
        <v>23736</v>
      </c>
      <c r="E104" s="24">
        <f>SUM(E100:E103)</f>
        <v>23379.35</v>
      </c>
      <c r="F104" s="24">
        <f t="shared" ref="F104:J104" si="54">SUM(F100:F103)</f>
        <v>22761</v>
      </c>
      <c r="G104" s="24">
        <f t="shared" si="54"/>
        <v>23012.030000000002</v>
      </c>
      <c r="H104" s="24">
        <f t="shared" si="54"/>
        <v>23893</v>
      </c>
      <c r="I104" s="24">
        <f t="shared" si="54"/>
        <v>23092.33</v>
      </c>
      <c r="J104" s="24">
        <f t="shared" si="54"/>
        <v>23692</v>
      </c>
      <c r="K104" s="26"/>
      <c r="L104" s="24">
        <f t="shared" ref="L104:O104" si="55">SUM(L100:L103)</f>
        <v>25152</v>
      </c>
      <c r="M104" s="24">
        <f t="shared" si="55"/>
        <v>25152</v>
      </c>
      <c r="N104" s="24">
        <f t="shared" si="55"/>
        <v>25152</v>
      </c>
      <c r="O104" s="24">
        <f t="shared" si="55"/>
        <v>25152</v>
      </c>
      <c r="P104" s="24">
        <f>SUM(P100:P103)</f>
        <v>1460</v>
      </c>
      <c r="Q104" s="24">
        <f>SUM(Q100:Q103)</f>
        <v>0</v>
      </c>
    </row>
    <row r="105" spans="1:17" ht="13.8" x14ac:dyDescent="0.25">
      <c r="A105" s="175" t="s">
        <v>21</v>
      </c>
      <c r="B105" s="175"/>
      <c r="C105" s="175"/>
      <c r="D105" s="27"/>
      <c r="E105" s="27"/>
      <c r="F105" s="27"/>
      <c r="G105" s="27"/>
      <c r="H105" s="27"/>
      <c r="I105" s="27"/>
      <c r="J105" s="27"/>
      <c r="K105" s="29"/>
      <c r="L105" s="27"/>
      <c r="M105" s="27"/>
      <c r="N105" s="27"/>
      <c r="O105" s="27"/>
      <c r="P105" s="30"/>
      <c r="Q105" s="30"/>
    </row>
    <row r="106" spans="1:17" ht="13.8" x14ac:dyDescent="0.25">
      <c r="A106" s="50" t="s">
        <v>282</v>
      </c>
      <c r="B106" s="19" t="s">
        <v>131</v>
      </c>
      <c r="C106" s="20" t="s">
        <v>132</v>
      </c>
      <c r="D106" s="21">
        <v>1200</v>
      </c>
      <c r="E106" s="21">
        <v>505</v>
      </c>
      <c r="F106" s="21">
        <v>1200</v>
      </c>
      <c r="G106" s="21">
        <v>891.99</v>
      </c>
      <c r="H106" s="21">
        <v>750</v>
      </c>
      <c r="I106" s="21">
        <v>1074.47</v>
      </c>
      <c r="J106" s="21">
        <v>750</v>
      </c>
      <c r="K106" s="23"/>
      <c r="L106" s="21">
        <v>750</v>
      </c>
      <c r="M106" s="21">
        <v>750</v>
      </c>
      <c r="N106" s="21">
        <v>750</v>
      </c>
      <c r="O106" s="21">
        <v>750</v>
      </c>
      <c r="P106" s="21">
        <f>+N106-J106</f>
        <v>0</v>
      </c>
      <c r="Q106" s="21">
        <f>+N106-O106</f>
        <v>0</v>
      </c>
    </row>
    <row r="107" spans="1:17" ht="13.8" x14ac:dyDescent="0.25">
      <c r="A107" s="176" t="s">
        <v>76</v>
      </c>
      <c r="B107" s="176"/>
      <c r="C107" s="176"/>
      <c r="D107" s="24">
        <f t="shared" ref="D107" si="56">SUM(D106:D106)</f>
        <v>1200</v>
      </c>
      <c r="E107" s="24">
        <f>SUM(E106:E106)</f>
        <v>505</v>
      </c>
      <c r="F107" s="24">
        <f t="shared" ref="F107:J107" si="57">SUM(F106:F106)</f>
        <v>1200</v>
      </c>
      <c r="G107" s="24">
        <f t="shared" si="57"/>
        <v>891.99</v>
      </c>
      <c r="H107" s="24">
        <f t="shared" si="57"/>
        <v>750</v>
      </c>
      <c r="I107" s="24">
        <f t="shared" si="57"/>
        <v>1074.47</v>
      </c>
      <c r="J107" s="24">
        <f t="shared" si="57"/>
        <v>750</v>
      </c>
      <c r="K107" s="26"/>
      <c r="L107" s="24">
        <f t="shared" ref="L107:Q107" si="58">SUM(L106:L106)</f>
        <v>750</v>
      </c>
      <c r="M107" s="24">
        <f t="shared" si="58"/>
        <v>750</v>
      </c>
      <c r="N107" s="24">
        <f t="shared" si="58"/>
        <v>750</v>
      </c>
      <c r="O107" s="24">
        <f t="shared" si="58"/>
        <v>750</v>
      </c>
      <c r="P107" s="24">
        <f t="shared" si="58"/>
        <v>0</v>
      </c>
      <c r="Q107" s="24">
        <f t="shared" si="58"/>
        <v>0</v>
      </c>
    </row>
    <row r="108" spans="1:17" ht="13.8" x14ac:dyDescent="0.25">
      <c r="A108" s="175" t="s">
        <v>133</v>
      </c>
      <c r="B108" s="175"/>
      <c r="C108" s="175"/>
      <c r="D108" s="27"/>
      <c r="E108" s="27"/>
      <c r="F108" s="27"/>
      <c r="G108" s="27"/>
      <c r="H108" s="27"/>
      <c r="I108" s="27"/>
      <c r="J108" s="27"/>
      <c r="K108" s="29"/>
      <c r="L108" s="27"/>
      <c r="M108" s="27"/>
      <c r="N108" s="27"/>
      <c r="O108" s="27"/>
      <c r="P108" s="30"/>
      <c r="Q108" s="30"/>
    </row>
    <row r="109" spans="1:17" ht="13.8" x14ac:dyDescent="0.25">
      <c r="A109" s="50" t="s">
        <v>282</v>
      </c>
      <c r="B109" s="19" t="s">
        <v>134</v>
      </c>
      <c r="C109" s="20" t="s">
        <v>135</v>
      </c>
      <c r="D109" s="21">
        <v>800</v>
      </c>
      <c r="E109" s="21">
        <v>800</v>
      </c>
      <c r="F109" s="21">
        <v>800</v>
      </c>
      <c r="G109" s="21">
        <v>544</v>
      </c>
      <c r="H109" s="21">
        <v>800</v>
      </c>
      <c r="I109" s="21">
        <v>800</v>
      </c>
      <c r="J109" s="21">
        <v>800</v>
      </c>
      <c r="K109" s="23"/>
      <c r="L109" s="21">
        <v>800</v>
      </c>
      <c r="M109" s="21">
        <v>800</v>
      </c>
      <c r="N109" s="21">
        <v>800</v>
      </c>
      <c r="O109" s="21">
        <v>800</v>
      </c>
      <c r="P109" s="21">
        <f>+N109-J109</f>
        <v>0</v>
      </c>
      <c r="Q109" s="21">
        <f>+N109-O109</f>
        <v>0</v>
      </c>
    </row>
    <row r="110" spans="1:17" ht="13.8" x14ac:dyDescent="0.25">
      <c r="A110" s="176" t="s">
        <v>136</v>
      </c>
      <c r="B110" s="176"/>
      <c r="C110" s="176"/>
      <c r="D110" s="24">
        <f t="shared" ref="D110" si="59">SUM(D109:D109)</f>
        <v>800</v>
      </c>
      <c r="E110" s="24">
        <f>SUM(E109:E109)</f>
        <v>800</v>
      </c>
      <c r="F110" s="24">
        <f t="shared" ref="F110:J110" si="60">SUM(F109:F109)</f>
        <v>800</v>
      </c>
      <c r="G110" s="24">
        <f t="shared" si="60"/>
        <v>544</v>
      </c>
      <c r="H110" s="24">
        <f t="shared" si="60"/>
        <v>800</v>
      </c>
      <c r="I110" s="24">
        <f t="shared" si="60"/>
        <v>800</v>
      </c>
      <c r="J110" s="24">
        <f t="shared" si="60"/>
        <v>800</v>
      </c>
      <c r="K110" s="26"/>
      <c r="L110" s="24">
        <f t="shared" ref="L110:Q110" si="61">SUM(L109:L109)</f>
        <v>800</v>
      </c>
      <c r="M110" s="24">
        <f t="shared" si="61"/>
        <v>800</v>
      </c>
      <c r="N110" s="24">
        <f t="shared" si="61"/>
        <v>800</v>
      </c>
      <c r="O110" s="24">
        <f t="shared" si="61"/>
        <v>800</v>
      </c>
      <c r="P110" s="24">
        <f t="shared" si="61"/>
        <v>0</v>
      </c>
      <c r="Q110" s="24">
        <f t="shared" si="61"/>
        <v>0</v>
      </c>
    </row>
    <row r="111" spans="1:17" ht="13.8" x14ac:dyDescent="0.25">
      <c r="A111" s="175" t="s">
        <v>45</v>
      </c>
      <c r="B111" s="175"/>
      <c r="C111" s="175"/>
      <c r="D111" s="27"/>
      <c r="E111" s="27"/>
      <c r="F111" s="27"/>
      <c r="G111" s="27"/>
      <c r="H111" s="27"/>
      <c r="I111" s="27"/>
      <c r="J111" s="27"/>
      <c r="K111" s="29"/>
      <c r="L111" s="27"/>
      <c r="M111" s="27"/>
      <c r="N111" s="27"/>
      <c r="O111" s="27"/>
      <c r="P111" s="30"/>
      <c r="Q111" s="30"/>
    </row>
    <row r="112" spans="1:17" ht="13.8" x14ac:dyDescent="0.25">
      <c r="A112" s="50" t="s">
        <v>282</v>
      </c>
      <c r="B112" s="19" t="s">
        <v>46</v>
      </c>
      <c r="C112" s="20" t="s">
        <v>47</v>
      </c>
      <c r="D112" s="21">
        <v>2000</v>
      </c>
      <c r="E112" s="21">
        <v>976.49</v>
      </c>
      <c r="F112" s="21">
        <v>2000</v>
      </c>
      <c r="G112" s="21">
        <v>998.57</v>
      </c>
      <c r="H112" s="21">
        <v>2000</v>
      </c>
      <c r="I112" s="21">
        <v>1548.69</v>
      </c>
      <c r="J112" s="21">
        <v>2000</v>
      </c>
      <c r="K112" s="23"/>
      <c r="L112" s="21">
        <v>2000</v>
      </c>
      <c r="M112" s="21">
        <v>2000</v>
      </c>
      <c r="N112" s="21">
        <v>2000</v>
      </c>
      <c r="O112" s="21">
        <v>2000</v>
      </c>
      <c r="P112" s="21">
        <f>+N112-J112</f>
        <v>0</v>
      </c>
      <c r="Q112" s="21">
        <f>+N112-O112</f>
        <v>0</v>
      </c>
    </row>
    <row r="113" spans="1:17" ht="13.8" x14ac:dyDescent="0.25">
      <c r="A113" s="176" t="s">
        <v>85</v>
      </c>
      <c r="B113" s="176"/>
      <c r="C113" s="176"/>
      <c r="D113" s="24">
        <f t="shared" ref="D113" si="62">SUM(D112:D112)</f>
        <v>2000</v>
      </c>
      <c r="E113" s="24">
        <f>SUM(E112:E112)</f>
        <v>976.49</v>
      </c>
      <c r="F113" s="24">
        <f t="shared" ref="F113:J113" si="63">SUM(F112:F112)</f>
        <v>2000</v>
      </c>
      <c r="G113" s="24">
        <f t="shared" si="63"/>
        <v>998.57</v>
      </c>
      <c r="H113" s="24">
        <f t="shared" si="63"/>
        <v>2000</v>
      </c>
      <c r="I113" s="24">
        <f t="shared" si="63"/>
        <v>1548.69</v>
      </c>
      <c r="J113" s="24">
        <f t="shared" si="63"/>
        <v>2000</v>
      </c>
      <c r="K113" s="26"/>
      <c r="L113" s="24">
        <f t="shared" ref="L113:Q113" si="64">SUM(L112:L112)</f>
        <v>2000</v>
      </c>
      <c r="M113" s="24">
        <f t="shared" si="64"/>
        <v>2000</v>
      </c>
      <c r="N113" s="24">
        <f t="shared" si="64"/>
        <v>2000</v>
      </c>
      <c r="O113" s="24">
        <f t="shared" si="64"/>
        <v>2000</v>
      </c>
      <c r="P113" s="24">
        <f t="shared" si="64"/>
        <v>0</v>
      </c>
      <c r="Q113" s="24">
        <f t="shared" si="64"/>
        <v>0</v>
      </c>
    </row>
    <row r="114" spans="1:17" ht="13.8" x14ac:dyDescent="0.25">
      <c r="A114" s="175" t="s">
        <v>30</v>
      </c>
      <c r="B114" s="175"/>
      <c r="C114" s="175"/>
      <c r="D114" s="27"/>
      <c r="E114" s="27"/>
      <c r="F114" s="27"/>
      <c r="G114" s="27"/>
      <c r="H114" s="27"/>
      <c r="I114" s="27"/>
      <c r="J114" s="27"/>
      <c r="K114" s="29"/>
      <c r="L114" s="27"/>
      <c r="M114" s="27"/>
      <c r="N114" s="27"/>
      <c r="O114" s="27"/>
      <c r="P114" s="30"/>
      <c r="Q114" s="30"/>
    </row>
    <row r="115" spans="1:17" ht="13.8" x14ac:dyDescent="0.25">
      <c r="A115" s="50" t="s">
        <v>282</v>
      </c>
      <c r="B115" s="19" t="s">
        <v>33</v>
      </c>
      <c r="C115" s="20" t="s">
        <v>34</v>
      </c>
      <c r="D115" s="21">
        <v>26000</v>
      </c>
      <c r="E115" s="21">
        <v>26780.09</v>
      </c>
      <c r="F115" s="21">
        <v>26000</v>
      </c>
      <c r="G115" s="21">
        <v>26521.78</v>
      </c>
      <c r="H115" s="21">
        <v>26000</v>
      </c>
      <c r="I115" s="21">
        <v>26519.87</v>
      </c>
      <c r="J115" s="114">
        <v>3000</v>
      </c>
      <c r="K115" s="23"/>
      <c r="L115" s="114">
        <v>2500</v>
      </c>
      <c r="M115" s="114">
        <v>2500</v>
      </c>
      <c r="N115" s="114">
        <v>2500</v>
      </c>
      <c r="O115" s="114">
        <v>3000</v>
      </c>
      <c r="P115" s="21">
        <f>+N115-J115</f>
        <v>-500</v>
      </c>
      <c r="Q115" s="21">
        <f>+N115-O115</f>
        <v>-500</v>
      </c>
    </row>
    <row r="116" spans="1:17" ht="13.8" x14ac:dyDescent="0.25">
      <c r="A116" s="177" t="s">
        <v>77</v>
      </c>
      <c r="B116" s="177"/>
      <c r="C116" s="177"/>
      <c r="D116" s="24">
        <f t="shared" ref="D116" si="65">SUM(D115:D115)</f>
        <v>26000</v>
      </c>
      <c r="E116" s="24">
        <f>SUM(E115:E115)</f>
        <v>26780.09</v>
      </c>
      <c r="F116" s="24">
        <f t="shared" ref="F116:J116" si="66">SUM(F115:F115)</f>
        <v>26000</v>
      </c>
      <c r="G116" s="24">
        <f t="shared" si="66"/>
        <v>26521.78</v>
      </c>
      <c r="H116" s="24">
        <f t="shared" si="66"/>
        <v>26000</v>
      </c>
      <c r="I116" s="24">
        <f t="shared" si="66"/>
        <v>26519.87</v>
      </c>
      <c r="J116" s="24">
        <f t="shared" si="66"/>
        <v>3000</v>
      </c>
      <c r="K116" s="26"/>
      <c r="L116" s="24">
        <f t="shared" ref="L116:Q116" si="67">SUM(L115:L115)</f>
        <v>2500</v>
      </c>
      <c r="M116" s="24">
        <f t="shared" si="67"/>
        <v>2500</v>
      </c>
      <c r="N116" s="24">
        <f t="shared" si="67"/>
        <v>2500</v>
      </c>
      <c r="O116" s="24">
        <f t="shared" si="67"/>
        <v>3000</v>
      </c>
      <c r="P116" s="24">
        <f t="shared" si="67"/>
        <v>-500</v>
      </c>
      <c r="Q116" s="24">
        <f t="shared" si="67"/>
        <v>-500</v>
      </c>
    </row>
    <row r="117" spans="1:17" ht="13.8" x14ac:dyDescent="0.25">
      <c r="A117" s="178" t="s">
        <v>284</v>
      </c>
      <c r="B117" s="178"/>
      <c r="C117" s="178"/>
      <c r="D117" s="40">
        <f t="shared" ref="D117" si="68">D98+D104+D107+D110+D113+D116</f>
        <v>159007</v>
      </c>
      <c r="E117" s="40">
        <f>E98+E104+E107+E110+E113+E116</f>
        <v>160602.96999999997</v>
      </c>
      <c r="F117" s="40">
        <f t="shared" ref="F117:J117" si="69">F98+F104+F107+F110+F113+F116</f>
        <v>158614</v>
      </c>
      <c r="G117" s="40">
        <f t="shared" si="69"/>
        <v>161044.07999999999</v>
      </c>
      <c r="H117" s="40">
        <f t="shared" si="69"/>
        <v>164330</v>
      </c>
      <c r="I117" s="40">
        <f t="shared" si="69"/>
        <v>159457.84</v>
      </c>
      <c r="J117" s="40">
        <f t="shared" si="69"/>
        <v>144020</v>
      </c>
      <c r="K117" s="26"/>
      <c r="L117" s="40">
        <f t="shared" ref="L117:O117" si="70">L98+L104+L107+L110+L113+L116</f>
        <v>152169</v>
      </c>
      <c r="M117" s="40">
        <f t="shared" si="70"/>
        <v>152169</v>
      </c>
      <c r="N117" s="40">
        <f t="shared" si="70"/>
        <v>152169</v>
      </c>
      <c r="O117" s="40">
        <f t="shared" si="70"/>
        <v>152669</v>
      </c>
      <c r="P117" s="40">
        <f>P98+P104+P107+P110+P113+P116</f>
        <v>8149</v>
      </c>
      <c r="Q117" s="40">
        <f>Q98+Q104+Q107+Q110+Q113+Q116</f>
        <v>-500</v>
      </c>
    </row>
    <row r="118" spans="1:17" ht="13.8" x14ac:dyDescent="0.25">
      <c r="A118" s="174" t="s">
        <v>285</v>
      </c>
      <c r="B118" s="174"/>
      <c r="C118" s="174"/>
      <c r="D118" s="27"/>
      <c r="E118" s="27"/>
      <c r="F118" s="27"/>
      <c r="G118" s="27"/>
      <c r="H118" s="27"/>
      <c r="I118" s="27"/>
      <c r="J118" s="27"/>
      <c r="K118" s="29"/>
      <c r="L118" s="27"/>
      <c r="M118" s="27"/>
      <c r="N118" s="27"/>
      <c r="O118" s="27"/>
      <c r="P118" s="30"/>
      <c r="Q118" s="30"/>
    </row>
    <row r="119" spans="1:17" ht="13.8" x14ac:dyDescent="0.25">
      <c r="A119" s="175" t="s">
        <v>11</v>
      </c>
      <c r="B119" s="175"/>
      <c r="C119" s="175"/>
      <c r="D119" s="27"/>
      <c r="E119" s="27"/>
      <c r="F119" s="27"/>
      <c r="G119" s="27"/>
      <c r="H119" s="27"/>
      <c r="I119" s="27"/>
      <c r="J119" s="27"/>
      <c r="K119" s="29"/>
      <c r="L119" s="27"/>
      <c r="M119" s="27"/>
      <c r="N119" s="27"/>
      <c r="O119" s="27"/>
      <c r="P119" s="30"/>
      <c r="Q119" s="30"/>
    </row>
    <row r="120" spans="1:17" ht="13.8" x14ac:dyDescent="0.25">
      <c r="A120" s="50" t="s">
        <v>286</v>
      </c>
      <c r="B120" s="19" t="s">
        <v>35</v>
      </c>
      <c r="C120" s="20" t="s">
        <v>36</v>
      </c>
      <c r="D120" s="21">
        <v>267229</v>
      </c>
      <c r="E120" s="21">
        <v>207881</v>
      </c>
      <c r="F120" s="21">
        <v>261018</v>
      </c>
      <c r="G120" s="21">
        <v>246881.6</v>
      </c>
      <c r="H120" s="21">
        <v>271468</v>
      </c>
      <c r="I120" s="21">
        <v>252715.51</v>
      </c>
      <c r="J120" s="114">
        <v>269399</v>
      </c>
      <c r="K120" s="23"/>
      <c r="L120" s="114">
        <v>272082</v>
      </c>
      <c r="M120" s="114">
        <v>272082</v>
      </c>
      <c r="N120" s="114">
        <v>272082</v>
      </c>
      <c r="O120" s="114">
        <v>272082</v>
      </c>
      <c r="P120" s="21">
        <f>+N120-J120</f>
        <v>2683</v>
      </c>
      <c r="Q120" s="21">
        <f>+N120-O120</f>
        <v>0</v>
      </c>
    </row>
    <row r="121" spans="1:17" ht="13.8" x14ac:dyDescent="0.25">
      <c r="A121" s="50" t="s">
        <v>286</v>
      </c>
      <c r="B121" s="19" t="s">
        <v>37</v>
      </c>
      <c r="C121" s="20" t="s">
        <v>38</v>
      </c>
      <c r="D121" s="21">
        <v>20000</v>
      </c>
      <c r="E121" s="21">
        <v>21818.6</v>
      </c>
      <c r="F121" s="21">
        <v>25000</v>
      </c>
      <c r="G121" s="21">
        <v>0</v>
      </c>
      <c r="H121" s="21">
        <v>25000</v>
      </c>
      <c r="I121" s="21">
        <v>358.56</v>
      </c>
      <c r="J121" s="114">
        <v>25000</v>
      </c>
      <c r="K121" s="23"/>
      <c r="L121" s="114">
        <v>25000</v>
      </c>
      <c r="M121" s="114">
        <v>25000</v>
      </c>
      <c r="N121" s="114">
        <v>25000</v>
      </c>
      <c r="O121" s="114">
        <v>25000</v>
      </c>
      <c r="P121" s="21">
        <f>+N121-J121</f>
        <v>0</v>
      </c>
      <c r="Q121" s="21">
        <f>+N121-O121</f>
        <v>0</v>
      </c>
    </row>
    <row r="122" spans="1:17" ht="13.8" x14ac:dyDescent="0.25">
      <c r="A122" s="50" t="s">
        <v>286</v>
      </c>
      <c r="B122" s="19" t="s">
        <v>39</v>
      </c>
      <c r="C122" s="20" t="s">
        <v>40</v>
      </c>
      <c r="D122" s="21">
        <v>77962</v>
      </c>
      <c r="E122" s="21">
        <v>82137.97</v>
      </c>
      <c r="F122" s="21">
        <v>72397</v>
      </c>
      <c r="G122" s="21">
        <v>73228.679999999993</v>
      </c>
      <c r="H122" s="21">
        <v>73831</v>
      </c>
      <c r="I122" s="21">
        <v>67125.53</v>
      </c>
      <c r="J122" s="114">
        <v>76055</v>
      </c>
      <c r="K122" s="23"/>
      <c r="L122" s="114">
        <v>77154</v>
      </c>
      <c r="M122" s="114">
        <v>77154</v>
      </c>
      <c r="N122" s="114">
        <v>77154</v>
      </c>
      <c r="O122" s="114">
        <v>76055</v>
      </c>
      <c r="P122" s="21">
        <f>+N122-J122</f>
        <v>1099</v>
      </c>
      <c r="Q122" s="21">
        <f>+N122-O122</f>
        <v>1099</v>
      </c>
    </row>
    <row r="123" spans="1:17" ht="13.8" x14ac:dyDescent="0.25">
      <c r="A123" s="50" t="s">
        <v>286</v>
      </c>
      <c r="B123" s="19" t="s">
        <v>240</v>
      </c>
      <c r="C123" s="20" t="s">
        <v>241</v>
      </c>
      <c r="D123" s="21">
        <v>12124</v>
      </c>
      <c r="E123" s="21">
        <v>8471.6</v>
      </c>
      <c r="F123" s="21">
        <v>11967</v>
      </c>
      <c r="G123" s="21">
        <v>9712.76</v>
      </c>
      <c r="H123" s="21">
        <v>12312</v>
      </c>
      <c r="I123" s="21">
        <v>10680</v>
      </c>
      <c r="J123" s="114">
        <v>12212</v>
      </c>
      <c r="K123" s="23"/>
      <c r="L123" s="114">
        <v>12336</v>
      </c>
      <c r="M123" s="114">
        <v>12336</v>
      </c>
      <c r="N123" s="114">
        <v>12336</v>
      </c>
      <c r="O123" s="114">
        <v>12336</v>
      </c>
      <c r="P123" s="21">
        <f>+N123-J123</f>
        <v>124</v>
      </c>
      <c r="Q123" s="21">
        <f>+N123-O123</f>
        <v>0</v>
      </c>
    </row>
    <row r="124" spans="1:17" ht="13.8" x14ac:dyDescent="0.25">
      <c r="A124" s="176" t="s">
        <v>74</v>
      </c>
      <c r="B124" s="176"/>
      <c r="C124" s="176"/>
      <c r="D124" s="24">
        <f t="shared" ref="D124:G124" si="71">SUM(D120:D123)</f>
        <v>377315</v>
      </c>
      <c r="E124" s="24">
        <f t="shared" si="71"/>
        <v>320309.17</v>
      </c>
      <c r="F124" s="24">
        <f t="shared" si="71"/>
        <v>370382</v>
      </c>
      <c r="G124" s="24">
        <f t="shared" si="71"/>
        <v>329823.04000000004</v>
      </c>
      <c r="H124" s="24">
        <f t="shared" ref="H124:J124" si="72">SUM(H120:H123)</f>
        <v>382611</v>
      </c>
      <c r="I124" s="24">
        <f t="shared" si="72"/>
        <v>330879.59999999998</v>
      </c>
      <c r="J124" s="24">
        <f t="shared" si="72"/>
        <v>382666</v>
      </c>
      <c r="K124" s="26"/>
      <c r="L124" s="24">
        <f t="shared" ref="L124:Q124" si="73">SUM(L120:L123)</f>
        <v>386572</v>
      </c>
      <c r="M124" s="24">
        <f t="shared" si="73"/>
        <v>386572</v>
      </c>
      <c r="N124" s="24">
        <f t="shared" si="73"/>
        <v>386572</v>
      </c>
      <c r="O124" s="24">
        <f t="shared" si="73"/>
        <v>385473</v>
      </c>
      <c r="P124" s="24">
        <f t="shared" si="73"/>
        <v>3906</v>
      </c>
      <c r="Q124" s="24">
        <f t="shared" si="73"/>
        <v>1099</v>
      </c>
    </row>
    <row r="125" spans="1:17" ht="13.8" x14ac:dyDescent="0.25">
      <c r="A125" s="175" t="s">
        <v>14</v>
      </c>
      <c r="B125" s="175"/>
      <c r="C125" s="175"/>
      <c r="D125" s="27"/>
      <c r="E125" s="27"/>
      <c r="F125" s="27"/>
      <c r="G125" s="27"/>
      <c r="H125" s="27"/>
      <c r="I125" s="27"/>
      <c r="J125" s="27"/>
      <c r="K125" s="29"/>
      <c r="L125" s="27"/>
      <c r="M125" s="27"/>
      <c r="N125" s="27"/>
      <c r="O125" s="27"/>
      <c r="P125" s="30"/>
      <c r="Q125" s="30"/>
    </row>
    <row r="126" spans="1:17" ht="13.8" x14ac:dyDescent="0.25">
      <c r="A126" s="50" t="s">
        <v>286</v>
      </c>
      <c r="B126" s="19" t="s">
        <v>15</v>
      </c>
      <c r="C126" s="20" t="s">
        <v>16</v>
      </c>
      <c r="D126" s="21">
        <v>23443</v>
      </c>
      <c r="E126" s="21">
        <v>19509.169999999998</v>
      </c>
      <c r="F126" s="21">
        <v>22956</v>
      </c>
      <c r="G126" s="21">
        <v>19421.77</v>
      </c>
      <c r="H126" s="21">
        <v>23722</v>
      </c>
      <c r="I126" s="21">
        <v>19771.98</v>
      </c>
      <c r="J126" s="114">
        <v>23725</v>
      </c>
      <c r="K126" s="23"/>
      <c r="L126" s="114">
        <v>23968</v>
      </c>
      <c r="M126" s="114">
        <v>23968</v>
      </c>
      <c r="N126" s="114">
        <v>23968</v>
      </c>
      <c r="O126" s="114">
        <v>23900</v>
      </c>
      <c r="P126" s="21">
        <f>+N126-J126</f>
        <v>243</v>
      </c>
      <c r="Q126" s="21">
        <f>+N126-O126</f>
        <v>68</v>
      </c>
    </row>
    <row r="127" spans="1:17" ht="13.8" x14ac:dyDescent="0.25">
      <c r="A127" s="50" t="s">
        <v>286</v>
      </c>
      <c r="B127" s="19" t="s">
        <v>17</v>
      </c>
      <c r="C127" s="20" t="s">
        <v>18</v>
      </c>
      <c r="D127" s="21">
        <v>5483</v>
      </c>
      <c r="E127" s="21">
        <v>4562.67</v>
      </c>
      <c r="F127" s="21">
        <v>5369</v>
      </c>
      <c r="G127" s="21">
        <v>4542.1899999999996</v>
      </c>
      <c r="H127" s="21">
        <v>5548</v>
      </c>
      <c r="I127" s="21">
        <v>4624.09</v>
      </c>
      <c r="J127" s="114">
        <v>5549</v>
      </c>
      <c r="K127" s="23"/>
      <c r="L127" s="114">
        <v>5606</v>
      </c>
      <c r="M127" s="114">
        <v>5606</v>
      </c>
      <c r="N127" s="114">
        <v>5606</v>
      </c>
      <c r="O127" s="114">
        <v>5590</v>
      </c>
      <c r="P127" s="21">
        <f>+N127-J127</f>
        <v>57</v>
      </c>
      <c r="Q127" s="21">
        <f>+N127-O127</f>
        <v>16</v>
      </c>
    </row>
    <row r="128" spans="1:17" ht="13.8" x14ac:dyDescent="0.25">
      <c r="A128" s="50" t="s">
        <v>286</v>
      </c>
      <c r="B128" s="19" t="s">
        <v>43</v>
      </c>
      <c r="C128" s="20" t="s">
        <v>44</v>
      </c>
      <c r="D128" s="21">
        <v>65857</v>
      </c>
      <c r="E128" s="21">
        <v>41818.54</v>
      </c>
      <c r="F128" s="21">
        <v>46712</v>
      </c>
      <c r="G128" s="21">
        <v>43944.19</v>
      </c>
      <c r="H128" s="21">
        <v>48385</v>
      </c>
      <c r="I128" s="21">
        <v>44204.97</v>
      </c>
      <c r="J128" s="114">
        <v>45603</v>
      </c>
      <c r="K128" s="23"/>
      <c r="L128" s="114">
        <v>46101</v>
      </c>
      <c r="M128" s="114">
        <v>46101</v>
      </c>
      <c r="N128" s="114">
        <v>46101</v>
      </c>
      <c r="O128" s="114">
        <v>45961</v>
      </c>
      <c r="P128" s="21">
        <f>+N128-J128</f>
        <v>498</v>
      </c>
      <c r="Q128" s="21">
        <f>+N128-O128</f>
        <v>140</v>
      </c>
    </row>
    <row r="129" spans="1:17" ht="13.8" x14ac:dyDescent="0.25">
      <c r="A129" s="50" t="s">
        <v>286</v>
      </c>
      <c r="B129" s="19" t="s">
        <v>19</v>
      </c>
      <c r="C129" s="20" t="s">
        <v>20</v>
      </c>
      <c r="D129" s="21">
        <v>1147</v>
      </c>
      <c r="E129" s="21">
        <v>1094.76</v>
      </c>
      <c r="F129" s="21">
        <v>1216</v>
      </c>
      <c r="G129" s="21">
        <v>1295.99</v>
      </c>
      <c r="H129" s="21">
        <v>1452</v>
      </c>
      <c r="I129" s="21">
        <v>1452.32</v>
      </c>
      <c r="J129" s="114">
        <v>1716</v>
      </c>
      <c r="K129" s="23"/>
      <c r="L129" s="114">
        <v>1690</v>
      </c>
      <c r="M129" s="114">
        <v>1690</v>
      </c>
      <c r="N129" s="114">
        <v>1690</v>
      </c>
      <c r="O129" s="114">
        <v>1690</v>
      </c>
      <c r="P129" s="21">
        <f>+N129-J129</f>
        <v>-26</v>
      </c>
      <c r="Q129" s="21">
        <f>+N129-O129</f>
        <v>0</v>
      </c>
    </row>
    <row r="130" spans="1:17" ht="13.8" x14ac:dyDescent="0.25">
      <c r="A130" s="176" t="s">
        <v>75</v>
      </c>
      <c r="B130" s="176"/>
      <c r="C130" s="176"/>
      <c r="D130" s="24">
        <f t="shared" ref="D130:J130" si="74">SUM(D126:D129)</f>
        <v>95930</v>
      </c>
      <c r="E130" s="24">
        <f t="shared" si="74"/>
        <v>66985.14</v>
      </c>
      <c r="F130" s="24">
        <f t="shared" si="74"/>
        <v>76253</v>
      </c>
      <c r="G130" s="24">
        <f t="shared" si="74"/>
        <v>69204.14</v>
      </c>
      <c r="H130" s="24">
        <f t="shared" si="74"/>
        <v>79107</v>
      </c>
      <c r="I130" s="24">
        <f t="shared" si="74"/>
        <v>70053.360000000015</v>
      </c>
      <c r="J130" s="24">
        <f t="shared" si="74"/>
        <v>76593</v>
      </c>
      <c r="K130" s="26"/>
      <c r="L130" s="24">
        <f t="shared" ref="L130:Q130" si="75">SUM(L126:L129)</f>
        <v>77365</v>
      </c>
      <c r="M130" s="24">
        <f t="shared" si="75"/>
        <v>77365</v>
      </c>
      <c r="N130" s="24">
        <f t="shared" si="75"/>
        <v>77365</v>
      </c>
      <c r="O130" s="24">
        <f t="shared" si="75"/>
        <v>77141</v>
      </c>
      <c r="P130" s="24">
        <f t="shared" si="75"/>
        <v>772</v>
      </c>
      <c r="Q130" s="24">
        <f t="shared" si="75"/>
        <v>224</v>
      </c>
    </row>
    <row r="131" spans="1:17" ht="13.8" x14ac:dyDescent="0.25">
      <c r="A131" s="175" t="s">
        <v>21</v>
      </c>
      <c r="B131" s="175"/>
      <c r="C131" s="175"/>
      <c r="D131" s="27"/>
      <c r="E131" s="27"/>
      <c r="F131" s="27"/>
      <c r="G131" s="27"/>
      <c r="H131" s="27"/>
      <c r="I131" s="27"/>
      <c r="J131" s="27"/>
      <c r="K131" s="29"/>
      <c r="L131" s="27"/>
      <c r="M131" s="27"/>
      <c r="N131" s="27"/>
      <c r="O131" s="27"/>
      <c r="P131" s="30"/>
      <c r="Q131" s="30"/>
    </row>
    <row r="132" spans="1:17" ht="13.8" x14ac:dyDescent="0.25">
      <c r="A132" s="50" t="s">
        <v>286</v>
      </c>
      <c r="B132" s="19" t="s">
        <v>131</v>
      </c>
      <c r="C132" s="20" t="s">
        <v>132</v>
      </c>
      <c r="D132" s="21">
        <v>3000</v>
      </c>
      <c r="E132" s="21">
        <v>0</v>
      </c>
      <c r="F132" s="21">
        <v>3000</v>
      </c>
      <c r="G132" s="21">
        <v>1931</v>
      </c>
      <c r="H132" s="21">
        <v>3000</v>
      </c>
      <c r="I132" s="21">
        <v>3831</v>
      </c>
      <c r="J132" s="114">
        <v>3000</v>
      </c>
      <c r="K132" s="23"/>
      <c r="L132" s="114">
        <v>7000</v>
      </c>
      <c r="M132" s="114">
        <v>7000</v>
      </c>
      <c r="N132" s="114">
        <v>7000</v>
      </c>
      <c r="O132" s="114">
        <v>3000</v>
      </c>
      <c r="P132" s="21">
        <f>+N132-J132</f>
        <v>4000</v>
      </c>
      <c r="Q132" s="21">
        <f>+N132-O132</f>
        <v>4000</v>
      </c>
    </row>
    <row r="133" spans="1:17" ht="13.8" x14ac:dyDescent="0.25">
      <c r="A133" s="50" t="s">
        <v>286</v>
      </c>
      <c r="B133" s="19" t="s">
        <v>111</v>
      </c>
      <c r="C133" s="20" t="s">
        <v>112</v>
      </c>
      <c r="D133" s="21">
        <v>0</v>
      </c>
      <c r="E133" s="21"/>
      <c r="F133" s="21">
        <v>21800</v>
      </c>
      <c r="G133" s="21">
        <v>21684.94</v>
      </c>
      <c r="H133" s="21">
        <v>21800</v>
      </c>
      <c r="I133" s="21">
        <v>22335.56</v>
      </c>
      <c r="J133" s="114">
        <v>24000</v>
      </c>
      <c r="K133" s="23"/>
      <c r="L133" s="114">
        <v>27200</v>
      </c>
      <c r="M133" s="114">
        <v>27200</v>
      </c>
      <c r="N133" s="114">
        <v>27200</v>
      </c>
      <c r="O133" s="114">
        <v>27200</v>
      </c>
      <c r="P133" s="21">
        <f>+N133-J133</f>
        <v>3200</v>
      </c>
      <c r="Q133" s="21">
        <f>+N133-O133</f>
        <v>0</v>
      </c>
    </row>
    <row r="134" spans="1:17" ht="13.8" x14ac:dyDescent="0.25">
      <c r="A134" s="176" t="s">
        <v>76</v>
      </c>
      <c r="B134" s="176"/>
      <c r="C134" s="176"/>
      <c r="D134" s="24">
        <f t="shared" ref="D134" si="76">SUM(D132:D133)</f>
        <v>3000</v>
      </c>
      <c r="E134" s="24">
        <f>SUM(E132:E132)</f>
        <v>0</v>
      </c>
      <c r="F134" s="24">
        <f t="shared" ref="F134:J134" si="77">SUM(F132:F133)</f>
        <v>24800</v>
      </c>
      <c r="G134" s="24">
        <f t="shared" si="77"/>
        <v>23615.94</v>
      </c>
      <c r="H134" s="24">
        <f t="shared" si="77"/>
        <v>24800</v>
      </c>
      <c r="I134" s="24">
        <f t="shared" si="77"/>
        <v>26166.560000000001</v>
      </c>
      <c r="J134" s="24">
        <f t="shared" si="77"/>
        <v>27000</v>
      </c>
      <c r="K134" s="26"/>
      <c r="L134" s="24">
        <f t="shared" ref="L134:Q134" si="78">SUM(L132:L133)</f>
        <v>34200</v>
      </c>
      <c r="M134" s="24">
        <f t="shared" si="78"/>
        <v>34200</v>
      </c>
      <c r="N134" s="24">
        <f t="shared" si="78"/>
        <v>34200</v>
      </c>
      <c r="O134" s="24">
        <f t="shared" si="78"/>
        <v>30200</v>
      </c>
      <c r="P134" s="24">
        <f t="shared" si="78"/>
        <v>7200</v>
      </c>
      <c r="Q134" s="24">
        <f t="shared" si="78"/>
        <v>4000</v>
      </c>
    </row>
    <row r="135" spans="1:17" ht="13.8" x14ac:dyDescent="0.25">
      <c r="A135" s="175" t="s">
        <v>133</v>
      </c>
      <c r="B135" s="175"/>
      <c r="C135" s="175"/>
      <c r="D135" s="27"/>
      <c r="E135" s="27"/>
      <c r="F135" s="27"/>
      <c r="G135" s="27"/>
      <c r="H135" s="27"/>
      <c r="I135" s="27"/>
      <c r="J135" s="27"/>
      <c r="K135" s="29"/>
      <c r="L135" s="27"/>
      <c r="M135" s="27"/>
      <c r="N135" s="27"/>
      <c r="O135" s="27"/>
      <c r="P135" s="30"/>
      <c r="Q135" s="30"/>
    </row>
    <row r="136" spans="1:17" ht="13.8" x14ac:dyDescent="0.25">
      <c r="A136" s="50" t="s">
        <v>286</v>
      </c>
      <c r="B136" s="19" t="s">
        <v>134</v>
      </c>
      <c r="C136" s="20" t="s">
        <v>135</v>
      </c>
      <c r="D136" s="21">
        <v>4000</v>
      </c>
      <c r="E136" s="21">
        <v>2933.33</v>
      </c>
      <c r="F136" s="21">
        <v>4000</v>
      </c>
      <c r="G136" s="21">
        <v>368.99</v>
      </c>
      <c r="H136" s="21">
        <v>4000</v>
      </c>
      <c r="I136" s="21">
        <v>3200</v>
      </c>
      <c r="J136" s="114">
        <v>4000</v>
      </c>
      <c r="K136" s="23"/>
      <c r="L136" s="114">
        <v>4000</v>
      </c>
      <c r="M136" s="114">
        <v>4000</v>
      </c>
      <c r="N136" s="114">
        <v>4000</v>
      </c>
      <c r="O136" s="114">
        <v>4000</v>
      </c>
      <c r="P136" s="21">
        <f>+N136-J136</f>
        <v>0</v>
      </c>
      <c r="Q136" s="21">
        <f>+N136-O136</f>
        <v>0</v>
      </c>
    </row>
    <row r="137" spans="1:17" ht="13.8" x14ac:dyDescent="0.25">
      <c r="A137" s="176" t="s">
        <v>136</v>
      </c>
      <c r="B137" s="176"/>
      <c r="C137" s="176"/>
      <c r="D137" s="24">
        <f t="shared" ref="D137" si="79">SUM(D136:D136)</f>
        <v>4000</v>
      </c>
      <c r="E137" s="24">
        <f>SUM(E136:E136)</f>
        <v>2933.33</v>
      </c>
      <c r="F137" s="24">
        <f t="shared" ref="F137:J137" si="80">SUM(F136:F136)</f>
        <v>4000</v>
      </c>
      <c r="G137" s="24">
        <f t="shared" si="80"/>
        <v>368.99</v>
      </c>
      <c r="H137" s="24">
        <f t="shared" si="80"/>
        <v>4000</v>
      </c>
      <c r="I137" s="24">
        <f t="shared" si="80"/>
        <v>3200</v>
      </c>
      <c r="J137" s="24">
        <f t="shared" si="80"/>
        <v>4000</v>
      </c>
      <c r="K137" s="26"/>
      <c r="L137" s="24">
        <f t="shared" ref="L137:Q137" si="81">SUM(L136:L136)</f>
        <v>4000</v>
      </c>
      <c r="M137" s="24">
        <f t="shared" si="81"/>
        <v>4000</v>
      </c>
      <c r="N137" s="24">
        <f t="shared" si="81"/>
        <v>4000</v>
      </c>
      <c r="O137" s="24">
        <f t="shared" si="81"/>
        <v>4000</v>
      </c>
      <c r="P137" s="24">
        <f t="shared" si="81"/>
        <v>0</v>
      </c>
      <c r="Q137" s="24">
        <f t="shared" si="81"/>
        <v>0</v>
      </c>
    </row>
    <row r="138" spans="1:17" ht="13.8" x14ac:dyDescent="0.25">
      <c r="A138" s="175" t="s">
        <v>30</v>
      </c>
      <c r="B138" s="175"/>
      <c r="C138" s="175"/>
      <c r="D138" s="27"/>
      <c r="E138" s="27"/>
      <c r="F138" s="27"/>
      <c r="G138" s="27"/>
      <c r="H138" s="27"/>
      <c r="I138" s="27"/>
      <c r="J138" s="27"/>
      <c r="K138" s="29"/>
      <c r="L138" s="27"/>
      <c r="M138" s="27"/>
      <c r="N138" s="27"/>
      <c r="O138" s="27"/>
      <c r="P138" s="30"/>
      <c r="Q138" s="30"/>
    </row>
    <row r="139" spans="1:17" ht="13.8" x14ac:dyDescent="0.25">
      <c r="A139" s="50" t="s">
        <v>286</v>
      </c>
      <c r="B139" s="19" t="s">
        <v>137</v>
      </c>
      <c r="C139" s="20" t="s">
        <v>138</v>
      </c>
      <c r="D139" s="21">
        <v>12000</v>
      </c>
      <c r="E139" s="21">
        <v>9274.17</v>
      </c>
      <c r="F139" s="21">
        <v>12000</v>
      </c>
      <c r="G139" s="21">
        <v>6365.48</v>
      </c>
      <c r="H139" s="21">
        <v>12000</v>
      </c>
      <c r="I139" s="21">
        <v>40994.769999999997</v>
      </c>
      <c r="J139" s="114">
        <v>17800</v>
      </c>
      <c r="K139" s="23"/>
      <c r="L139" s="114">
        <v>17800</v>
      </c>
      <c r="M139" s="114">
        <v>17800</v>
      </c>
      <c r="N139" s="114">
        <v>17800</v>
      </c>
      <c r="O139" s="114">
        <v>17800</v>
      </c>
      <c r="P139" s="21">
        <f>+N139-J139</f>
        <v>0</v>
      </c>
      <c r="Q139" s="21">
        <f>+N139-O139</f>
        <v>0</v>
      </c>
    </row>
    <row r="140" spans="1:17" ht="13.8" x14ac:dyDescent="0.25">
      <c r="A140" s="177" t="s">
        <v>77</v>
      </c>
      <c r="B140" s="177"/>
      <c r="C140" s="177"/>
      <c r="D140" s="24">
        <f t="shared" ref="D140" si="82">SUM(D139:D139)</f>
        <v>12000</v>
      </c>
      <c r="E140" s="24">
        <f>SUM(E139:E139)</f>
        <v>9274.17</v>
      </c>
      <c r="F140" s="24">
        <f t="shared" ref="F140:J140" si="83">SUM(F139:F139)</f>
        <v>12000</v>
      </c>
      <c r="G140" s="24">
        <f t="shared" si="83"/>
        <v>6365.48</v>
      </c>
      <c r="H140" s="24">
        <f t="shared" si="83"/>
        <v>12000</v>
      </c>
      <c r="I140" s="24">
        <f t="shared" si="83"/>
        <v>40994.769999999997</v>
      </c>
      <c r="J140" s="24">
        <f t="shared" si="83"/>
        <v>17800</v>
      </c>
      <c r="K140" s="26"/>
      <c r="L140" s="24">
        <f t="shared" ref="L140:Q140" si="84">SUM(L139:L139)</f>
        <v>17800</v>
      </c>
      <c r="M140" s="24">
        <f t="shared" si="84"/>
        <v>17800</v>
      </c>
      <c r="N140" s="24">
        <f t="shared" si="84"/>
        <v>17800</v>
      </c>
      <c r="O140" s="24">
        <f t="shared" si="84"/>
        <v>17800</v>
      </c>
      <c r="P140" s="24">
        <f t="shared" si="84"/>
        <v>0</v>
      </c>
      <c r="Q140" s="24">
        <f t="shared" si="84"/>
        <v>0</v>
      </c>
    </row>
    <row r="141" spans="1:17" ht="13.8" x14ac:dyDescent="0.25">
      <c r="A141" s="175" t="s">
        <v>54</v>
      </c>
      <c r="B141" s="175"/>
      <c r="C141" s="175"/>
      <c r="D141" s="27"/>
      <c r="E141" s="27"/>
      <c r="F141" s="27"/>
      <c r="G141" s="27"/>
      <c r="H141" s="27"/>
      <c r="I141" s="27"/>
      <c r="J141" s="27"/>
      <c r="K141" s="29"/>
      <c r="L141" s="27"/>
      <c r="M141" s="27"/>
      <c r="N141" s="27"/>
      <c r="O141" s="27"/>
      <c r="P141" s="30"/>
      <c r="Q141" s="30"/>
    </row>
    <row r="142" spans="1:17" ht="13.8" x14ac:dyDescent="0.25">
      <c r="A142" s="50" t="s">
        <v>286</v>
      </c>
      <c r="B142" s="19" t="s">
        <v>114</v>
      </c>
      <c r="C142" s="20" t="s">
        <v>115</v>
      </c>
      <c r="D142" s="21">
        <v>29368</v>
      </c>
      <c r="E142" s="21">
        <v>31817.53</v>
      </c>
      <c r="F142" s="21">
        <v>29368</v>
      </c>
      <c r="G142" s="21">
        <v>30633.599999999999</v>
      </c>
      <c r="H142" s="21">
        <v>29368</v>
      </c>
      <c r="I142" s="21">
        <v>109955.25</v>
      </c>
      <c r="J142" s="21">
        <v>29368</v>
      </c>
      <c r="K142" s="23"/>
      <c r="L142" s="21">
        <v>44500</v>
      </c>
      <c r="M142" s="21">
        <v>44500</v>
      </c>
      <c r="N142" s="21">
        <v>44500</v>
      </c>
      <c r="O142" s="21">
        <v>29368</v>
      </c>
      <c r="P142" s="21">
        <f>+N142-J142</f>
        <v>15132</v>
      </c>
      <c r="Q142" s="21">
        <f>+N142-O142</f>
        <v>15132</v>
      </c>
    </row>
    <row r="143" spans="1:17" ht="13.8" x14ac:dyDescent="0.25">
      <c r="A143" s="177" t="s">
        <v>86</v>
      </c>
      <c r="B143" s="177"/>
      <c r="C143" s="177"/>
      <c r="D143" s="24">
        <f t="shared" ref="D143" si="85">SUM(D142:D142)</f>
        <v>29368</v>
      </c>
      <c r="E143" s="24">
        <f>SUM(E142:E142)</f>
        <v>31817.53</v>
      </c>
      <c r="F143" s="24">
        <f t="shared" ref="F143:J143" si="86">SUM(F142:F142)</f>
        <v>29368</v>
      </c>
      <c r="G143" s="24">
        <f t="shared" si="86"/>
        <v>30633.599999999999</v>
      </c>
      <c r="H143" s="24">
        <f t="shared" si="86"/>
        <v>29368</v>
      </c>
      <c r="I143" s="24">
        <f t="shared" si="86"/>
        <v>109955.25</v>
      </c>
      <c r="J143" s="24">
        <f t="shared" si="86"/>
        <v>29368</v>
      </c>
      <c r="K143" s="26"/>
      <c r="L143" s="24">
        <f t="shared" ref="L143:Q143" si="87">SUM(L142:L142)</f>
        <v>44500</v>
      </c>
      <c r="M143" s="24">
        <f t="shared" si="87"/>
        <v>44500</v>
      </c>
      <c r="N143" s="24">
        <f t="shared" si="87"/>
        <v>44500</v>
      </c>
      <c r="O143" s="24">
        <f t="shared" si="87"/>
        <v>29368</v>
      </c>
      <c r="P143" s="24">
        <f t="shared" si="87"/>
        <v>15132</v>
      </c>
      <c r="Q143" s="24">
        <f t="shared" si="87"/>
        <v>15132</v>
      </c>
    </row>
    <row r="144" spans="1:17" ht="13.8" x14ac:dyDescent="0.25">
      <c r="A144" s="178" t="s">
        <v>287</v>
      </c>
      <c r="B144" s="178"/>
      <c r="C144" s="178"/>
      <c r="D144" s="40">
        <f t="shared" ref="D144:J144" si="88">D124+D130+D134+D137+D140+D143</f>
        <v>521613</v>
      </c>
      <c r="E144" s="40">
        <f t="shared" si="88"/>
        <v>431319.33999999997</v>
      </c>
      <c r="F144" s="40">
        <f t="shared" si="88"/>
        <v>516803</v>
      </c>
      <c r="G144" s="40">
        <f t="shared" si="88"/>
        <v>460011.19</v>
      </c>
      <c r="H144" s="40">
        <f t="shared" si="88"/>
        <v>531886</v>
      </c>
      <c r="I144" s="40">
        <f t="shared" si="88"/>
        <v>581249.54</v>
      </c>
      <c r="J144" s="40">
        <f t="shared" si="88"/>
        <v>537427</v>
      </c>
      <c r="K144" s="26"/>
      <c r="L144" s="40">
        <f t="shared" ref="L144:Q144" si="89">L124+L130+L134+L137+L140+L143</f>
        <v>564437</v>
      </c>
      <c r="M144" s="40">
        <f t="shared" si="89"/>
        <v>564437</v>
      </c>
      <c r="N144" s="40">
        <f t="shared" si="89"/>
        <v>564437</v>
      </c>
      <c r="O144" s="40">
        <f t="shared" si="89"/>
        <v>543982</v>
      </c>
      <c r="P144" s="40">
        <f t="shared" si="89"/>
        <v>27010</v>
      </c>
      <c r="Q144" s="40">
        <f t="shared" si="89"/>
        <v>20455</v>
      </c>
    </row>
    <row r="145" spans="1:17" ht="13.8" x14ac:dyDescent="0.25">
      <c r="A145" s="174" t="s">
        <v>288</v>
      </c>
      <c r="B145" s="174"/>
      <c r="C145" s="174"/>
      <c r="D145" s="27"/>
      <c r="E145" s="27"/>
      <c r="F145" s="27"/>
      <c r="G145" s="27"/>
      <c r="H145" s="27"/>
      <c r="I145" s="27"/>
      <c r="J145" s="27"/>
      <c r="K145" s="29"/>
      <c r="L145" s="27"/>
      <c r="M145" s="27"/>
      <c r="N145" s="27"/>
      <c r="O145" s="27"/>
      <c r="P145" s="30"/>
      <c r="Q145" s="30"/>
    </row>
    <row r="146" spans="1:17" ht="13.8" x14ac:dyDescent="0.25">
      <c r="A146" s="175" t="s">
        <v>30</v>
      </c>
      <c r="B146" s="175"/>
      <c r="C146" s="175"/>
      <c r="D146" s="27"/>
      <c r="E146" s="27"/>
      <c r="F146" s="27"/>
      <c r="G146" s="27"/>
      <c r="H146" s="27"/>
      <c r="I146" s="27"/>
      <c r="J146" s="27"/>
      <c r="K146" s="29"/>
      <c r="L146" s="27"/>
      <c r="M146" s="27"/>
      <c r="N146" s="27"/>
      <c r="O146" s="27"/>
      <c r="P146" s="30"/>
      <c r="Q146" s="30"/>
    </row>
    <row r="147" spans="1:17" ht="13.8" x14ac:dyDescent="0.25">
      <c r="A147" s="50" t="s">
        <v>289</v>
      </c>
      <c r="B147" s="19" t="s">
        <v>290</v>
      </c>
      <c r="C147" s="20" t="s">
        <v>291</v>
      </c>
      <c r="D147" s="21">
        <v>1000</v>
      </c>
      <c r="E147" s="21">
        <v>2420.44</v>
      </c>
      <c r="F147" s="21">
        <v>1000</v>
      </c>
      <c r="G147" s="21">
        <v>386.01</v>
      </c>
      <c r="H147" s="21">
        <v>1000</v>
      </c>
      <c r="I147" s="21">
        <v>1081.54</v>
      </c>
      <c r="J147" s="21">
        <v>1000</v>
      </c>
      <c r="K147" s="23"/>
      <c r="L147" s="21">
        <v>1000</v>
      </c>
      <c r="M147" s="21">
        <v>1000</v>
      </c>
      <c r="N147" s="21">
        <v>1000</v>
      </c>
      <c r="O147" s="21">
        <v>1000</v>
      </c>
      <c r="P147" s="21">
        <f>+N147-J147</f>
        <v>0</v>
      </c>
      <c r="Q147" s="21">
        <f>+N147-O147</f>
        <v>0</v>
      </c>
    </row>
    <row r="148" spans="1:17" ht="13.8" x14ac:dyDescent="0.25">
      <c r="A148" s="50" t="s">
        <v>289</v>
      </c>
      <c r="B148" s="19" t="s">
        <v>292</v>
      </c>
      <c r="C148" s="20" t="s">
        <v>293</v>
      </c>
      <c r="D148" s="21">
        <v>0</v>
      </c>
      <c r="E148" s="21">
        <v>0</v>
      </c>
      <c r="F148" s="21">
        <v>0</v>
      </c>
      <c r="G148" s="21">
        <v>0</v>
      </c>
      <c r="H148" s="21">
        <v>0</v>
      </c>
      <c r="I148" s="21">
        <v>0</v>
      </c>
      <c r="J148" s="21">
        <v>0</v>
      </c>
      <c r="K148" s="23"/>
      <c r="L148" s="21">
        <v>0</v>
      </c>
      <c r="M148" s="21">
        <v>0</v>
      </c>
      <c r="N148" s="21">
        <v>0</v>
      </c>
      <c r="O148" s="21">
        <v>0</v>
      </c>
      <c r="P148" s="21">
        <v>0</v>
      </c>
      <c r="Q148" s="21">
        <v>0</v>
      </c>
    </row>
    <row r="149" spans="1:17" ht="13.8" x14ac:dyDescent="0.25">
      <c r="A149" s="50" t="s">
        <v>289</v>
      </c>
      <c r="B149" s="19" t="s">
        <v>210</v>
      </c>
      <c r="C149" s="20" t="s">
        <v>211</v>
      </c>
      <c r="D149" s="21">
        <v>0</v>
      </c>
      <c r="E149" s="21">
        <v>0</v>
      </c>
      <c r="F149" s="21">
        <v>0</v>
      </c>
      <c r="G149" s="21">
        <v>0</v>
      </c>
      <c r="H149" s="21">
        <v>0</v>
      </c>
      <c r="I149" s="21">
        <v>0</v>
      </c>
      <c r="J149" s="21">
        <v>0</v>
      </c>
      <c r="K149" s="23"/>
      <c r="L149" s="21">
        <v>0</v>
      </c>
      <c r="M149" s="21">
        <v>0</v>
      </c>
      <c r="N149" s="21">
        <v>0</v>
      </c>
      <c r="O149" s="21">
        <v>0</v>
      </c>
      <c r="P149" s="21">
        <v>0</v>
      </c>
      <c r="Q149" s="21">
        <v>0</v>
      </c>
    </row>
    <row r="150" spans="1:17" ht="13.8" x14ac:dyDescent="0.25">
      <c r="A150" s="177" t="s">
        <v>77</v>
      </c>
      <c r="B150" s="177"/>
      <c r="C150" s="177"/>
      <c r="D150" s="24">
        <f t="shared" ref="D150" si="90">SUM(D147:D149)</f>
        <v>1000</v>
      </c>
      <c r="E150" s="24">
        <f>SUM(E147:E149)</f>
        <v>2420.44</v>
      </c>
      <c r="F150" s="24">
        <f t="shared" ref="F150:G150" si="91">SUM(F147:F149)</f>
        <v>1000</v>
      </c>
      <c r="G150" s="24">
        <f t="shared" si="91"/>
        <v>386.01</v>
      </c>
      <c r="H150" s="24">
        <f>SUM(H147:H149)</f>
        <v>1000</v>
      </c>
      <c r="I150" s="24">
        <f>SUM(I147:I149)</f>
        <v>1081.54</v>
      </c>
      <c r="J150" s="24">
        <f>SUM(J147:J149)</f>
        <v>1000</v>
      </c>
      <c r="K150" s="26"/>
      <c r="L150" s="24">
        <f t="shared" ref="L150:O150" si="92">SUM(L147:L149)</f>
        <v>1000</v>
      </c>
      <c r="M150" s="24">
        <f t="shared" si="92"/>
        <v>1000</v>
      </c>
      <c r="N150" s="24">
        <f t="shared" si="92"/>
        <v>1000</v>
      </c>
      <c r="O150" s="24">
        <f t="shared" si="92"/>
        <v>1000</v>
      </c>
      <c r="P150" s="24">
        <f>SUM(P147:P149)</f>
        <v>0</v>
      </c>
      <c r="Q150" s="24">
        <f t="shared" ref="Q150" si="93">SUM(Q147:Q149)</f>
        <v>0</v>
      </c>
    </row>
    <row r="151" spans="1:17" ht="13.8" x14ac:dyDescent="0.25">
      <c r="A151" s="178" t="s">
        <v>294</v>
      </c>
      <c r="B151" s="178"/>
      <c r="C151" s="178"/>
      <c r="D151" s="40">
        <f t="shared" ref="D151" si="94">D150</f>
        <v>1000</v>
      </c>
      <c r="E151" s="40">
        <f>E150</f>
        <v>2420.44</v>
      </c>
      <c r="F151" s="40">
        <f t="shared" ref="F151:J151" si="95">F150</f>
        <v>1000</v>
      </c>
      <c r="G151" s="40">
        <f t="shared" si="95"/>
        <v>386.01</v>
      </c>
      <c r="H151" s="40">
        <f t="shared" si="95"/>
        <v>1000</v>
      </c>
      <c r="I151" s="40">
        <f t="shared" si="95"/>
        <v>1081.54</v>
      </c>
      <c r="J151" s="40">
        <f t="shared" si="95"/>
        <v>1000</v>
      </c>
      <c r="K151" s="26"/>
      <c r="L151" s="40">
        <f t="shared" ref="L151:O151" si="96">L150</f>
        <v>1000</v>
      </c>
      <c r="M151" s="40">
        <f t="shared" si="96"/>
        <v>1000</v>
      </c>
      <c r="N151" s="40">
        <f t="shared" si="96"/>
        <v>1000</v>
      </c>
      <c r="O151" s="40">
        <f t="shared" si="96"/>
        <v>1000</v>
      </c>
      <c r="P151" s="40">
        <f>P150</f>
        <v>0</v>
      </c>
      <c r="Q151" s="40">
        <f t="shared" ref="Q151" si="97">Q150</f>
        <v>0</v>
      </c>
    </row>
    <row r="152" spans="1:17" ht="13.8" x14ac:dyDescent="0.25">
      <c r="A152" s="178" t="s">
        <v>295</v>
      </c>
      <c r="B152" s="178"/>
      <c r="C152" s="178"/>
      <c r="D152" s="40">
        <f t="shared" ref="D152:J152" si="98">D49+D63+D92+D117+D144+D151</f>
        <v>8056069</v>
      </c>
      <c r="E152" s="40">
        <f t="shared" si="98"/>
        <v>8439685.3099999987</v>
      </c>
      <c r="F152" s="40">
        <f t="shared" si="98"/>
        <v>8148579</v>
      </c>
      <c r="G152" s="40">
        <f t="shared" si="98"/>
        <v>8373356.1700000009</v>
      </c>
      <c r="H152" s="40">
        <f t="shared" si="98"/>
        <v>8893852</v>
      </c>
      <c r="I152" s="40">
        <f t="shared" si="98"/>
        <v>9090022.6199999973</v>
      </c>
      <c r="J152" s="40">
        <f t="shared" si="98"/>
        <v>10227598</v>
      </c>
      <c r="K152" s="26"/>
      <c r="L152" s="40">
        <f t="shared" ref="L152:Q152" si="99">L49+L63+L92+L117+L144+L151</f>
        <v>10703078</v>
      </c>
      <c r="M152" s="40">
        <f t="shared" si="99"/>
        <v>10693078</v>
      </c>
      <c r="N152" s="40">
        <f t="shared" si="99"/>
        <v>10693078</v>
      </c>
      <c r="O152" s="40">
        <f t="shared" si="99"/>
        <v>10474222</v>
      </c>
      <c r="P152" s="40">
        <f t="shared" si="99"/>
        <v>465480</v>
      </c>
      <c r="Q152" s="40">
        <f t="shared" si="99"/>
        <v>218856</v>
      </c>
    </row>
    <row r="153" spans="1:17" ht="13.8" x14ac:dyDescent="0.25">
      <c r="A153" s="179" t="s">
        <v>80</v>
      </c>
      <c r="B153" s="179"/>
      <c r="C153" s="179"/>
      <c r="D153" s="41">
        <f t="shared" ref="D153" si="100">D152</f>
        <v>8056069</v>
      </c>
      <c r="E153" s="41">
        <f>E152</f>
        <v>8439685.3099999987</v>
      </c>
      <c r="F153" s="41">
        <f t="shared" ref="F153:J153" si="101">F152</f>
        <v>8148579</v>
      </c>
      <c r="G153" s="41">
        <f t="shared" si="101"/>
        <v>8373356.1700000009</v>
      </c>
      <c r="H153" s="41">
        <f t="shared" si="101"/>
        <v>8893852</v>
      </c>
      <c r="I153" s="41">
        <f t="shared" si="101"/>
        <v>9090022.6199999973</v>
      </c>
      <c r="J153" s="41">
        <f t="shared" si="101"/>
        <v>10227598</v>
      </c>
      <c r="K153" s="26"/>
      <c r="L153" s="41">
        <f t="shared" ref="L153:O153" si="102">L152</f>
        <v>10703078</v>
      </c>
      <c r="M153" s="41">
        <f t="shared" si="102"/>
        <v>10693078</v>
      </c>
      <c r="N153" s="41">
        <f t="shared" si="102"/>
        <v>10693078</v>
      </c>
      <c r="O153" s="41">
        <f t="shared" si="102"/>
        <v>10474222</v>
      </c>
      <c r="P153" s="41">
        <f>P152</f>
        <v>465480</v>
      </c>
      <c r="Q153" s="41">
        <f t="shared" ref="Q153" si="103">Q152</f>
        <v>218856</v>
      </c>
    </row>
    <row r="154" spans="1:17" ht="13.8" x14ac:dyDescent="0.25">
      <c r="B154" s="10"/>
      <c r="D154" s="27"/>
      <c r="E154" s="27"/>
      <c r="F154" s="27"/>
      <c r="G154" s="27"/>
      <c r="H154" s="27"/>
      <c r="I154" s="27"/>
      <c r="J154" s="27"/>
      <c r="K154" s="29"/>
      <c r="L154" s="27"/>
      <c r="M154" s="27"/>
      <c r="N154" s="27"/>
      <c r="O154" s="27"/>
      <c r="P154" s="30"/>
      <c r="Q154" s="30"/>
    </row>
    <row r="155" spans="1:17" ht="13.8" x14ac:dyDescent="0.25">
      <c r="A155" s="179" t="s">
        <v>81</v>
      </c>
      <c r="B155" s="179"/>
      <c r="C155" s="179"/>
      <c r="D155" s="41">
        <f t="shared" ref="D155:J155" si="104">D153</f>
        <v>8056069</v>
      </c>
      <c r="E155" s="41">
        <f t="shared" si="104"/>
        <v>8439685.3099999987</v>
      </c>
      <c r="F155" s="41">
        <f t="shared" si="104"/>
        <v>8148579</v>
      </c>
      <c r="G155" s="41">
        <f t="shared" si="104"/>
        <v>8373356.1700000009</v>
      </c>
      <c r="H155" s="41">
        <f t="shared" si="104"/>
        <v>8893852</v>
      </c>
      <c r="I155" s="41">
        <f t="shared" si="104"/>
        <v>9090022.6199999973</v>
      </c>
      <c r="J155" s="41">
        <f t="shared" si="104"/>
        <v>10227598</v>
      </c>
      <c r="K155" s="26"/>
      <c r="L155" s="41">
        <f t="shared" ref="L155:O155" si="105">L153</f>
        <v>10703078</v>
      </c>
      <c r="M155" s="41">
        <f t="shared" si="105"/>
        <v>10693078</v>
      </c>
      <c r="N155" s="41">
        <f t="shared" si="105"/>
        <v>10693078</v>
      </c>
      <c r="O155" s="41">
        <f t="shared" si="105"/>
        <v>10474222</v>
      </c>
      <c r="P155" s="41">
        <f>P153</f>
        <v>465480</v>
      </c>
      <c r="Q155" s="41">
        <f>Q153</f>
        <v>218856</v>
      </c>
    </row>
    <row r="156" spans="1:17" x14ac:dyDescent="0.3">
      <c r="L156" s="30"/>
      <c r="M156" s="30"/>
      <c r="N156" s="30"/>
      <c r="O156" s="30"/>
    </row>
    <row r="157" spans="1:17" x14ac:dyDescent="0.3">
      <c r="L157" s="30"/>
      <c r="M157" s="30"/>
      <c r="N157" s="30"/>
      <c r="O157" s="30"/>
    </row>
    <row r="158" spans="1:17" x14ac:dyDescent="0.3">
      <c r="L158" s="30"/>
      <c r="M158" s="30"/>
      <c r="N158" s="30"/>
      <c r="O158" s="30"/>
    </row>
    <row r="159" spans="1:17" x14ac:dyDescent="0.3">
      <c r="L159" s="30"/>
      <c r="M159" s="30"/>
      <c r="N159" s="30"/>
      <c r="O159" s="30"/>
    </row>
    <row r="160" spans="1:17" x14ac:dyDescent="0.3">
      <c r="L160" s="30"/>
      <c r="M160" s="113"/>
      <c r="N160" s="113"/>
      <c r="O160" s="113"/>
    </row>
    <row r="161" spans="12:15" x14ac:dyDescent="0.3">
      <c r="L161" s="30"/>
      <c r="M161" s="30"/>
      <c r="N161" s="30"/>
      <c r="O161" s="153"/>
    </row>
    <row r="162" spans="12:15" x14ac:dyDescent="0.3">
      <c r="L162" s="30"/>
      <c r="M162" s="113"/>
      <c r="N162" s="113"/>
      <c r="O162" s="113"/>
    </row>
    <row r="163" spans="12:15" x14ac:dyDescent="0.3">
      <c r="L163" s="30"/>
      <c r="M163" s="30"/>
      <c r="N163" s="30"/>
      <c r="O163" s="30"/>
    </row>
    <row r="164" spans="12:15" x14ac:dyDescent="0.3">
      <c r="L164" s="30"/>
      <c r="M164" s="30"/>
      <c r="N164" s="30"/>
      <c r="O164" s="30"/>
    </row>
    <row r="165" spans="12:15" x14ac:dyDescent="0.3">
      <c r="L165" s="30"/>
      <c r="M165" s="30"/>
      <c r="N165" s="30"/>
      <c r="O165" s="30"/>
    </row>
    <row r="166" spans="12:15" x14ac:dyDescent="0.3">
      <c r="L166" s="30"/>
      <c r="M166" s="30"/>
      <c r="N166" s="30"/>
      <c r="O166" s="30"/>
    </row>
    <row r="167" spans="12:15" x14ac:dyDescent="0.3">
      <c r="L167" s="30"/>
      <c r="M167" s="30"/>
      <c r="N167" s="30"/>
      <c r="O167" s="30"/>
    </row>
    <row r="168" spans="12:15" x14ac:dyDescent="0.3">
      <c r="L168" s="30"/>
      <c r="M168" s="30"/>
      <c r="N168" s="30"/>
      <c r="O168" s="30"/>
    </row>
    <row r="169" spans="12:15" x14ac:dyDescent="0.3">
      <c r="L169" s="30"/>
      <c r="M169" s="30"/>
      <c r="N169" s="30"/>
      <c r="O169" s="30"/>
    </row>
    <row r="170" spans="12:15" x14ac:dyDescent="0.3">
      <c r="L170" s="30"/>
      <c r="M170" s="30"/>
      <c r="N170" s="30"/>
      <c r="O170" s="30"/>
    </row>
    <row r="171" spans="12:15" x14ac:dyDescent="0.3">
      <c r="L171" s="30"/>
      <c r="M171" s="30"/>
      <c r="N171" s="30"/>
      <c r="O171" s="30"/>
    </row>
    <row r="172" spans="12:15" x14ac:dyDescent="0.3">
      <c r="L172" s="30"/>
      <c r="M172" s="30"/>
      <c r="N172" s="30"/>
      <c r="O172" s="30"/>
    </row>
    <row r="173" spans="12:15" x14ac:dyDescent="0.3">
      <c r="L173" s="30"/>
      <c r="M173" s="30"/>
      <c r="N173" s="30"/>
      <c r="O173" s="30"/>
    </row>
    <row r="174" spans="12:15" x14ac:dyDescent="0.3">
      <c r="L174" s="30"/>
      <c r="M174" s="30"/>
      <c r="N174" s="30"/>
      <c r="O174" s="30"/>
    </row>
    <row r="175" spans="12:15" x14ac:dyDescent="0.3">
      <c r="L175" s="30"/>
      <c r="M175" s="30"/>
      <c r="N175" s="30"/>
      <c r="O175" s="30"/>
    </row>
    <row r="176" spans="12:15" x14ac:dyDescent="0.3">
      <c r="L176" s="30"/>
      <c r="M176" s="30"/>
      <c r="N176" s="30"/>
      <c r="O176" s="30"/>
    </row>
    <row r="177" spans="12:15" x14ac:dyDescent="0.3">
      <c r="L177" s="30"/>
      <c r="M177" s="30"/>
      <c r="N177" s="30"/>
      <c r="O177" s="30"/>
    </row>
    <row r="178" spans="12:15" x14ac:dyDescent="0.3">
      <c r="L178" s="30"/>
      <c r="M178" s="30"/>
      <c r="N178" s="30"/>
      <c r="O178" s="30"/>
    </row>
    <row r="179" spans="12:15" x14ac:dyDescent="0.3">
      <c r="L179" s="30"/>
      <c r="M179" s="30"/>
      <c r="N179" s="30"/>
      <c r="O179" s="30"/>
    </row>
    <row r="180" spans="12:15" x14ac:dyDescent="0.3">
      <c r="L180" s="30"/>
      <c r="M180" s="30"/>
      <c r="N180" s="30"/>
      <c r="O180" s="30"/>
    </row>
    <row r="181" spans="12:15" x14ac:dyDescent="0.3">
      <c r="L181" s="30"/>
      <c r="M181" s="30"/>
      <c r="N181" s="30"/>
      <c r="O181" s="30"/>
    </row>
    <row r="182" spans="12:15" x14ac:dyDescent="0.3">
      <c r="L182" s="30"/>
      <c r="M182" s="30"/>
      <c r="N182" s="30"/>
      <c r="O182" s="30"/>
    </row>
    <row r="183" spans="12:15" x14ac:dyDescent="0.3">
      <c r="L183" s="30"/>
      <c r="M183" s="30"/>
      <c r="N183" s="30"/>
      <c r="O183" s="30"/>
    </row>
    <row r="184" spans="12:15" x14ac:dyDescent="0.3">
      <c r="L184" s="30"/>
      <c r="M184" s="30"/>
      <c r="N184" s="30"/>
      <c r="O184" s="30"/>
    </row>
  </sheetData>
  <mergeCells count="73">
    <mergeCell ref="A155:C155"/>
    <mergeCell ref="A145:C145"/>
    <mergeCell ref="A146:C146"/>
    <mergeCell ref="A150:C150"/>
    <mergeCell ref="A151:C151"/>
    <mergeCell ref="A152:C152"/>
    <mergeCell ref="A153:C153"/>
    <mergeCell ref="A144:C144"/>
    <mergeCell ref="A124:C124"/>
    <mergeCell ref="A125:C125"/>
    <mergeCell ref="A130:C130"/>
    <mergeCell ref="A131:C131"/>
    <mergeCell ref="A134:C134"/>
    <mergeCell ref="A135:C135"/>
    <mergeCell ref="A137:C137"/>
    <mergeCell ref="A138:C138"/>
    <mergeCell ref="A140:C140"/>
    <mergeCell ref="A141:C141"/>
    <mergeCell ref="A143:C143"/>
    <mergeCell ref="A119:C119"/>
    <mergeCell ref="A104:C104"/>
    <mergeCell ref="A105:C105"/>
    <mergeCell ref="A107:C107"/>
    <mergeCell ref="A108:C108"/>
    <mergeCell ref="A110:C110"/>
    <mergeCell ref="A111:C111"/>
    <mergeCell ref="A113:C113"/>
    <mergeCell ref="A114:C114"/>
    <mergeCell ref="A116:C116"/>
    <mergeCell ref="A117:C117"/>
    <mergeCell ref="A118:C118"/>
    <mergeCell ref="A99:C99"/>
    <mergeCell ref="A72:C72"/>
    <mergeCell ref="A73:C73"/>
    <mergeCell ref="A80:C80"/>
    <mergeCell ref="A81:C81"/>
    <mergeCell ref="A85:C85"/>
    <mergeCell ref="A86:C86"/>
    <mergeCell ref="A91:C91"/>
    <mergeCell ref="A92:C92"/>
    <mergeCell ref="A93:C93"/>
    <mergeCell ref="A94:C94"/>
    <mergeCell ref="A98:C98"/>
    <mergeCell ref="A65:C65"/>
    <mergeCell ref="A48:C48"/>
    <mergeCell ref="A49:C49"/>
    <mergeCell ref="A50:C50"/>
    <mergeCell ref="A51:C51"/>
    <mergeCell ref="A56:C56"/>
    <mergeCell ref="A57:C57"/>
    <mergeCell ref="A59:C59"/>
    <mergeCell ref="A60:C60"/>
    <mergeCell ref="A62:C62"/>
    <mergeCell ref="A63:C63"/>
    <mergeCell ref="A64:C64"/>
    <mergeCell ref="A45:C45"/>
    <mergeCell ref="A14:C14"/>
    <mergeCell ref="A15:C15"/>
    <mergeCell ref="A21:C21"/>
    <mergeCell ref="A22:C22"/>
    <mergeCell ref="A26:C26"/>
    <mergeCell ref="A27:C27"/>
    <mergeCell ref="A30:C30"/>
    <mergeCell ref="A31:C31"/>
    <mergeCell ref="A35:C35"/>
    <mergeCell ref="A36:C36"/>
    <mergeCell ref="A44:C44"/>
    <mergeCell ref="A9:C9"/>
    <mergeCell ref="A1:Q1"/>
    <mergeCell ref="A5:C5"/>
    <mergeCell ref="A6:C6"/>
    <mergeCell ref="A7:C7"/>
    <mergeCell ref="A8:C8"/>
  </mergeCells>
  <printOptions horizontalCentered="1" verticalCentered="1"/>
  <pageMargins left="0.7" right="0.7" top="0.75" bottom="0.75" header="0.3" footer="0.3"/>
  <pageSetup scale="33" fitToHeight="0" orientation="landscape" r:id="rId1"/>
  <headerFooter>
    <oddFooter>&amp;RBudget Kick Off - 11.01.25</oddFooter>
  </headerFooter>
  <rowBreaks count="4" manualBreakCount="4">
    <brk id="49" max="18" man="1"/>
    <brk id="63" max="16383" man="1"/>
    <brk id="92" max="16383" man="1"/>
    <brk id="117" max="16383"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73FC1-54D6-4FA4-A551-FBA238DE82B4}">
  <sheetPr codeName="Sheet21">
    <tabColor rgb="FF92D050"/>
    <pageSetUpPr fitToPage="1"/>
  </sheetPr>
  <dimension ref="A1:Q45"/>
  <sheetViews>
    <sheetView topLeftCell="A2" zoomScaleNormal="100" workbookViewId="0">
      <selection activeCell="W61" sqref="W60:W61"/>
    </sheetView>
  </sheetViews>
  <sheetFormatPr defaultColWidth="9" defaultRowHeight="14.4" x14ac:dyDescent="0.3"/>
  <cols>
    <col min="1" max="1" width="8.88671875" style="3" bestFit="1" customWidth="1"/>
    <col min="2" max="2" width="14.109375" style="10" bestFit="1" customWidth="1"/>
    <col min="3" max="3" width="18.88671875" style="3" bestFit="1" customWidth="1"/>
    <col min="4" max="4" width="11" style="3" customWidth="1"/>
    <col min="5" max="5" width="11.44140625" style="3" customWidth="1"/>
    <col min="6" max="6" width="11" style="3" customWidth="1"/>
    <col min="7" max="7" width="11.44140625" style="3" customWidth="1"/>
    <col min="8" max="8" width="11" style="3" customWidth="1"/>
    <col min="9" max="9" width="11.44140625" style="3" bestFit="1" customWidth="1"/>
    <col min="10" max="10" width="11" style="3" bestFit="1" customWidth="1"/>
    <col min="11" max="11" width="1" style="3" customWidth="1"/>
    <col min="12" max="12" width="14.6640625" style="3" bestFit="1" customWidth="1"/>
    <col min="13" max="13" width="10.6640625" style="3" bestFit="1" customWidth="1"/>
    <col min="14" max="14" width="13.33203125" bestFit="1" customWidth="1"/>
    <col min="15" max="15" width="10.6640625" bestFit="1" customWidth="1"/>
    <col min="16" max="16" width="15.109375" bestFit="1" customWidth="1"/>
    <col min="17" max="17" width="11.33203125" bestFit="1" customWidth="1"/>
    <col min="18" max="16384" width="9" style="3"/>
  </cols>
  <sheetData>
    <row r="1" spans="1:17" s="4" customFormat="1" ht="75" customHeight="1" x14ac:dyDescent="0.25">
      <c r="A1" s="170"/>
      <c r="B1" s="186"/>
      <c r="C1" s="186"/>
      <c r="D1" s="170" t="s">
        <v>296</v>
      </c>
      <c r="E1" s="191"/>
      <c r="F1" s="191"/>
      <c r="G1" s="191"/>
      <c r="H1" s="191"/>
      <c r="I1" s="191"/>
      <c r="J1" s="191"/>
      <c r="K1" s="191"/>
      <c r="L1" s="191"/>
      <c r="M1" s="191"/>
      <c r="N1" s="191"/>
      <c r="O1" s="191"/>
      <c r="P1" s="191"/>
      <c r="Q1" s="191"/>
    </row>
    <row r="2" spans="1:17" ht="6" customHeight="1" x14ac:dyDescent="0.25">
      <c r="N2" s="3"/>
      <c r="O2" s="3"/>
      <c r="P2" s="3"/>
      <c r="Q2" s="3"/>
    </row>
    <row r="3" spans="1:17" s="49" customFormat="1" ht="39.6" x14ac:dyDescent="0.3">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8"/>
      <c r="N4" s="3"/>
      <c r="O4" s="3"/>
      <c r="P4" s="3"/>
      <c r="Q4" s="3"/>
    </row>
    <row r="5" spans="1:17" x14ac:dyDescent="0.3">
      <c r="A5" s="12" t="s">
        <v>69</v>
      </c>
      <c r="B5" s="12"/>
      <c r="C5" s="12"/>
      <c r="D5" s="12"/>
      <c r="E5" s="12"/>
      <c r="K5" s="8"/>
      <c r="P5" s="3"/>
      <c r="Q5" s="3"/>
    </row>
    <row r="6" spans="1:17" x14ac:dyDescent="0.3">
      <c r="A6" s="80" t="s">
        <v>70</v>
      </c>
      <c r="B6" s="80"/>
      <c r="C6" s="80"/>
      <c r="D6" s="80"/>
      <c r="E6" s="80"/>
      <c r="K6" s="8"/>
      <c r="P6" s="3"/>
      <c r="Q6" s="3"/>
    </row>
    <row r="7" spans="1:17" x14ac:dyDescent="0.3">
      <c r="A7" s="12" t="s">
        <v>297</v>
      </c>
      <c r="B7" s="12"/>
      <c r="C7" s="12"/>
      <c r="D7" s="12"/>
      <c r="E7" s="12"/>
      <c r="K7" s="8"/>
      <c r="P7" s="3"/>
      <c r="Q7" s="3"/>
    </row>
    <row r="8" spans="1:17" x14ac:dyDescent="0.3">
      <c r="A8" s="12" t="s">
        <v>72</v>
      </c>
      <c r="B8" s="12"/>
      <c r="C8" s="12"/>
      <c r="D8" s="12"/>
      <c r="E8" s="12"/>
      <c r="K8" s="8"/>
      <c r="P8" s="3"/>
      <c r="Q8" s="3"/>
    </row>
    <row r="9" spans="1:17" ht="13.8" x14ac:dyDescent="0.25">
      <c r="A9" s="82" t="s">
        <v>11</v>
      </c>
      <c r="B9" s="82"/>
      <c r="C9" s="82"/>
      <c r="D9" s="82"/>
      <c r="E9" s="82"/>
      <c r="K9" s="8"/>
      <c r="N9" s="3"/>
      <c r="O9" s="3"/>
      <c r="P9" s="3"/>
      <c r="Q9" s="3"/>
    </row>
    <row r="10" spans="1:17" ht="13.8" x14ac:dyDescent="0.25">
      <c r="A10" s="50" t="s">
        <v>298</v>
      </c>
      <c r="B10" s="19" t="s">
        <v>35</v>
      </c>
      <c r="C10" s="20" t="s">
        <v>36</v>
      </c>
      <c r="D10" s="21">
        <v>217957</v>
      </c>
      <c r="E10" s="21">
        <v>217601.83</v>
      </c>
      <c r="F10" s="21">
        <v>223760</v>
      </c>
      <c r="G10" s="21">
        <v>213954.38</v>
      </c>
      <c r="H10" s="21">
        <v>232187</v>
      </c>
      <c r="I10" s="21">
        <v>229525.02</v>
      </c>
      <c r="J10" s="21">
        <v>242585</v>
      </c>
      <c r="K10" s="8"/>
      <c r="L10" s="21">
        <v>262608</v>
      </c>
      <c r="M10" s="21">
        <v>262608</v>
      </c>
      <c r="N10" s="21">
        <v>262608</v>
      </c>
      <c r="O10" s="21">
        <v>262608</v>
      </c>
      <c r="P10" s="21">
        <f>+L10-J10</f>
        <v>20023</v>
      </c>
      <c r="Q10" s="21">
        <f>+N10-O10</f>
        <v>0</v>
      </c>
    </row>
    <row r="11" spans="1:17" ht="13.8" x14ac:dyDescent="0.25">
      <c r="A11" s="50" t="s">
        <v>298</v>
      </c>
      <c r="B11" s="19" t="s">
        <v>37</v>
      </c>
      <c r="C11" s="20" t="s">
        <v>38</v>
      </c>
      <c r="D11" s="21">
        <v>81652</v>
      </c>
      <c r="E11" s="21">
        <v>81186.23</v>
      </c>
      <c r="F11" s="21">
        <v>83318</v>
      </c>
      <c r="G11" s="21">
        <v>60855.56</v>
      </c>
      <c r="H11" s="21">
        <v>86295</v>
      </c>
      <c r="I11" s="21">
        <v>58654.63</v>
      </c>
      <c r="J11" s="21">
        <v>102523</v>
      </c>
      <c r="K11" s="8"/>
      <c r="L11" s="21">
        <v>107682</v>
      </c>
      <c r="M11" s="21">
        <v>107682</v>
      </c>
      <c r="N11" s="21">
        <v>107682</v>
      </c>
      <c r="O11" s="21">
        <v>107682</v>
      </c>
      <c r="P11" s="21">
        <f>+L11-J11</f>
        <v>5159</v>
      </c>
      <c r="Q11" s="21">
        <f>+N11-O11</f>
        <v>0</v>
      </c>
    </row>
    <row r="12" spans="1:17" ht="13.8" x14ac:dyDescent="0.25">
      <c r="A12" s="50" t="s">
        <v>298</v>
      </c>
      <c r="B12" s="19" t="s">
        <v>39</v>
      </c>
      <c r="C12" s="20" t="s">
        <v>40</v>
      </c>
      <c r="D12" s="21">
        <v>7000</v>
      </c>
      <c r="E12" s="21">
        <v>713.97</v>
      </c>
      <c r="F12" s="21">
        <v>7000</v>
      </c>
      <c r="G12" s="21">
        <v>1159.48</v>
      </c>
      <c r="H12" s="21">
        <v>7000</v>
      </c>
      <c r="I12" s="21">
        <v>3522.84</v>
      </c>
      <c r="J12" s="21">
        <v>7000</v>
      </c>
      <c r="K12" s="8"/>
      <c r="L12" s="21">
        <v>7000</v>
      </c>
      <c r="M12" s="21">
        <v>7000</v>
      </c>
      <c r="N12" s="21">
        <v>7000</v>
      </c>
      <c r="O12" s="21">
        <v>7000</v>
      </c>
      <c r="P12" s="21">
        <f>+L12-J12</f>
        <v>0</v>
      </c>
      <c r="Q12" s="21">
        <f>+N12-O12</f>
        <v>0</v>
      </c>
    </row>
    <row r="13" spans="1:17" ht="13.8" x14ac:dyDescent="0.25">
      <c r="A13" s="84"/>
      <c r="B13" s="84"/>
      <c r="C13" s="84" t="s">
        <v>74</v>
      </c>
      <c r="D13" s="24">
        <f t="shared" ref="D13:J13" si="0">SUM(D10:D12)</f>
        <v>306609</v>
      </c>
      <c r="E13" s="24">
        <f t="shared" si="0"/>
        <v>299502.02999999997</v>
      </c>
      <c r="F13" s="24">
        <f t="shared" si="0"/>
        <v>314078</v>
      </c>
      <c r="G13" s="24">
        <f t="shared" si="0"/>
        <v>275969.42</v>
      </c>
      <c r="H13" s="24">
        <f t="shared" si="0"/>
        <v>325482</v>
      </c>
      <c r="I13" s="24">
        <f t="shared" si="0"/>
        <v>291702.49</v>
      </c>
      <c r="J13" s="24">
        <f t="shared" si="0"/>
        <v>352108</v>
      </c>
      <c r="K13" s="8"/>
      <c r="L13" s="24">
        <f t="shared" ref="L13:Q13" si="1">SUM(L10:L12)</f>
        <v>377290</v>
      </c>
      <c r="M13" s="24">
        <f t="shared" si="1"/>
        <v>377290</v>
      </c>
      <c r="N13" s="24">
        <f t="shared" si="1"/>
        <v>377290</v>
      </c>
      <c r="O13" s="24">
        <f t="shared" si="1"/>
        <v>377290</v>
      </c>
      <c r="P13" s="24">
        <f t="shared" si="1"/>
        <v>25182</v>
      </c>
      <c r="Q13" s="24">
        <f t="shared" si="1"/>
        <v>0</v>
      </c>
    </row>
    <row r="14" spans="1:17" ht="13.8" x14ac:dyDescent="0.25">
      <c r="A14" s="82" t="s">
        <v>14</v>
      </c>
      <c r="B14" s="82"/>
      <c r="C14" s="82"/>
      <c r="D14" s="94"/>
      <c r="E14" s="86"/>
      <c r="F14" s="86"/>
      <c r="G14" s="86"/>
      <c r="H14" s="86"/>
      <c r="I14" s="86"/>
      <c r="J14" s="86"/>
      <c r="K14" s="8"/>
      <c r="L14" s="86"/>
      <c r="M14" s="94"/>
      <c r="N14" s="94"/>
      <c r="O14" s="3"/>
      <c r="P14" s="3"/>
      <c r="Q14" s="3"/>
    </row>
    <row r="15" spans="1:17" ht="13.8" x14ac:dyDescent="0.25">
      <c r="A15" s="50" t="s">
        <v>298</v>
      </c>
      <c r="B15" s="19" t="s">
        <v>41</v>
      </c>
      <c r="C15" s="20" t="s">
        <v>42</v>
      </c>
      <c r="D15" s="21">
        <v>2821</v>
      </c>
      <c r="E15" s="21">
        <v>2522.2800000000002</v>
      </c>
      <c r="F15" s="21">
        <v>2765</v>
      </c>
      <c r="G15" s="21">
        <v>2463.1799999999998</v>
      </c>
      <c r="H15" s="21">
        <v>2794</v>
      </c>
      <c r="I15" s="21">
        <v>2221.2399999999998</v>
      </c>
      <c r="J15" s="21">
        <v>1700</v>
      </c>
      <c r="K15" s="8"/>
      <c r="L15" s="21">
        <v>2187</v>
      </c>
      <c r="M15" s="21">
        <v>2187</v>
      </c>
      <c r="N15" s="21">
        <v>2187</v>
      </c>
      <c r="O15" s="21">
        <v>2187</v>
      </c>
      <c r="P15" s="21">
        <f>+L15-J15</f>
        <v>487</v>
      </c>
      <c r="Q15" s="21">
        <f t="shared" ref="Q15:Q19" si="2">+N15-O15</f>
        <v>0</v>
      </c>
    </row>
    <row r="16" spans="1:17" ht="13.8" x14ac:dyDescent="0.25">
      <c r="A16" s="50" t="s">
        <v>298</v>
      </c>
      <c r="B16" s="19" t="s">
        <v>15</v>
      </c>
      <c r="C16" s="20" t="s">
        <v>16</v>
      </c>
      <c r="D16" s="21">
        <v>20070</v>
      </c>
      <c r="E16" s="21">
        <v>17155.689999999999</v>
      </c>
      <c r="F16" s="21">
        <v>19010</v>
      </c>
      <c r="G16" s="21">
        <v>17760.82</v>
      </c>
      <c r="H16" s="21">
        <v>20180</v>
      </c>
      <c r="I16" s="21">
        <v>17626</v>
      </c>
      <c r="J16" s="21">
        <v>21834</v>
      </c>
      <c r="K16" s="8"/>
      <c r="L16" s="21">
        <v>23392</v>
      </c>
      <c r="M16" s="21">
        <v>23392</v>
      </c>
      <c r="N16" s="21">
        <v>23392</v>
      </c>
      <c r="O16" s="21">
        <v>23392</v>
      </c>
      <c r="P16" s="21">
        <f>+L16-J16</f>
        <v>1558</v>
      </c>
      <c r="Q16" s="21">
        <f t="shared" si="2"/>
        <v>0</v>
      </c>
    </row>
    <row r="17" spans="1:17" ht="13.8" x14ac:dyDescent="0.25">
      <c r="A17" s="50" t="s">
        <v>298</v>
      </c>
      <c r="B17" s="19" t="s">
        <v>17</v>
      </c>
      <c r="C17" s="20" t="s">
        <v>18</v>
      </c>
      <c r="D17" s="21">
        <v>4694</v>
      </c>
      <c r="E17" s="21">
        <v>4012.24</v>
      </c>
      <c r="F17" s="21">
        <v>4446</v>
      </c>
      <c r="G17" s="21">
        <v>4153.72</v>
      </c>
      <c r="H17" s="21">
        <v>4720</v>
      </c>
      <c r="I17" s="21">
        <v>4122.1899999999996</v>
      </c>
      <c r="J17" s="21">
        <v>5107</v>
      </c>
      <c r="K17" s="8"/>
      <c r="L17" s="21">
        <v>5471</v>
      </c>
      <c r="M17" s="21">
        <v>5471</v>
      </c>
      <c r="N17" s="21">
        <v>5471</v>
      </c>
      <c r="O17" s="21">
        <v>5471</v>
      </c>
      <c r="P17" s="21">
        <f>+L17-J17</f>
        <v>364</v>
      </c>
      <c r="Q17" s="21">
        <f t="shared" si="2"/>
        <v>0</v>
      </c>
    </row>
    <row r="18" spans="1:17" ht="13.8" x14ac:dyDescent="0.25">
      <c r="A18" s="50" t="s">
        <v>298</v>
      </c>
      <c r="B18" s="19" t="s">
        <v>43</v>
      </c>
      <c r="C18" s="20" t="s">
        <v>44</v>
      </c>
      <c r="D18" s="21">
        <v>35019</v>
      </c>
      <c r="E18" s="21">
        <v>28884.43</v>
      </c>
      <c r="F18" s="21">
        <v>31629</v>
      </c>
      <c r="G18" s="21">
        <v>31225.24</v>
      </c>
      <c r="H18" s="21">
        <v>32362</v>
      </c>
      <c r="I18" s="21">
        <v>31211.759999999998</v>
      </c>
      <c r="J18" s="21">
        <v>31877</v>
      </c>
      <c r="K18" s="8"/>
      <c r="L18" s="21">
        <v>34430</v>
      </c>
      <c r="M18" s="21">
        <v>34430</v>
      </c>
      <c r="N18" s="21">
        <v>34430</v>
      </c>
      <c r="O18" s="21">
        <v>34430</v>
      </c>
      <c r="P18" s="21">
        <f>+L18-J18</f>
        <v>2553</v>
      </c>
      <c r="Q18" s="21">
        <f t="shared" si="2"/>
        <v>0</v>
      </c>
    </row>
    <row r="19" spans="1:17" ht="13.8" x14ac:dyDescent="0.25">
      <c r="A19" s="50" t="s">
        <v>298</v>
      </c>
      <c r="B19" s="19" t="s">
        <v>19</v>
      </c>
      <c r="C19" s="20" t="s">
        <v>20</v>
      </c>
      <c r="D19" s="21">
        <v>5636</v>
      </c>
      <c r="E19" s="21">
        <v>3842.75</v>
      </c>
      <c r="F19" s="21">
        <v>5853</v>
      </c>
      <c r="G19" s="21">
        <v>5581.12</v>
      </c>
      <c r="H19" s="21">
        <v>7403</v>
      </c>
      <c r="I19" s="21">
        <v>7402.71</v>
      </c>
      <c r="J19" s="21">
        <v>8747</v>
      </c>
      <c r="K19" s="8"/>
      <c r="L19" s="21">
        <v>8616</v>
      </c>
      <c r="M19" s="21">
        <v>8616</v>
      </c>
      <c r="N19" s="21">
        <v>8616</v>
      </c>
      <c r="O19" s="21">
        <v>8616</v>
      </c>
      <c r="P19" s="21">
        <f>+L19-J19</f>
        <v>-131</v>
      </c>
      <c r="Q19" s="21">
        <f t="shared" si="2"/>
        <v>0</v>
      </c>
    </row>
    <row r="20" spans="1:17" ht="13.8" x14ac:dyDescent="0.25">
      <c r="A20" s="84"/>
      <c r="B20" s="84"/>
      <c r="C20" s="84" t="s">
        <v>75</v>
      </c>
      <c r="D20" s="24">
        <f t="shared" ref="D20:J20" si="3">SUM(D15:D19)</f>
        <v>68240</v>
      </c>
      <c r="E20" s="24">
        <f t="shared" si="3"/>
        <v>56417.39</v>
      </c>
      <c r="F20" s="24">
        <f t="shared" si="3"/>
        <v>63703</v>
      </c>
      <c r="G20" s="24">
        <f t="shared" si="3"/>
        <v>61184.080000000009</v>
      </c>
      <c r="H20" s="24">
        <f t="shared" si="3"/>
        <v>67459</v>
      </c>
      <c r="I20" s="24">
        <f t="shared" si="3"/>
        <v>62583.899999999994</v>
      </c>
      <c r="J20" s="24">
        <f t="shared" si="3"/>
        <v>69265</v>
      </c>
      <c r="K20" s="8"/>
      <c r="L20" s="24">
        <f t="shared" ref="L20:Q20" si="4">SUM(L15:L19)</f>
        <v>74096</v>
      </c>
      <c r="M20" s="24">
        <f t="shared" si="4"/>
        <v>74096</v>
      </c>
      <c r="N20" s="24">
        <f t="shared" si="4"/>
        <v>74096</v>
      </c>
      <c r="O20" s="24">
        <f t="shared" si="4"/>
        <v>74096</v>
      </c>
      <c r="P20" s="24">
        <f t="shared" si="4"/>
        <v>4831</v>
      </c>
      <c r="Q20" s="24">
        <f t="shared" si="4"/>
        <v>0</v>
      </c>
    </row>
    <row r="21" spans="1:17" ht="13.8" x14ac:dyDescent="0.25">
      <c r="A21" s="82" t="s">
        <v>21</v>
      </c>
      <c r="B21" s="82"/>
      <c r="C21" s="82"/>
      <c r="D21" s="94"/>
      <c r="E21" s="86"/>
      <c r="F21" s="86"/>
      <c r="G21" s="86"/>
      <c r="H21" s="86"/>
      <c r="I21" s="86"/>
      <c r="J21" s="86"/>
      <c r="K21" s="8"/>
      <c r="L21" s="86"/>
      <c r="M21" s="94"/>
      <c r="N21" s="94"/>
      <c r="O21" s="3"/>
      <c r="P21" s="3"/>
      <c r="Q21" s="3"/>
    </row>
    <row r="22" spans="1:17" ht="13.8" x14ac:dyDescent="0.25">
      <c r="A22" s="50" t="s">
        <v>298</v>
      </c>
      <c r="B22" s="19" t="s">
        <v>28</v>
      </c>
      <c r="C22" s="20" t="s">
        <v>29</v>
      </c>
      <c r="D22" s="21">
        <v>3500</v>
      </c>
      <c r="E22" s="21">
        <v>277.5</v>
      </c>
      <c r="F22" s="21">
        <v>3500</v>
      </c>
      <c r="G22" s="21">
        <v>1727.41</v>
      </c>
      <c r="H22" s="21">
        <v>2300</v>
      </c>
      <c r="I22" s="21">
        <v>2531.8000000000002</v>
      </c>
      <c r="J22" s="21">
        <v>2300</v>
      </c>
      <c r="K22" s="8"/>
      <c r="L22" s="21">
        <v>2300</v>
      </c>
      <c r="M22" s="21">
        <v>2300</v>
      </c>
      <c r="N22" s="21">
        <v>2300</v>
      </c>
      <c r="O22" s="21">
        <v>2300</v>
      </c>
      <c r="P22" s="21">
        <f>+L22-J22</f>
        <v>0</v>
      </c>
      <c r="Q22" s="21">
        <f>+N22-O22</f>
        <v>0</v>
      </c>
    </row>
    <row r="23" spans="1:17" ht="13.8" x14ac:dyDescent="0.25">
      <c r="A23" s="50" t="s">
        <v>298</v>
      </c>
      <c r="B23" s="19" t="s">
        <v>144</v>
      </c>
      <c r="C23" s="20" t="s">
        <v>145</v>
      </c>
      <c r="D23" s="21">
        <v>1500</v>
      </c>
      <c r="E23" s="21">
        <v>1816.24</v>
      </c>
      <c r="F23" s="21">
        <v>1500</v>
      </c>
      <c r="G23" s="21">
        <v>1095.8499999999999</v>
      </c>
      <c r="H23" s="21">
        <v>1700</v>
      </c>
      <c r="I23" s="21">
        <v>888.53</v>
      </c>
      <c r="J23" s="21">
        <v>1575</v>
      </c>
      <c r="K23" s="8"/>
      <c r="L23" s="21">
        <v>1900</v>
      </c>
      <c r="M23" s="21">
        <v>1900</v>
      </c>
      <c r="N23" s="21">
        <v>1900</v>
      </c>
      <c r="O23" s="21">
        <v>1575</v>
      </c>
      <c r="P23" s="21">
        <f>+L23-J23</f>
        <v>325</v>
      </c>
      <c r="Q23" s="21">
        <f>+N23-O23</f>
        <v>325</v>
      </c>
    </row>
    <row r="24" spans="1:17" ht="13.8" x14ac:dyDescent="0.25">
      <c r="A24" s="50" t="s">
        <v>298</v>
      </c>
      <c r="B24" s="19" t="s">
        <v>299</v>
      </c>
      <c r="C24" s="20" t="s">
        <v>300</v>
      </c>
      <c r="D24" s="21">
        <v>37000</v>
      </c>
      <c r="E24" s="21">
        <v>37000</v>
      </c>
      <c r="F24" s="21">
        <v>38510</v>
      </c>
      <c r="G24" s="21">
        <v>38510</v>
      </c>
      <c r="H24" s="21">
        <v>38510</v>
      </c>
      <c r="I24" s="21">
        <v>41099.4</v>
      </c>
      <c r="J24" s="21">
        <v>38510</v>
      </c>
      <c r="K24" s="8"/>
      <c r="L24" s="21">
        <v>45975</v>
      </c>
      <c r="M24" s="21">
        <v>45975</v>
      </c>
      <c r="N24" s="21">
        <v>45975</v>
      </c>
      <c r="O24" s="21">
        <v>45975</v>
      </c>
      <c r="P24" s="21">
        <f>+L24-J24</f>
        <v>7465</v>
      </c>
      <c r="Q24" s="21">
        <f>+N24-O24</f>
        <v>0</v>
      </c>
    </row>
    <row r="25" spans="1:17" ht="13.8" x14ac:dyDescent="0.25">
      <c r="A25" s="84"/>
      <c r="B25" s="84"/>
      <c r="C25" s="84" t="s">
        <v>76</v>
      </c>
      <c r="D25" s="24">
        <f t="shared" ref="D25:J25" si="5">SUM(D22:D24)</f>
        <v>42000</v>
      </c>
      <c r="E25" s="24">
        <f t="shared" si="5"/>
        <v>39093.74</v>
      </c>
      <c r="F25" s="24">
        <f t="shared" si="5"/>
        <v>43510</v>
      </c>
      <c r="G25" s="24">
        <f t="shared" si="5"/>
        <v>41333.26</v>
      </c>
      <c r="H25" s="24">
        <f t="shared" si="5"/>
        <v>42510</v>
      </c>
      <c r="I25" s="24">
        <f t="shared" si="5"/>
        <v>44519.73</v>
      </c>
      <c r="J25" s="24">
        <f t="shared" si="5"/>
        <v>42385</v>
      </c>
      <c r="K25" s="8"/>
      <c r="L25" s="24">
        <f t="shared" ref="L25:Q25" si="6">SUM(L22:L24)</f>
        <v>50175</v>
      </c>
      <c r="M25" s="24">
        <f t="shared" si="6"/>
        <v>50175</v>
      </c>
      <c r="N25" s="24">
        <f t="shared" si="6"/>
        <v>50175</v>
      </c>
      <c r="O25" s="24">
        <f t="shared" si="6"/>
        <v>49850</v>
      </c>
      <c r="P25" s="24">
        <f t="shared" si="6"/>
        <v>7790</v>
      </c>
      <c r="Q25" s="24">
        <f t="shared" si="6"/>
        <v>325</v>
      </c>
    </row>
    <row r="26" spans="1:17" ht="13.8" x14ac:dyDescent="0.25">
      <c r="A26" s="82" t="s">
        <v>45</v>
      </c>
      <c r="B26" s="82"/>
      <c r="C26" s="82"/>
      <c r="D26" s="94"/>
      <c r="E26" s="86"/>
      <c r="F26" s="86"/>
      <c r="G26" s="86"/>
      <c r="H26" s="86"/>
      <c r="I26" s="86"/>
      <c r="J26" s="86"/>
      <c r="K26" s="8"/>
      <c r="L26" s="86"/>
      <c r="M26" s="94"/>
      <c r="N26" s="94"/>
      <c r="O26" s="3"/>
      <c r="P26" s="3"/>
      <c r="Q26" s="3"/>
    </row>
    <row r="27" spans="1:17" ht="13.8" x14ac:dyDescent="0.25">
      <c r="A27" s="50" t="s">
        <v>298</v>
      </c>
      <c r="B27" s="19" t="s">
        <v>22</v>
      </c>
      <c r="C27" s="20" t="s">
        <v>23</v>
      </c>
      <c r="D27" s="21">
        <v>700</v>
      </c>
      <c r="E27" s="21">
        <v>149.44999999999999</v>
      </c>
      <c r="F27" s="21">
        <v>700</v>
      </c>
      <c r="G27" s="21">
        <v>297.29000000000002</v>
      </c>
      <c r="H27" s="21">
        <v>700</v>
      </c>
      <c r="I27" s="21">
        <v>592.47</v>
      </c>
      <c r="J27" s="21">
        <v>700</v>
      </c>
      <c r="K27" s="8"/>
      <c r="L27" s="21">
        <v>700</v>
      </c>
      <c r="M27" s="21">
        <v>700</v>
      </c>
      <c r="N27" s="21">
        <v>700</v>
      </c>
      <c r="O27" s="21">
        <v>700</v>
      </c>
      <c r="P27" s="21">
        <f>+L27-J27</f>
        <v>0</v>
      </c>
      <c r="Q27" s="21">
        <f>+N27-O27</f>
        <v>0</v>
      </c>
    </row>
    <row r="28" spans="1:17" ht="13.8" x14ac:dyDescent="0.25">
      <c r="A28" s="50" t="s">
        <v>298</v>
      </c>
      <c r="B28" s="19" t="s">
        <v>46</v>
      </c>
      <c r="C28" s="20" t="s">
        <v>47</v>
      </c>
      <c r="D28" s="21">
        <v>1395</v>
      </c>
      <c r="E28" s="21">
        <v>571</v>
      </c>
      <c r="F28" s="21">
        <v>1395</v>
      </c>
      <c r="G28" s="21">
        <v>473.97</v>
      </c>
      <c r="H28" s="21">
        <v>1395</v>
      </c>
      <c r="I28" s="21">
        <v>490</v>
      </c>
      <c r="J28" s="21">
        <v>1255</v>
      </c>
      <c r="K28" s="8"/>
      <c r="L28" s="21">
        <v>750</v>
      </c>
      <c r="M28" s="21">
        <v>750</v>
      </c>
      <c r="N28" s="21">
        <v>750</v>
      </c>
      <c r="O28" s="21">
        <v>1255</v>
      </c>
      <c r="P28" s="21">
        <f>+L28-J28</f>
        <v>-505</v>
      </c>
      <c r="Q28" s="21">
        <f>+N28-O28</f>
        <v>-505</v>
      </c>
    </row>
    <row r="29" spans="1:17" ht="13.8" x14ac:dyDescent="0.25">
      <c r="A29" s="50" t="s">
        <v>298</v>
      </c>
      <c r="B29" s="19" t="s">
        <v>24</v>
      </c>
      <c r="C29" s="20" t="s">
        <v>25</v>
      </c>
      <c r="D29" s="21">
        <v>3400</v>
      </c>
      <c r="E29" s="21">
        <v>620</v>
      </c>
      <c r="F29" s="21">
        <v>3400</v>
      </c>
      <c r="G29" s="21">
        <v>1500</v>
      </c>
      <c r="H29" s="21">
        <v>3400</v>
      </c>
      <c r="I29" s="21">
        <v>2865.64</v>
      </c>
      <c r="J29" s="21">
        <v>2400</v>
      </c>
      <c r="K29" s="8"/>
      <c r="L29" s="21">
        <v>2400</v>
      </c>
      <c r="M29" s="21">
        <v>2400</v>
      </c>
      <c r="N29" s="21">
        <v>2400</v>
      </c>
      <c r="O29" s="21">
        <v>2400</v>
      </c>
      <c r="P29" s="21">
        <f>+L29-J29</f>
        <v>0</v>
      </c>
      <c r="Q29" s="21">
        <f>+N29-O29</f>
        <v>0</v>
      </c>
    </row>
    <row r="30" spans="1:17" ht="13.8" x14ac:dyDescent="0.25">
      <c r="A30" s="50" t="s">
        <v>298</v>
      </c>
      <c r="B30" s="19" t="s">
        <v>26</v>
      </c>
      <c r="C30" s="20" t="s">
        <v>27</v>
      </c>
      <c r="D30" s="21">
        <v>250</v>
      </c>
      <c r="E30" s="21">
        <v>0</v>
      </c>
      <c r="F30" s="21">
        <v>250</v>
      </c>
      <c r="G30" s="21">
        <v>0</v>
      </c>
      <c r="H30" s="21">
        <v>250</v>
      </c>
      <c r="I30" s="21">
        <v>0</v>
      </c>
      <c r="J30" s="21">
        <v>175</v>
      </c>
      <c r="K30" s="8"/>
      <c r="L30" s="21">
        <v>125</v>
      </c>
      <c r="M30" s="21">
        <v>125</v>
      </c>
      <c r="N30" s="21">
        <v>125</v>
      </c>
      <c r="O30" s="21">
        <v>175</v>
      </c>
      <c r="P30" s="21">
        <f>+L30-J30</f>
        <v>-50</v>
      </c>
      <c r="Q30" s="21">
        <f>+N30-O30</f>
        <v>-50</v>
      </c>
    </row>
    <row r="31" spans="1:17" ht="13.8" x14ac:dyDescent="0.25">
      <c r="A31" s="84"/>
      <c r="B31" s="84"/>
      <c r="C31" s="84" t="s">
        <v>85</v>
      </c>
      <c r="D31" s="24">
        <f t="shared" ref="D31:J31" si="7">SUM(D27:D30)</f>
        <v>5745</v>
      </c>
      <c r="E31" s="24">
        <f t="shared" si="7"/>
        <v>1340.45</v>
      </c>
      <c r="F31" s="24">
        <f>SUM(F27:F30)</f>
        <v>5745</v>
      </c>
      <c r="G31" s="24">
        <f t="shared" si="7"/>
        <v>2271.2600000000002</v>
      </c>
      <c r="H31" s="24">
        <f t="shared" si="7"/>
        <v>5745</v>
      </c>
      <c r="I31" s="24">
        <f t="shared" si="7"/>
        <v>3948.1099999999997</v>
      </c>
      <c r="J31" s="24">
        <f t="shared" si="7"/>
        <v>4530</v>
      </c>
      <c r="K31" s="8"/>
      <c r="L31" s="24">
        <f t="shared" ref="L31:Q31" si="8">SUM(L27:L30)</f>
        <v>3975</v>
      </c>
      <c r="M31" s="24">
        <f t="shared" si="8"/>
        <v>3975</v>
      </c>
      <c r="N31" s="24">
        <f t="shared" si="8"/>
        <v>3975</v>
      </c>
      <c r="O31" s="24">
        <f t="shared" si="8"/>
        <v>4530</v>
      </c>
      <c r="P31" s="24">
        <f t="shared" si="8"/>
        <v>-555</v>
      </c>
      <c r="Q31" s="24">
        <f t="shared" si="8"/>
        <v>-555</v>
      </c>
    </row>
    <row r="32" spans="1:17" ht="13.8" x14ac:dyDescent="0.25">
      <c r="A32" s="82" t="s">
        <v>30</v>
      </c>
      <c r="B32" s="82"/>
      <c r="C32" s="82"/>
      <c r="D32" s="94"/>
      <c r="E32" s="86"/>
      <c r="F32" s="86"/>
      <c r="G32" s="86"/>
      <c r="H32" s="86"/>
      <c r="I32" s="86"/>
      <c r="J32" s="86"/>
      <c r="K32" s="8"/>
      <c r="L32" s="86"/>
      <c r="M32" s="94"/>
      <c r="N32" s="94"/>
      <c r="O32" s="3"/>
      <c r="P32" s="3"/>
      <c r="Q32" s="3"/>
    </row>
    <row r="33" spans="1:17" ht="13.8" x14ac:dyDescent="0.25">
      <c r="A33" s="50" t="s">
        <v>298</v>
      </c>
      <c r="B33" s="19" t="s">
        <v>51</v>
      </c>
      <c r="C33" s="20" t="s">
        <v>48</v>
      </c>
      <c r="D33" s="21">
        <v>450</v>
      </c>
      <c r="E33" s="21">
        <v>1116.08</v>
      </c>
      <c r="F33" s="21">
        <v>450</v>
      </c>
      <c r="G33" s="21">
        <v>428.37</v>
      </c>
      <c r="H33" s="21">
        <v>450</v>
      </c>
      <c r="I33" s="21">
        <v>1354.31</v>
      </c>
      <c r="J33" s="21">
        <v>450</v>
      </c>
      <c r="K33" s="8"/>
      <c r="L33" s="21">
        <v>450</v>
      </c>
      <c r="M33" s="21">
        <v>450</v>
      </c>
      <c r="N33" s="21">
        <v>450</v>
      </c>
      <c r="O33" s="21">
        <v>450</v>
      </c>
      <c r="P33" s="21">
        <f>+L33-J33</f>
        <v>0</v>
      </c>
      <c r="Q33" s="21">
        <f>+N33-O33</f>
        <v>0</v>
      </c>
    </row>
    <row r="34" spans="1:17" ht="13.8" x14ac:dyDescent="0.25">
      <c r="A34" s="50" t="s">
        <v>298</v>
      </c>
      <c r="B34" s="19" t="s">
        <v>52</v>
      </c>
      <c r="C34" s="20" t="s">
        <v>49</v>
      </c>
      <c r="D34" s="21">
        <v>500</v>
      </c>
      <c r="E34" s="21">
        <v>614.29999999999995</v>
      </c>
      <c r="F34" s="21">
        <v>500</v>
      </c>
      <c r="G34" s="21">
        <v>688.81</v>
      </c>
      <c r="H34" s="21">
        <v>500</v>
      </c>
      <c r="I34" s="21">
        <v>389.22</v>
      </c>
      <c r="J34" s="21">
        <v>500</v>
      </c>
      <c r="K34" s="8"/>
      <c r="L34" s="21">
        <v>500</v>
      </c>
      <c r="M34" s="21">
        <v>500</v>
      </c>
      <c r="N34" s="21">
        <v>500</v>
      </c>
      <c r="O34" s="21">
        <v>500</v>
      </c>
      <c r="P34" s="21">
        <f>+L34-J34</f>
        <v>0</v>
      </c>
      <c r="Q34" s="21">
        <f>+N34-O34</f>
        <v>0</v>
      </c>
    </row>
    <row r="35" spans="1:17" ht="13.8" x14ac:dyDescent="0.25">
      <c r="A35" s="84"/>
      <c r="B35" s="84"/>
      <c r="C35" s="84" t="s">
        <v>77</v>
      </c>
      <c r="D35" s="24">
        <f t="shared" ref="D35:J35" si="9">SUM(D33:D34)</f>
        <v>950</v>
      </c>
      <c r="E35" s="24">
        <f t="shared" si="9"/>
        <v>1730.3799999999999</v>
      </c>
      <c r="F35" s="24">
        <f t="shared" si="9"/>
        <v>950</v>
      </c>
      <c r="G35" s="24">
        <f t="shared" si="9"/>
        <v>1117.1799999999998</v>
      </c>
      <c r="H35" s="24">
        <f t="shared" si="9"/>
        <v>950</v>
      </c>
      <c r="I35" s="24">
        <f t="shared" si="9"/>
        <v>1743.53</v>
      </c>
      <c r="J35" s="24">
        <f t="shared" si="9"/>
        <v>950</v>
      </c>
      <c r="K35" s="8"/>
      <c r="L35" s="24">
        <f t="shared" ref="L35:Q35" si="10">SUM(L33:L34)</f>
        <v>950</v>
      </c>
      <c r="M35" s="24">
        <f t="shared" si="10"/>
        <v>950</v>
      </c>
      <c r="N35" s="24">
        <f t="shared" si="10"/>
        <v>950</v>
      </c>
      <c r="O35" s="24">
        <f t="shared" si="10"/>
        <v>950</v>
      </c>
      <c r="P35" s="24">
        <f t="shared" si="10"/>
        <v>0</v>
      </c>
      <c r="Q35" s="24">
        <f t="shared" si="10"/>
        <v>0</v>
      </c>
    </row>
    <row r="36" spans="1:17" ht="13.8" x14ac:dyDescent="0.25">
      <c r="A36" s="90"/>
      <c r="B36" s="90"/>
      <c r="C36" s="90" t="s">
        <v>78</v>
      </c>
      <c r="D36" s="40">
        <f t="shared" ref="D36:J36" si="11">D13+D20+D25+D31+D35</f>
        <v>423544</v>
      </c>
      <c r="E36" s="40">
        <f t="shared" si="11"/>
        <v>398083.99</v>
      </c>
      <c r="F36" s="40">
        <f t="shared" si="11"/>
        <v>427986</v>
      </c>
      <c r="G36" s="40">
        <f t="shared" si="11"/>
        <v>381875.20000000001</v>
      </c>
      <c r="H36" s="40">
        <f t="shared" si="11"/>
        <v>442146</v>
      </c>
      <c r="I36" s="40">
        <f t="shared" si="11"/>
        <v>404497.76</v>
      </c>
      <c r="J36" s="40">
        <f t="shared" si="11"/>
        <v>469238</v>
      </c>
      <c r="K36" s="8"/>
      <c r="L36" s="40">
        <f t="shared" ref="L36:Q36" si="12">L13+L20+L25+L31+L35</f>
        <v>506486</v>
      </c>
      <c r="M36" s="40">
        <f t="shared" si="12"/>
        <v>506486</v>
      </c>
      <c r="N36" s="40">
        <f t="shared" si="12"/>
        <v>506486</v>
      </c>
      <c r="O36" s="40">
        <f t="shared" si="12"/>
        <v>506716</v>
      </c>
      <c r="P36" s="40">
        <f t="shared" si="12"/>
        <v>37248</v>
      </c>
      <c r="Q36" s="40">
        <f t="shared" si="12"/>
        <v>-230</v>
      </c>
    </row>
    <row r="37" spans="1:17" ht="13.8" x14ac:dyDescent="0.25">
      <c r="A37" s="90"/>
      <c r="B37" s="90"/>
      <c r="C37" s="90" t="s">
        <v>301</v>
      </c>
      <c r="D37" s="40">
        <f t="shared" ref="D37:J38" si="13">D36</f>
        <v>423544</v>
      </c>
      <c r="E37" s="40">
        <f t="shared" si="13"/>
        <v>398083.99</v>
      </c>
      <c r="F37" s="40">
        <f t="shared" si="13"/>
        <v>427986</v>
      </c>
      <c r="G37" s="40">
        <f t="shared" si="13"/>
        <v>381875.20000000001</v>
      </c>
      <c r="H37" s="40">
        <f t="shared" si="13"/>
        <v>442146</v>
      </c>
      <c r="I37" s="40">
        <f t="shared" si="13"/>
        <v>404497.76</v>
      </c>
      <c r="J37" s="40">
        <f t="shared" si="13"/>
        <v>469238</v>
      </c>
      <c r="K37" s="8"/>
      <c r="L37" s="40">
        <f t="shared" ref="L37:Q38" si="14">L36</f>
        <v>506486</v>
      </c>
      <c r="M37" s="40">
        <f t="shared" si="14"/>
        <v>506486</v>
      </c>
      <c r="N37" s="40">
        <f t="shared" si="14"/>
        <v>506486</v>
      </c>
      <c r="O37" s="40">
        <f t="shared" si="14"/>
        <v>506716</v>
      </c>
      <c r="P37" s="40">
        <f t="shared" si="14"/>
        <v>37248</v>
      </c>
      <c r="Q37" s="40">
        <f t="shared" si="14"/>
        <v>-230</v>
      </c>
    </row>
    <row r="38" spans="1:17" ht="13.8" x14ac:dyDescent="0.25">
      <c r="A38" s="92"/>
      <c r="B38" s="92"/>
      <c r="C38" s="92" t="s">
        <v>80</v>
      </c>
      <c r="D38" s="41">
        <f t="shared" si="13"/>
        <v>423544</v>
      </c>
      <c r="E38" s="41">
        <f t="shared" si="13"/>
        <v>398083.99</v>
      </c>
      <c r="F38" s="41">
        <f t="shared" si="13"/>
        <v>427986</v>
      </c>
      <c r="G38" s="41">
        <f t="shared" si="13"/>
        <v>381875.20000000001</v>
      </c>
      <c r="H38" s="41">
        <f t="shared" si="13"/>
        <v>442146</v>
      </c>
      <c r="I38" s="41">
        <f t="shared" si="13"/>
        <v>404497.76</v>
      </c>
      <c r="J38" s="41">
        <f t="shared" si="13"/>
        <v>469238</v>
      </c>
      <c r="K38" s="8"/>
      <c r="L38" s="41">
        <f t="shared" si="14"/>
        <v>506486</v>
      </c>
      <c r="M38" s="41">
        <f t="shared" si="14"/>
        <v>506486</v>
      </c>
      <c r="N38" s="41">
        <f t="shared" si="14"/>
        <v>506486</v>
      </c>
      <c r="O38" s="41">
        <f t="shared" si="14"/>
        <v>506716</v>
      </c>
      <c r="P38" s="41">
        <f t="shared" si="14"/>
        <v>37248</v>
      </c>
      <c r="Q38" s="41">
        <f t="shared" si="14"/>
        <v>-230</v>
      </c>
    </row>
    <row r="39" spans="1:17" ht="7.5" customHeight="1" x14ac:dyDescent="0.25">
      <c r="D39" s="94"/>
      <c r="E39" s="86"/>
      <c r="F39" s="86"/>
      <c r="G39" s="86"/>
      <c r="H39" s="86"/>
      <c r="I39" s="86"/>
      <c r="J39" s="86"/>
      <c r="K39" s="8"/>
      <c r="L39" s="86"/>
      <c r="M39" s="94"/>
      <c r="N39" s="94"/>
      <c r="O39" s="94"/>
      <c r="P39" s="94"/>
      <c r="Q39" s="94"/>
    </row>
    <row r="40" spans="1:17" ht="13.8" x14ac:dyDescent="0.25">
      <c r="A40" s="92"/>
      <c r="B40" s="92"/>
      <c r="C40" s="92" t="s">
        <v>81</v>
      </c>
      <c r="D40" s="41">
        <f t="shared" ref="D40:J40" si="15">D38</f>
        <v>423544</v>
      </c>
      <c r="E40" s="41">
        <f t="shared" si="15"/>
        <v>398083.99</v>
      </c>
      <c r="F40" s="41">
        <f t="shared" si="15"/>
        <v>427986</v>
      </c>
      <c r="G40" s="41">
        <f t="shared" si="15"/>
        <v>381875.20000000001</v>
      </c>
      <c r="H40" s="41">
        <f t="shared" si="15"/>
        <v>442146</v>
      </c>
      <c r="I40" s="41">
        <f t="shared" si="15"/>
        <v>404497.76</v>
      </c>
      <c r="J40" s="41">
        <f t="shared" si="15"/>
        <v>469238</v>
      </c>
      <c r="K40" s="8"/>
      <c r="L40" s="41">
        <f t="shared" ref="L40:Q40" si="16">L38</f>
        <v>506486</v>
      </c>
      <c r="M40" s="41">
        <f t="shared" si="16"/>
        <v>506486</v>
      </c>
      <c r="N40" s="41">
        <f t="shared" si="16"/>
        <v>506486</v>
      </c>
      <c r="O40" s="41">
        <f t="shared" si="16"/>
        <v>506716</v>
      </c>
      <c r="P40" s="41">
        <f t="shared" si="16"/>
        <v>37248</v>
      </c>
      <c r="Q40" s="41">
        <f t="shared" si="16"/>
        <v>-230</v>
      </c>
    </row>
    <row r="41" spans="1:17" x14ac:dyDescent="0.3">
      <c r="L41" s="94"/>
      <c r="M41" s="87"/>
      <c r="N41" s="3"/>
      <c r="O41" s="3"/>
    </row>
    <row r="42" spans="1:17" x14ac:dyDescent="0.3">
      <c r="L42" s="97"/>
      <c r="N42" s="3"/>
      <c r="O42" s="3"/>
    </row>
    <row r="43" spans="1:17" x14ac:dyDescent="0.3">
      <c r="N43" s="3"/>
      <c r="O43" s="3"/>
    </row>
    <row r="44" spans="1:17" x14ac:dyDescent="0.3">
      <c r="N44" s="77"/>
      <c r="O44" s="77"/>
    </row>
    <row r="45" spans="1:17" x14ac:dyDescent="0.3">
      <c r="N45" s="77"/>
      <c r="O45" s="77"/>
    </row>
  </sheetData>
  <mergeCells count="2">
    <mergeCell ref="A1:C1"/>
    <mergeCell ref="D1:Q1"/>
  </mergeCells>
  <printOptions horizontalCentered="1" verticalCentered="1"/>
  <pageMargins left="0.7" right="0.7" top="0.75" bottom="0.75" header="0.3" footer="0.3"/>
  <pageSetup scale="42" fitToHeight="0" orientation="landscape" r:id="rId1"/>
  <headerFooter>
    <oddFooter>&amp;RBudget Kick Off - 11.01.25</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B6131-C983-4131-A1CF-78CF0FF759D6}">
  <sheetPr codeName="Sheet22">
    <tabColor rgb="FF92D050"/>
    <pageSetUpPr fitToPage="1"/>
  </sheetPr>
  <dimension ref="A1:Q76"/>
  <sheetViews>
    <sheetView zoomScaleNormal="100" workbookViewId="0">
      <pane ySplit="4" topLeftCell="A5" activePane="bottomLeft" state="frozen"/>
      <selection activeCell="AD145" sqref="AD145"/>
      <selection pane="bottomLeft" activeCell="C16" sqref="C16"/>
    </sheetView>
  </sheetViews>
  <sheetFormatPr defaultColWidth="9" defaultRowHeight="14.4" x14ac:dyDescent="0.3"/>
  <cols>
    <col min="1" max="1" width="8.88671875" style="3" bestFit="1" customWidth="1"/>
    <col min="2" max="2" width="14.109375" style="3" bestFit="1" customWidth="1"/>
    <col min="3" max="3" width="20.33203125" style="3" bestFit="1" customWidth="1"/>
    <col min="4" max="8" width="12" style="3" customWidth="1"/>
    <col min="9" max="9" width="14" style="3" customWidth="1"/>
    <col min="10" max="10" width="14" style="3" bestFit="1" customWidth="1"/>
    <col min="11" max="11" width="1" style="3" customWidth="1"/>
    <col min="12" max="13" width="12" style="3" customWidth="1"/>
    <col min="14" max="14" width="14" style="3" customWidth="1"/>
    <col min="15" max="15" width="14" style="3" bestFit="1" customWidth="1"/>
    <col min="16" max="17" width="12.5546875" bestFit="1" customWidth="1"/>
    <col min="18" max="16384" width="9" style="3"/>
  </cols>
  <sheetData>
    <row r="1" spans="1:17" s="118" customFormat="1" ht="75" customHeight="1" x14ac:dyDescent="0.25">
      <c r="A1" s="192"/>
      <c r="B1" s="193"/>
      <c r="C1" s="193"/>
      <c r="D1" s="170" t="s">
        <v>302</v>
      </c>
      <c r="E1" s="186"/>
      <c r="F1" s="186"/>
      <c r="G1" s="186"/>
      <c r="H1" s="186"/>
      <c r="I1" s="186"/>
      <c r="J1" s="186"/>
      <c r="K1" s="186"/>
      <c r="L1" s="186"/>
      <c r="M1" s="186"/>
      <c r="N1" s="186"/>
      <c r="O1" s="186"/>
      <c r="P1" s="186"/>
      <c r="Q1" s="186"/>
    </row>
    <row r="2" spans="1:17" ht="6" customHeight="1" x14ac:dyDescent="0.3">
      <c r="A2" s="4"/>
      <c r="B2" s="5"/>
      <c r="C2" s="4"/>
      <c r="D2" s="4"/>
      <c r="E2" s="4"/>
      <c r="F2" s="4"/>
    </row>
    <row r="3" spans="1:17" s="49" customFormat="1" ht="39.6" x14ac:dyDescent="0.3">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3">
      <c r="B4" s="10"/>
      <c r="K4" s="11"/>
    </row>
    <row r="5" spans="1:17" x14ac:dyDescent="0.3">
      <c r="A5" s="171" t="s">
        <v>69</v>
      </c>
      <c r="B5" s="171"/>
      <c r="C5" s="171"/>
      <c r="D5" s="12"/>
      <c r="E5" s="12"/>
      <c r="K5" s="11"/>
    </row>
    <row r="6" spans="1:17" x14ac:dyDescent="0.3">
      <c r="A6" s="172" t="s">
        <v>70</v>
      </c>
      <c r="B6" s="172"/>
      <c r="C6" s="172"/>
      <c r="D6" s="14"/>
      <c r="E6" s="14"/>
      <c r="K6" s="11"/>
    </row>
    <row r="7" spans="1:17" x14ac:dyDescent="0.3">
      <c r="A7" s="173" t="s">
        <v>303</v>
      </c>
      <c r="B7" s="173"/>
      <c r="C7" s="173"/>
      <c r="D7" s="15"/>
      <c r="E7" s="15"/>
      <c r="K7" s="11"/>
    </row>
    <row r="8" spans="1:17" x14ac:dyDescent="0.3">
      <c r="A8" s="174" t="s">
        <v>220</v>
      </c>
      <c r="B8" s="174"/>
      <c r="C8" s="174"/>
      <c r="D8" s="16"/>
      <c r="E8" s="16"/>
      <c r="K8" s="11"/>
    </row>
    <row r="9" spans="1:17" ht="15.75" customHeight="1" x14ac:dyDescent="0.3">
      <c r="A9" s="175" t="s">
        <v>11</v>
      </c>
      <c r="B9" s="175"/>
      <c r="C9" s="175"/>
      <c r="D9" s="17"/>
      <c r="E9" s="17"/>
      <c r="K9" s="11"/>
    </row>
    <row r="10" spans="1:17" ht="13.8" x14ac:dyDescent="0.25">
      <c r="A10" s="50" t="s">
        <v>304</v>
      </c>
      <c r="B10" s="19" t="s">
        <v>35</v>
      </c>
      <c r="C10" s="20" t="s">
        <v>36</v>
      </c>
      <c r="D10" s="21">
        <v>1190113</v>
      </c>
      <c r="E10" s="21">
        <v>1064322.04</v>
      </c>
      <c r="F10" s="119">
        <v>1225569</v>
      </c>
      <c r="G10" s="119">
        <v>1027209.93</v>
      </c>
      <c r="H10" s="119">
        <v>1262806</v>
      </c>
      <c r="I10" s="119">
        <v>1082171.77</v>
      </c>
      <c r="J10" s="120">
        <v>1296251</v>
      </c>
      <c r="K10" s="121"/>
      <c r="L10" s="21">
        <v>1538496</v>
      </c>
      <c r="M10" s="21">
        <v>1538496</v>
      </c>
      <c r="N10" s="21">
        <v>1538496</v>
      </c>
      <c r="O10" s="21">
        <f>L10-30836</f>
        <v>1507660</v>
      </c>
      <c r="P10" s="21">
        <f>+N10-J10</f>
        <v>242245</v>
      </c>
      <c r="Q10" s="21">
        <f>+N10-O10</f>
        <v>30836</v>
      </c>
    </row>
    <row r="11" spans="1:17" ht="13.8" x14ac:dyDescent="0.25">
      <c r="A11" s="50" t="s">
        <v>304</v>
      </c>
      <c r="B11" s="19" t="s">
        <v>37</v>
      </c>
      <c r="C11" s="20" t="s">
        <v>38</v>
      </c>
      <c r="D11" s="21">
        <v>54325</v>
      </c>
      <c r="E11" s="21">
        <v>37927.56</v>
      </c>
      <c r="F11" s="119">
        <v>63890</v>
      </c>
      <c r="G11" s="119">
        <v>33685.19</v>
      </c>
      <c r="H11" s="119">
        <v>69839</v>
      </c>
      <c r="I11" s="119">
        <v>30352.34</v>
      </c>
      <c r="J11" s="120">
        <v>69839</v>
      </c>
      <c r="K11" s="121"/>
      <c r="L11" s="21">
        <v>49920</v>
      </c>
      <c r="M11" s="21">
        <v>49920</v>
      </c>
      <c r="N11" s="21">
        <v>49920</v>
      </c>
      <c r="O11" s="21">
        <v>74589</v>
      </c>
      <c r="P11" s="21">
        <f>+N11-J11</f>
        <v>-19919</v>
      </c>
      <c r="Q11" s="21">
        <f>+N11-O11</f>
        <v>-24669</v>
      </c>
    </row>
    <row r="12" spans="1:17" ht="13.8" x14ac:dyDescent="0.25">
      <c r="A12" s="50" t="s">
        <v>304</v>
      </c>
      <c r="B12" s="19" t="s">
        <v>39</v>
      </c>
      <c r="C12" s="20" t="s">
        <v>40</v>
      </c>
      <c r="D12" s="21">
        <v>179785</v>
      </c>
      <c r="E12" s="21">
        <v>200536.67</v>
      </c>
      <c r="F12" s="119">
        <v>185326</v>
      </c>
      <c r="G12" s="119">
        <v>155268.04999999999</v>
      </c>
      <c r="H12" s="119">
        <v>188720</v>
      </c>
      <c r="I12" s="119">
        <v>156608.04</v>
      </c>
      <c r="J12" s="120">
        <v>190160</v>
      </c>
      <c r="K12" s="121"/>
      <c r="L12" s="21">
        <v>217038</v>
      </c>
      <c r="M12" s="21">
        <v>217038</v>
      </c>
      <c r="N12" s="21">
        <v>217038</v>
      </c>
      <c r="O12" s="21">
        <v>217038</v>
      </c>
      <c r="P12" s="21">
        <f>+N12-J12</f>
        <v>26878</v>
      </c>
      <c r="Q12" s="21">
        <f>+N12-O12</f>
        <v>0</v>
      </c>
    </row>
    <row r="13" spans="1:17" ht="13.8" x14ac:dyDescent="0.25">
      <c r="A13" s="50" t="s">
        <v>304</v>
      </c>
      <c r="B13" s="19" t="s">
        <v>305</v>
      </c>
      <c r="C13" s="20" t="s">
        <v>306</v>
      </c>
      <c r="D13" s="21">
        <v>157027</v>
      </c>
      <c r="E13" s="21">
        <v>151109.4</v>
      </c>
      <c r="F13" s="119">
        <v>157027</v>
      </c>
      <c r="G13" s="119">
        <v>106529.58</v>
      </c>
      <c r="H13" s="119">
        <v>157027</v>
      </c>
      <c r="I13" s="119">
        <v>104841.11</v>
      </c>
      <c r="J13" s="120">
        <v>157027</v>
      </c>
      <c r="K13" s="121"/>
      <c r="L13" s="21">
        <v>157027</v>
      </c>
      <c r="M13" s="21">
        <v>157027</v>
      </c>
      <c r="N13" s="21">
        <v>157027</v>
      </c>
      <c r="O13" s="21">
        <v>157027</v>
      </c>
      <c r="P13" s="21">
        <f>+N13-J13</f>
        <v>0</v>
      </c>
      <c r="Q13" s="21">
        <f>+N13-O13</f>
        <v>0</v>
      </c>
    </row>
    <row r="14" spans="1:17" ht="13.8" x14ac:dyDescent="0.25">
      <c r="A14" s="177" t="s">
        <v>74</v>
      </c>
      <c r="B14" s="177"/>
      <c r="C14" s="177"/>
      <c r="D14" s="24">
        <f t="shared" ref="D14:J14" si="0">SUM(D10:D13)</f>
        <v>1581250</v>
      </c>
      <c r="E14" s="24">
        <f t="shared" si="0"/>
        <v>1453895.67</v>
      </c>
      <c r="F14" s="72">
        <f t="shared" si="0"/>
        <v>1631812</v>
      </c>
      <c r="G14" s="72">
        <f t="shared" si="0"/>
        <v>1322692.7500000002</v>
      </c>
      <c r="H14" s="72">
        <f t="shared" si="0"/>
        <v>1678392</v>
      </c>
      <c r="I14" s="72">
        <f t="shared" si="0"/>
        <v>1373973.2600000002</v>
      </c>
      <c r="J14" s="122">
        <f t="shared" si="0"/>
        <v>1713277</v>
      </c>
      <c r="K14" s="123"/>
      <c r="L14" s="24">
        <f t="shared" ref="L14:Q14" si="1">SUM(L10:L13)</f>
        <v>1962481</v>
      </c>
      <c r="M14" s="72">
        <f t="shared" si="1"/>
        <v>1962481</v>
      </c>
      <c r="N14" s="72">
        <f t="shared" si="1"/>
        <v>1962481</v>
      </c>
      <c r="O14" s="24">
        <f t="shared" si="1"/>
        <v>1956314</v>
      </c>
      <c r="P14" s="24">
        <f t="shared" si="1"/>
        <v>249204</v>
      </c>
      <c r="Q14" s="24">
        <f t="shared" si="1"/>
        <v>6167</v>
      </c>
    </row>
    <row r="15" spans="1:17" ht="13.8" x14ac:dyDescent="0.25">
      <c r="A15" s="175" t="s">
        <v>14</v>
      </c>
      <c r="B15" s="175"/>
      <c r="C15" s="175"/>
      <c r="D15" s="30"/>
      <c r="E15" s="27"/>
      <c r="F15" s="124"/>
      <c r="G15" s="124"/>
      <c r="H15" s="124"/>
      <c r="I15" s="124"/>
      <c r="J15" s="30"/>
      <c r="K15" s="125"/>
      <c r="L15" s="30"/>
      <c r="M15" s="124"/>
      <c r="N15" s="124"/>
      <c r="O15" s="30"/>
      <c r="P15" s="30"/>
      <c r="Q15" s="30"/>
    </row>
    <row r="16" spans="1:17" ht="13.8" x14ac:dyDescent="0.25">
      <c r="A16" s="50" t="s">
        <v>304</v>
      </c>
      <c r="B16" s="19" t="s">
        <v>41</v>
      </c>
      <c r="C16" s="20" t="s">
        <v>42</v>
      </c>
      <c r="D16" s="21">
        <v>14863</v>
      </c>
      <c r="E16" s="21">
        <v>12161.71</v>
      </c>
      <c r="F16" s="119">
        <v>16471</v>
      </c>
      <c r="G16" s="119">
        <v>13253.77</v>
      </c>
      <c r="H16" s="119">
        <v>14954</v>
      </c>
      <c r="I16" s="119">
        <v>9998.59</v>
      </c>
      <c r="J16" s="120">
        <v>9000</v>
      </c>
      <c r="K16" s="121"/>
      <c r="L16" s="21">
        <v>12292</v>
      </c>
      <c r="M16" s="21">
        <v>12292</v>
      </c>
      <c r="N16" s="21">
        <v>12292</v>
      </c>
      <c r="O16" s="21">
        <v>11989</v>
      </c>
      <c r="P16" s="21">
        <f t="shared" ref="P16:P20" si="2">+N16-J16</f>
        <v>3292</v>
      </c>
      <c r="Q16" s="21">
        <f t="shared" ref="Q16:Q20" si="3">+N16-O16</f>
        <v>303</v>
      </c>
    </row>
    <row r="17" spans="1:17" ht="13.8" x14ac:dyDescent="0.25">
      <c r="A17" s="50" t="s">
        <v>304</v>
      </c>
      <c r="B17" s="19" t="s">
        <v>15</v>
      </c>
      <c r="C17" s="20" t="s">
        <v>16</v>
      </c>
      <c r="D17" s="21">
        <v>88303</v>
      </c>
      <c r="E17" s="21">
        <v>87385.17</v>
      </c>
      <c r="F17" s="119">
        <v>91518</v>
      </c>
      <c r="G17" s="119">
        <v>81132.28</v>
      </c>
      <c r="H17" s="119">
        <v>94325</v>
      </c>
      <c r="I17" s="119">
        <v>81388.09</v>
      </c>
      <c r="J17" s="120">
        <v>96490</v>
      </c>
      <c r="K17" s="121"/>
      <c r="L17" s="21">
        <v>121674</v>
      </c>
      <c r="M17" s="21">
        <v>121674</v>
      </c>
      <c r="N17" s="21">
        <v>121674</v>
      </c>
      <c r="O17" s="21">
        <v>121292</v>
      </c>
      <c r="P17" s="21">
        <f t="shared" si="2"/>
        <v>25184</v>
      </c>
      <c r="Q17" s="21">
        <f t="shared" si="3"/>
        <v>382</v>
      </c>
    </row>
    <row r="18" spans="1:17" ht="13.8" x14ac:dyDescent="0.25">
      <c r="A18" s="50" t="s">
        <v>304</v>
      </c>
      <c r="B18" s="19" t="s">
        <v>17</v>
      </c>
      <c r="C18" s="20" t="s">
        <v>18</v>
      </c>
      <c r="D18" s="21">
        <v>20652</v>
      </c>
      <c r="E18" s="21">
        <v>20437.03</v>
      </c>
      <c r="F18" s="119">
        <v>21385</v>
      </c>
      <c r="G18" s="119">
        <v>18974.63</v>
      </c>
      <c r="H18" s="119">
        <v>22060</v>
      </c>
      <c r="I18" s="119">
        <v>19034.43</v>
      </c>
      <c r="J18" s="120">
        <v>22568</v>
      </c>
      <c r="K18" s="121"/>
      <c r="L18" s="21">
        <v>28456</v>
      </c>
      <c r="M18" s="21">
        <v>28456</v>
      </c>
      <c r="N18" s="21">
        <v>28456</v>
      </c>
      <c r="O18" s="21">
        <v>28367</v>
      </c>
      <c r="P18" s="21">
        <f t="shared" si="2"/>
        <v>5888</v>
      </c>
      <c r="Q18" s="21">
        <f t="shared" si="3"/>
        <v>89</v>
      </c>
    </row>
    <row r="19" spans="1:17" ht="13.8" x14ac:dyDescent="0.25">
      <c r="A19" s="50" t="s">
        <v>304</v>
      </c>
      <c r="B19" s="19" t="s">
        <v>43</v>
      </c>
      <c r="C19" s="20" t="s">
        <v>44</v>
      </c>
      <c r="D19" s="21">
        <v>198094</v>
      </c>
      <c r="E19" s="21">
        <v>196247.91</v>
      </c>
      <c r="F19" s="119">
        <v>196973</v>
      </c>
      <c r="G19" s="119">
        <v>175718.86</v>
      </c>
      <c r="H19" s="119">
        <v>196392</v>
      </c>
      <c r="I19" s="119">
        <v>174543.73</v>
      </c>
      <c r="J19" s="120">
        <v>189520</v>
      </c>
      <c r="K19" s="121"/>
      <c r="L19" s="21">
        <v>243852</v>
      </c>
      <c r="M19" s="21">
        <v>243852</v>
      </c>
      <c r="N19" s="21">
        <v>243852</v>
      </c>
      <c r="O19" s="21">
        <v>239920</v>
      </c>
      <c r="P19" s="21">
        <f t="shared" si="2"/>
        <v>54332</v>
      </c>
      <c r="Q19" s="21">
        <f>+N19-O19</f>
        <v>3932</v>
      </c>
    </row>
    <row r="20" spans="1:17" ht="13.8" x14ac:dyDescent="0.25">
      <c r="A20" s="50" t="s">
        <v>304</v>
      </c>
      <c r="B20" s="19" t="s">
        <v>19</v>
      </c>
      <c r="C20" s="20" t="s">
        <v>20</v>
      </c>
      <c r="D20" s="21">
        <v>33047</v>
      </c>
      <c r="E20" s="21">
        <v>31500.79</v>
      </c>
      <c r="F20" s="119">
        <v>34995</v>
      </c>
      <c r="G20" s="119">
        <v>37287.440000000002</v>
      </c>
      <c r="H20" s="119">
        <v>41785</v>
      </c>
      <c r="I20" s="119">
        <v>41785.449999999997</v>
      </c>
      <c r="J20" s="120">
        <v>49371</v>
      </c>
      <c r="K20" s="121"/>
      <c r="L20" s="21">
        <v>48635</v>
      </c>
      <c r="M20" s="21">
        <v>48635</v>
      </c>
      <c r="N20" s="21">
        <v>48635</v>
      </c>
      <c r="O20" s="21">
        <v>48635</v>
      </c>
      <c r="P20" s="21">
        <f t="shared" si="2"/>
        <v>-736</v>
      </c>
      <c r="Q20" s="21">
        <f t="shared" si="3"/>
        <v>0</v>
      </c>
    </row>
    <row r="21" spans="1:17" ht="13.8" x14ac:dyDescent="0.25">
      <c r="A21" s="177" t="s">
        <v>75</v>
      </c>
      <c r="B21" s="177"/>
      <c r="C21" s="177"/>
      <c r="D21" s="24">
        <f t="shared" ref="D21:J21" si="4">SUM(D16:D20)</f>
        <v>354959</v>
      </c>
      <c r="E21" s="24">
        <f t="shared" si="4"/>
        <v>347732.61</v>
      </c>
      <c r="F21" s="24">
        <f t="shared" si="4"/>
        <v>361342</v>
      </c>
      <c r="G21" s="24">
        <f t="shared" si="4"/>
        <v>326366.98</v>
      </c>
      <c r="H21" s="24">
        <f t="shared" si="4"/>
        <v>369516</v>
      </c>
      <c r="I21" s="24">
        <f t="shared" si="4"/>
        <v>326750.28999999998</v>
      </c>
      <c r="J21" s="122">
        <f t="shared" si="4"/>
        <v>366949</v>
      </c>
      <c r="K21" s="26"/>
      <c r="L21" s="24">
        <f t="shared" ref="L21:Q21" si="5">SUM(L16:L20)</f>
        <v>454909</v>
      </c>
      <c r="M21" s="24">
        <f t="shared" si="5"/>
        <v>454909</v>
      </c>
      <c r="N21" s="24">
        <f t="shared" si="5"/>
        <v>454909</v>
      </c>
      <c r="O21" s="24">
        <f t="shared" si="5"/>
        <v>450203</v>
      </c>
      <c r="P21" s="24">
        <f t="shared" si="5"/>
        <v>87960</v>
      </c>
      <c r="Q21" s="24">
        <f t="shared" si="5"/>
        <v>4706</v>
      </c>
    </row>
    <row r="22" spans="1:17" ht="13.8" x14ac:dyDescent="0.25">
      <c r="A22" s="175" t="s">
        <v>21</v>
      </c>
      <c r="B22" s="175"/>
      <c r="C22" s="175"/>
      <c r="D22" s="30"/>
      <c r="E22" s="27"/>
      <c r="F22" s="124"/>
      <c r="G22" s="124"/>
      <c r="H22" s="124"/>
      <c r="I22" s="124"/>
      <c r="J22" s="30"/>
      <c r="K22" s="125"/>
      <c r="L22" s="30"/>
      <c r="M22" s="124"/>
      <c r="N22" s="124"/>
      <c r="O22" s="30"/>
      <c r="P22" s="30"/>
      <c r="Q22" s="30"/>
    </row>
    <row r="23" spans="1:17" ht="13.8" x14ac:dyDescent="0.25">
      <c r="A23" s="50" t="s">
        <v>304</v>
      </c>
      <c r="B23" s="19" t="s">
        <v>131</v>
      </c>
      <c r="C23" s="20" t="s">
        <v>132</v>
      </c>
      <c r="D23" s="21">
        <v>5000</v>
      </c>
      <c r="E23" s="21">
        <v>5565</v>
      </c>
      <c r="F23" s="119">
        <v>5000</v>
      </c>
      <c r="G23" s="119">
        <v>720</v>
      </c>
      <c r="H23" s="119">
        <v>5000</v>
      </c>
      <c r="I23" s="119">
        <v>235</v>
      </c>
      <c r="J23" s="120">
        <v>5000</v>
      </c>
      <c r="K23" s="121"/>
      <c r="L23" s="21">
        <v>5000</v>
      </c>
      <c r="M23" s="21">
        <v>5000</v>
      </c>
      <c r="N23" s="21">
        <v>5000</v>
      </c>
      <c r="O23" s="21">
        <v>5000</v>
      </c>
      <c r="P23" s="21">
        <f t="shared" ref="P23:P29" si="6">+N23-J23</f>
        <v>0</v>
      </c>
      <c r="Q23" s="21">
        <f t="shared" ref="Q23:Q29" si="7">+N23-O23</f>
        <v>0</v>
      </c>
    </row>
    <row r="24" spans="1:17" ht="13.8" x14ac:dyDescent="0.25">
      <c r="A24" s="50" t="s">
        <v>304</v>
      </c>
      <c r="B24" s="19" t="s">
        <v>307</v>
      </c>
      <c r="C24" s="20" t="s">
        <v>308</v>
      </c>
      <c r="D24" s="21">
        <v>0</v>
      </c>
      <c r="E24" s="21">
        <v>0</v>
      </c>
      <c r="F24" s="21">
        <v>0</v>
      </c>
      <c r="G24" s="21">
        <v>0</v>
      </c>
      <c r="H24" s="21">
        <v>0</v>
      </c>
      <c r="I24" s="21">
        <v>0</v>
      </c>
      <c r="J24" s="120">
        <v>8000</v>
      </c>
      <c r="K24" s="23"/>
      <c r="L24" s="21">
        <v>8000</v>
      </c>
      <c r="M24" s="21">
        <v>8000</v>
      </c>
      <c r="N24" s="21">
        <v>8000</v>
      </c>
      <c r="O24" s="21">
        <v>8000</v>
      </c>
      <c r="P24" s="21">
        <f t="shared" si="6"/>
        <v>0</v>
      </c>
      <c r="Q24" s="21">
        <f t="shared" si="7"/>
        <v>0</v>
      </c>
    </row>
    <row r="25" spans="1:17" ht="13.8" x14ac:dyDescent="0.25">
      <c r="A25" s="50" t="s">
        <v>304</v>
      </c>
      <c r="B25" s="19" t="s">
        <v>309</v>
      </c>
      <c r="C25" s="20" t="s">
        <v>310</v>
      </c>
      <c r="D25" s="21">
        <v>50000</v>
      </c>
      <c r="E25" s="21">
        <v>69874.100000000006</v>
      </c>
      <c r="F25" s="119">
        <v>96290</v>
      </c>
      <c r="G25" s="119">
        <v>96290</v>
      </c>
      <c r="H25" s="119">
        <v>96290</v>
      </c>
      <c r="I25" s="119">
        <v>96290</v>
      </c>
      <c r="J25" s="120">
        <v>96290</v>
      </c>
      <c r="K25" s="121"/>
      <c r="L25" s="21">
        <v>96290</v>
      </c>
      <c r="M25" s="21">
        <v>96290</v>
      </c>
      <c r="N25" s="21">
        <v>96290</v>
      </c>
      <c r="O25" s="21">
        <v>96290</v>
      </c>
      <c r="P25" s="21">
        <f t="shared" si="6"/>
        <v>0</v>
      </c>
      <c r="Q25" s="21">
        <f t="shared" si="7"/>
        <v>0</v>
      </c>
    </row>
    <row r="26" spans="1:17" ht="13.8" x14ac:dyDescent="0.25">
      <c r="A26" s="50" t="s">
        <v>304</v>
      </c>
      <c r="B26" s="19" t="s">
        <v>28</v>
      </c>
      <c r="C26" s="20" t="s">
        <v>29</v>
      </c>
      <c r="D26" s="21">
        <v>60000</v>
      </c>
      <c r="E26" s="21">
        <v>105215</v>
      </c>
      <c r="F26" s="119">
        <v>90000</v>
      </c>
      <c r="G26" s="119">
        <v>152398</v>
      </c>
      <c r="H26" s="119">
        <v>130000</v>
      </c>
      <c r="I26" s="119">
        <v>130250</v>
      </c>
      <c r="J26" s="120">
        <v>130000</v>
      </c>
      <c r="K26" s="121"/>
      <c r="L26" s="21">
        <v>130000</v>
      </c>
      <c r="M26" s="21">
        <v>130000</v>
      </c>
      <c r="N26" s="21">
        <v>130000</v>
      </c>
      <c r="O26" s="21">
        <v>130000</v>
      </c>
      <c r="P26" s="21">
        <f t="shared" si="6"/>
        <v>0</v>
      </c>
      <c r="Q26" s="21">
        <f t="shared" si="7"/>
        <v>0</v>
      </c>
    </row>
    <row r="27" spans="1:17" ht="13.8" x14ac:dyDescent="0.25">
      <c r="A27" s="50" t="s">
        <v>304</v>
      </c>
      <c r="B27" s="19" t="s">
        <v>311</v>
      </c>
      <c r="C27" s="20" t="s">
        <v>312</v>
      </c>
      <c r="D27" s="21">
        <v>0</v>
      </c>
      <c r="E27" s="21">
        <v>0</v>
      </c>
      <c r="F27" s="21">
        <v>0</v>
      </c>
      <c r="G27" s="21">
        <v>0</v>
      </c>
      <c r="H27" s="21">
        <v>0</v>
      </c>
      <c r="I27" s="21">
        <v>0</v>
      </c>
      <c r="J27" s="120">
        <v>64000</v>
      </c>
      <c r="K27" s="8"/>
      <c r="L27" s="21">
        <v>64000</v>
      </c>
      <c r="M27" s="21">
        <v>64000</v>
      </c>
      <c r="N27" s="21">
        <v>64000</v>
      </c>
      <c r="O27" s="21">
        <v>64000</v>
      </c>
      <c r="P27" s="21">
        <f t="shared" si="6"/>
        <v>0</v>
      </c>
      <c r="Q27" s="21">
        <f t="shared" si="7"/>
        <v>0</v>
      </c>
    </row>
    <row r="28" spans="1:17" ht="13.8" x14ac:dyDescent="0.25">
      <c r="A28" s="50" t="s">
        <v>304</v>
      </c>
      <c r="B28" s="19" t="s">
        <v>144</v>
      </c>
      <c r="C28" s="20" t="s">
        <v>145</v>
      </c>
      <c r="D28" s="21">
        <v>2500</v>
      </c>
      <c r="E28" s="21">
        <v>1232.27</v>
      </c>
      <c r="F28" s="119">
        <v>2500</v>
      </c>
      <c r="G28" s="119">
        <v>1309.55</v>
      </c>
      <c r="H28" s="119">
        <v>2500</v>
      </c>
      <c r="I28" s="119">
        <v>1333.56</v>
      </c>
      <c r="J28" s="120">
        <v>2500</v>
      </c>
      <c r="K28" s="121"/>
      <c r="L28" s="21">
        <v>2000</v>
      </c>
      <c r="M28" s="21">
        <v>2000</v>
      </c>
      <c r="N28" s="21">
        <v>2000</v>
      </c>
      <c r="O28" s="21">
        <v>2500</v>
      </c>
      <c r="P28" s="21">
        <f t="shared" si="6"/>
        <v>-500</v>
      </c>
      <c r="Q28" s="21">
        <f t="shared" si="7"/>
        <v>-500</v>
      </c>
    </row>
    <row r="29" spans="1:17" ht="13.8" x14ac:dyDescent="0.25">
      <c r="A29" s="50" t="s">
        <v>304</v>
      </c>
      <c r="B29" s="19" t="s">
        <v>111</v>
      </c>
      <c r="C29" s="20" t="s">
        <v>112</v>
      </c>
      <c r="D29" s="21">
        <v>1290</v>
      </c>
      <c r="E29" s="21">
        <v>385.93</v>
      </c>
      <c r="F29" s="119">
        <v>0</v>
      </c>
      <c r="G29" s="119">
        <v>0</v>
      </c>
      <c r="H29" s="119">
        <v>0</v>
      </c>
      <c r="I29" s="119">
        <v>0</v>
      </c>
      <c r="J29" s="120"/>
      <c r="K29" s="121"/>
      <c r="L29" s="21">
        <v>0</v>
      </c>
      <c r="M29" s="21">
        <v>0</v>
      </c>
      <c r="N29" s="21">
        <v>0</v>
      </c>
      <c r="O29" s="21">
        <v>0</v>
      </c>
      <c r="P29" s="21">
        <f t="shared" si="6"/>
        <v>0</v>
      </c>
      <c r="Q29" s="21">
        <f t="shared" si="7"/>
        <v>0</v>
      </c>
    </row>
    <row r="30" spans="1:17" ht="13.8" x14ac:dyDescent="0.25">
      <c r="A30" s="177" t="s">
        <v>76</v>
      </c>
      <c r="B30" s="177"/>
      <c r="C30" s="177"/>
      <c r="D30" s="24">
        <f t="shared" ref="D30:I30" si="8">SUM(D23:D29)</f>
        <v>118790</v>
      </c>
      <c r="E30" s="24">
        <f t="shared" si="8"/>
        <v>182272.3</v>
      </c>
      <c r="F30" s="72">
        <f t="shared" si="8"/>
        <v>193790</v>
      </c>
      <c r="G30" s="72">
        <f t="shared" si="8"/>
        <v>250717.55</v>
      </c>
      <c r="H30" s="72">
        <f t="shared" si="8"/>
        <v>233790</v>
      </c>
      <c r="I30" s="72">
        <f t="shared" si="8"/>
        <v>228108.56</v>
      </c>
      <c r="J30" s="122">
        <f>SUM(J23:J28)</f>
        <v>305790</v>
      </c>
      <c r="K30" s="123"/>
      <c r="L30" s="24">
        <f>SUM(L23:L29)</f>
        <v>305290</v>
      </c>
      <c r="M30" s="72">
        <f t="shared" ref="M30:N30" si="9">SUM(M23:M29)</f>
        <v>305290</v>
      </c>
      <c r="N30" s="72">
        <f t="shared" si="9"/>
        <v>305290</v>
      </c>
      <c r="O30" s="24">
        <f>SUM(O23:O29)</f>
        <v>305790</v>
      </c>
      <c r="P30" s="24">
        <f t="shared" ref="P30:Q30" si="10">SUM(P23:P29)</f>
        <v>-500</v>
      </c>
      <c r="Q30" s="24">
        <f t="shared" si="10"/>
        <v>-500</v>
      </c>
    </row>
    <row r="31" spans="1:17" ht="13.8" x14ac:dyDescent="0.25">
      <c r="A31" s="175" t="s">
        <v>133</v>
      </c>
      <c r="B31" s="175"/>
      <c r="C31" s="175"/>
      <c r="D31" s="30"/>
      <c r="E31" s="27"/>
      <c r="F31" s="124"/>
      <c r="G31" s="124"/>
      <c r="H31" s="124"/>
      <c r="I31" s="124"/>
      <c r="J31" s="30"/>
      <c r="K31" s="125"/>
      <c r="L31" s="30"/>
      <c r="M31" s="124"/>
      <c r="N31" s="124"/>
      <c r="O31" s="30"/>
      <c r="P31" s="30"/>
      <c r="Q31" s="30"/>
    </row>
    <row r="32" spans="1:17" ht="13.8" x14ac:dyDescent="0.25">
      <c r="A32" s="50" t="s">
        <v>304</v>
      </c>
      <c r="B32" s="19" t="s">
        <v>160</v>
      </c>
      <c r="C32" s="20" t="s">
        <v>161</v>
      </c>
      <c r="D32" s="21">
        <v>8000</v>
      </c>
      <c r="E32" s="21">
        <v>10273.969999999999</v>
      </c>
      <c r="F32" s="119">
        <v>8800</v>
      </c>
      <c r="G32" s="119">
        <v>12047.25</v>
      </c>
      <c r="H32" s="119">
        <v>8800</v>
      </c>
      <c r="I32" s="119">
        <v>9927.4599999999991</v>
      </c>
      <c r="J32" s="120">
        <v>10950</v>
      </c>
      <c r="K32" s="121"/>
      <c r="L32" s="21">
        <v>10950</v>
      </c>
      <c r="M32" s="21">
        <v>10950</v>
      </c>
      <c r="N32" s="21">
        <v>10950</v>
      </c>
      <c r="O32" s="21">
        <v>10950</v>
      </c>
      <c r="P32" s="21">
        <f>+N32-J32</f>
        <v>0</v>
      </c>
      <c r="Q32" s="21">
        <f>+N32-O32</f>
        <v>0</v>
      </c>
    </row>
    <row r="33" spans="1:17" ht="13.8" x14ac:dyDescent="0.25">
      <c r="A33" s="50" t="s">
        <v>304</v>
      </c>
      <c r="B33" s="19" t="s">
        <v>134</v>
      </c>
      <c r="C33" s="20" t="s">
        <v>135</v>
      </c>
      <c r="D33" s="21">
        <v>15200</v>
      </c>
      <c r="E33" s="21">
        <v>14121.23</v>
      </c>
      <c r="F33" s="119">
        <v>15200</v>
      </c>
      <c r="G33" s="119">
        <v>12384.27</v>
      </c>
      <c r="H33" s="119">
        <v>15200</v>
      </c>
      <c r="I33" s="119">
        <v>12134.81</v>
      </c>
      <c r="J33" s="120">
        <v>15200</v>
      </c>
      <c r="K33" s="121"/>
      <c r="L33" s="21">
        <v>15400</v>
      </c>
      <c r="M33" s="21">
        <v>15400</v>
      </c>
      <c r="N33" s="21">
        <v>15400</v>
      </c>
      <c r="O33" s="21">
        <v>15200</v>
      </c>
      <c r="P33" s="21">
        <f>+N33-J33</f>
        <v>200</v>
      </c>
      <c r="Q33" s="21">
        <f>+N33-O33</f>
        <v>200</v>
      </c>
    </row>
    <row r="34" spans="1:17" ht="13.8" x14ac:dyDescent="0.25">
      <c r="A34" s="177" t="s">
        <v>136</v>
      </c>
      <c r="B34" s="177"/>
      <c r="C34" s="177"/>
      <c r="D34" s="24">
        <f t="shared" ref="D34:J34" si="11">SUM(D32:D33)</f>
        <v>23200</v>
      </c>
      <c r="E34" s="24">
        <f t="shared" si="11"/>
        <v>24395.199999999997</v>
      </c>
      <c r="F34" s="72">
        <f t="shared" si="11"/>
        <v>24000</v>
      </c>
      <c r="G34" s="72">
        <f t="shared" si="11"/>
        <v>24431.52</v>
      </c>
      <c r="H34" s="72">
        <f t="shared" si="11"/>
        <v>24000</v>
      </c>
      <c r="I34" s="72">
        <f t="shared" si="11"/>
        <v>22062.269999999997</v>
      </c>
      <c r="J34" s="122">
        <f t="shared" si="11"/>
        <v>26150</v>
      </c>
      <c r="K34" s="123"/>
      <c r="L34" s="24">
        <f t="shared" ref="L34:Q34" si="12">SUM(L32:L33)</f>
        <v>26350</v>
      </c>
      <c r="M34" s="72">
        <f t="shared" si="12"/>
        <v>26350</v>
      </c>
      <c r="N34" s="72">
        <f t="shared" si="12"/>
        <v>26350</v>
      </c>
      <c r="O34" s="24">
        <f t="shared" si="12"/>
        <v>26150</v>
      </c>
      <c r="P34" s="24">
        <f t="shared" si="12"/>
        <v>200</v>
      </c>
      <c r="Q34" s="24">
        <f t="shared" si="12"/>
        <v>200</v>
      </c>
    </row>
    <row r="35" spans="1:17" ht="13.8" x14ac:dyDescent="0.25">
      <c r="A35" s="175" t="s">
        <v>45</v>
      </c>
      <c r="B35" s="175"/>
      <c r="C35" s="175"/>
      <c r="D35" s="30"/>
      <c r="E35" s="27"/>
      <c r="F35" s="124"/>
      <c r="G35" s="124"/>
      <c r="H35" s="124"/>
      <c r="I35" s="124"/>
      <c r="J35" s="30"/>
      <c r="K35" s="125"/>
      <c r="L35" s="30"/>
      <c r="M35" s="124"/>
      <c r="N35" s="124"/>
      <c r="O35" s="30"/>
      <c r="P35" s="30"/>
      <c r="Q35" s="30"/>
    </row>
    <row r="36" spans="1:17" ht="13.8" x14ac:dyDescent="0.25">
      <c r="A36" s="50" t="s">
        <v>304</v>
      </c>
      <c r="B36" s="19" t="s">
        <v>22</v>
      </c>
      <c r="C36" s="20" t="s">
        <v>23</v>
      </c>
      <c r="D36" s="21">
        <v>1500</v>
      </c>
      <c r="E36" s="21">
        <v>1800.57</v>
      </c>
      <c r="F36" s="119">
        <v>1500</v>
      </c>
      <c r="G36" s="119">
        <v>2036</v>
      </c>
      <c r="H36" s="119">
        <v>1500</v>
      </c>
      <c r="I36" s="119">
        <v>3640.8</v>
      </c>
      <c r="J36" s="120">
        <v>1500</v>
      </c>
      <c r="K36" s="121"/>
      <c r="L36" s="21">
        <v>3000</v>
      </c>
      <c r="M36" s="21">
        <v>3000</v>
      </c>
      <c r="N36" s="21">
        <v>3000</v>
      </c>
      <c r="O36" s="21">
        <v>1500</v>
      </c>
      <c r="P36" s="21">
        <f>+N36-J36</f>
        <v>1500</v>
      </c>
      <c r="Q36" s="21">
        <f>+N36-O36</f>
        <v>1500</v>
      </c>
    </row>
    <row r="37" spans="1:17" ht="13.8" x14ac:dyDescent="0.25">
      <c r="A37" s="50" t="s">
        <v>304</v>
      </c>
      <c r="B37" s="19" t="s">
        <v>46</v>
      </c>
      <c r="C37" s="20" t="s">
        <v>47</v>
      </c>
      <c r="D37" s="21">
        <v>1100</v>
      </c>
      <c r="E37" s="21">
        <v>966.25</v>
      </c>
      <c r="F37" s="119">
        <v>1100</v>
      </c>
      <c r="G37" s="119">
        <v>536</v>
      </c>
      <c r="H37" s="119">
        <v>1100</v>
      </c>
      <c r="I37" s="119">
        <v>601</v>
      </c>
      <c r="J37" s="120">
        <v>1100</v>
      </c>
      <c r="K37" s="121"/>
      <c r="L37" s="21">
        <v>5000</v>
      </c>
      <c r="M37" s="21">
        <v>5000</v>
      </c>
      <c r="N37" s="21">
        <v>5000</v>
      </c>
      <c r="O37" s="21">
        <v>4550</v>
      </c>
      <c r="P37" s="21">
        <f>+N37-J37</f>
        <v>3900</v>
      </c>
      <c r="Q37" s="21">
        <f>+N37-O37</f>
        <v>450</v>
      </c>
    </row>
    <row r="38" spans="1:17" ht="13.8" x14ac:dyDescent="0.25">
      <c r="A38" s="50" t="s">
        <v>304</v>
      </c>
      <c r="B38" s="19" t="s">
        <v>26</v>
      </c>
      <c r="C38" s="20" t="s">
        <v>27</v>
      </c>
      <c r="D38" s="21">
        <v>500</v>
      </c>
      <c r="E38" s="21">
        <v>0</v>
      </c>
      <c r="F38" s="119">
        <v>500</v>
      </c>
      <c r="G38" s="119">
        <v>0</v>
      </c>
      <c r="H38" s="119">
        <v>500</v>
      </c>
      <c r="I38" s="119">
        <v>0</v>
      </c>
      <c r="J38" s="120">
        <v>500</v>
      </c>
      <c r="K38" s="121"/>
      <c r="L38" s="21">
        <v>500</v>
      </c>
      <c r="M38" s="21">
        <v>500</v>
      </c>
      <c r="N38" s="21">
        <v>500</v>
      </c>
      <c r="O38" s="21">
        <v>500</v>
      </c>
      <c r="P38" s="21">
        <f>+N38-J38</f>
        <v>0</v>
      </c>
      <c r="Q38" s="21">
        <f>+N38-O38</f>
        <v>0</v>
      </c>
    </row>
    <row r="39" spans="1:17" ht="13.8" x14ac:dyDescent="0.25">
      <c r="A39" s="177" t="s">
        <v>85</v>
      </c>
      <c r="B39" s="177"/>
      <c r="C39" s="177"/>
      <c r="D39" s="24">
        <f t="shared" ref="D39:I39" si="13">SUM(D36:D38)</f>
        <v>3100</v>
      </c>
      <c r="E39" s="24">
        <f t="shared" si="13"/>
        <v>2766.8199999999997</v>
      </c>
      <c r="F39" s="72">
        <f t="shared" si="13"/>
        <v>3100</v>
      </c>
      <c r="G39" s="72">
        <f t="shared" si="13"/>
        <v>2572</v>
      </c>
      <c r="H39" s="72">
        <f t="shared" si="13"/>
        <v>3100</v>
      </c>
      <c r="I39" s="72">
        <f t="shared" si="13"/>
        <v>4241.8</v>
      </c>
      <c r="J39" s="122">
        <f>SUM(J36:J38)</f>
        <v>3100</v>
      </c>
      <c r="K39" s="123"/>
      <c r="L39" s="24">
        <f>SUM(L36:L38)</f>
        <v>8500</v>
      </c>
      <c r="M39" s="72">
        <f t="shared" ref="M39:N39" si="14">SUM(M36:M38)</f>
        <v>8500</v>
      </c>
      <c r="N39" s="72">
        <f t="shared" si="14"/>
        <v>8500</v>
      </c>
      <c r="O39" s="24">
        <f>SUM(O36:O38)</f>
        <v>6550</v>
      </c>
      <c r="P39" s="24">
        <f t="shared" ref="P39:Q39" si="15">SUM(P36:P38)</f>
        <v>5400</v>
      </c>
      <c r="Q39" s="24">
        <f t="shared" si="15"/>
        <v>1950</v>
      </c>
    </row>
    <row r="40" spans="1:17" ht="13.8" x14ac:dyDescent="0.25">
      <c r="A40" s="175" t="s">
        <v>30</v>
      </c>
      <c r="B40" s="175"/>
      <c r="C40" s="175"/>
      <c r="D40" s="30"/>
      <c r="E40" s="27"/>
      <c r="F40" s="124"/>
      <c r="G40" s="124"/>
      <c r="H40" s="124"/>
      <c r="I40" s="124"/>
      <c r="J40" s="30"/>
      <c r="K40" s="125"/>
      <c r="L40" s="30"/>
      <c r="M40" s="124"/>
      <c r="N40" s="124"/>
      <c r="O40" s="30"/>
      <c r="P40" s="30"/>
      <c r="Q40" s="30"/>
    </row>
    <row r="41" spans="1:17" ht="13.8" x14ac:dyDescent="0.25">
      <c r="A41" s="50" t="s">
        <v>304</v>
      </c>
      <c r="B41" s="19" t="s">
        <v>51</v>
      </c>
      <c r="C41" s="20" t="s">
        <v>48</v>
      </c>
      <c r="D41" s="21">
        <v>2000</v>
      </c>
      <c r="E41" s="21">
        <v>1577.31</v>
      </c>
      <c r="F41" s="119">
        <v>2000</v>
      </c>
      <c r="G41" s="119">
        <v>2223.15</v>
      </c>
      <c r="H41" s="119">
        <v>2000</v>
      </c>
      <c r="I41" s="119">
        <v>3791.71</v>
      </c>
      <c r="J41" s="120">
        <v>2000</v>
      </c>
      <c r="K41" s="121"/>
      <c r="L41" s="21">
        <v>4000</v>
      </c>
      <c r="M41" s="21">
        <v>4000</v>
      </c>
      <c r="N41" s="21">
        <v>4000</v>
      </c>
      <c r="O41" s="21">
        <v>2000</v>
      </c>
      <c r="P41" s="21">
        <f>+N41-J41</f>
        <v>2000</v>
      </c>
      <c r="Q41" s="21">
        <f>+N41-O41</f>
        <v>2000</v>
      </c>
    </row>
    <row r="42" spans="1:17" ht="13.8" x14ac:dyDescent="0.25">
      <c r="A42" s="50" t="s">
        <v>304</v>
      </c>
      <c r="B42" s="19" t="s">
        <v>52</v>
      </c>
      <c r="C42" s="20" t="s">
        <v>49</v>
      </c>
      <c r="D42" s="21">
        <v>350</v>
      </c>
      <c r="E42" s="21">
        <v>210.41</v>
      </c>
      <c r="F42" s="119">
        <v>350</v>
      </c>
      <c r="G42" s="119">
        <v>315.36</v>
      </c>
      <c r="H42" s="119">
        <v>350</v>
      </c>
      <c r="I42" s="119">
        <v>476.28</v>
      </c>
      <c r="J42" s="120">
        <v>350</v>
      </c>
      <c r="K42" s="121"/>
      <c r="L42" s="21">
        <v>475</v>
      </c>
      <c r="M42" s="21">
        <v>475</v>
      </c>
      <c r="N42" s="21">
        <v>475</v>
      </c>
      <c r="O42" s="21">
        <v>350</v>
      </c>
      <c r="P42" s="21">
        <f>+N42-J42</f>
        <v>125</v>
      </c>
      <c r="Q42" s="21">
        <f>+N42-O42</f>
        <v>125</v>
      </c>
    </row>
    <row r="43" spans="1:17" ht="13.8" x14ac:dyDescent="0.25">
      <c r="A43" s="50" t="s">
        <v>304</v>
      </c>
      <c r="B43" s="19" t="s">
        <v>137</v>
      </c>
      <c r="C43" s="20" t="s">
        <v>138</v>
      </c>
      <c r="D43" s="21">
        <v>50000</v>
      </c>
      <c r="E43" s="21">
        <v>112478.13</v>
      </c>
      <c r="F43" s="119">
        <v>100000</v>
      </c>
      <c r="G43" s="119">
        <v>84040.59</v>
      </c>
      <c r="H43" s="119">
        <v>100000</v>
      </c>
      <c r="I43" s="119">
        <v>138586.5</v>
      </c>
      <c r="J43" s="120">
        <v>100000</v>
      </c>
      <c r="K43" s="121"/>
      <c r="L43" s="21">
        <v>100000</v>
      </c>
      <c r="M43" s="21">
        <v>100000</v>
      </c>
      <c r="N43" s="21">
        <v>100000</v>
      </c>
      <c r="O43" s="21">
        <v>100000</v>
      </c>
      <c r="P43" s="21">
        <f>+N43-J43</f>
        <v>0</v>
      </c>
      <c r="Q43" s="21">
        <f>+N43-O43</f>
        <v>0</v>
      </c>
    </row>
    <row r="44" spans="1:17" ht="13.8" x14ac:dyDescent="0.25">
      <c r="A44" s="50" t="s">
        <v>304</v>
      </c>
      <c r="B44" s="19" t="s">
        <v>168</v>
      </c>
      <c r="C44" s="20" t="s">
        <v>169</v>
      </c>
      <c r="D44" s="21">
        <v>90000</v>
      </c>
      <c r="E44" s="21">
        <v>105610.21</v>
      </c>
      <c r="F44" s="119">
        <v>90000</v>
      </c>
      <c r="G44" s="119">
        <v>63533.7</v>
      </c>
      <c r="H44" s="119">
        <v>90000</v>
      </c>
      <c r="I44" s="119">
        <v>84327.75</v>
      </c>
      <c r="J44" s="120">
        <v>90000</v>
      </c>
      <c r="K44" s="121"/>
      <c r="L44" s="21">
        <v>90000</v>
      </c>
      <c r="M44" s="21">
        <v>90000</v>
      </c>
      <c r="N44" s="21">
        <v>90000</v>
      </c>
      <c r="O44" s="21">
        <v>90000</v>
      </c>
      <c r="P44" s="21">
        <f>+N44-J44</f>
        <v>0</v>
      </c>
      <c r="Q44" s="21">
        <f>+N44-O44</f>
        <v>0</v>
      </c>
    </row>
    <row r="45" spans="1:17" ht="13.8" x14ac:dyDescent="0.25">
      <c r="A45" s="50" t="s">
        <v>304</v>
      </c>
      <c r="B45" s="19" t="s">
        <v>33</v>
      </c>
      <c r="C45" s="20" t="s">
        <v>34</v>
      </c>
      <c r="D45" s="21">
        <v>27000</v>
      </c>
      <c r="E45" s="21">
        <v>54460.13</v>
      </c>
      <c r="F45" s="119">
        <v>27000</v>
      </c>
      <c r="G45" s="119">
        <v>32584.240000000002</v>
      </c>
      <c r="H45" s="119">
        <v>27000</v>
      </c>
      <c r="I45" s="119">
        <v>30294.12</v>
      </c>
      <c r="J45" s="120">
        <v>31000</v>
      </c>
      <c r="K45" s="121"/>
      <c r="L45" s="21">
        <v>31000</v>
      </c>
      <c r="M45" s="21">
        <v>31000</v>
      </c>
      <c r="N45" s="21">
        <v>31000</v>
      </c>
      <c r="O45" s="21">
        <v>31000</v>
      </c>
      <c r="P45" s="21">
        <f>+N45-J45</f>
        <v>0</v>
      </c>
      <c r="Q45" s="21">
        <f>+N45-O45</f>
        <v>0</v>
      </c>
    </row>
    <row r="46" spans="1:17" ht="13.8" x14ac:dyDescent="0.25">
      <c r="A46" s="177" t="s">
        <v>77</v>
      </c>
      <c r="B46" s="177"/>
      <c r="C46" s="177"/>
      <c r="D46" s="24">
        <f t="shared" ref="D46:I46" si="16">SUM(D41:D45)</f>
        <v>169350</v>
      </c>
      <c r="E46" s="24">
        <f t="shared" si="16"/>
        <v>274336.19</v>
      </c>
      <c r="F46" s="72">
        <f t="shared" si="16"/>
        <v>219350</v>
      </c>
      <c r="G46" s="72">
        <f t="shared" si="16"/>
        <v>182697.03999999998</v>
      </c>
      <c r="H46" s="72">
        <f t="shared" si="16"/>
        <v>219350</v>
      </c>
      <c r="I46" s="72">
        <f t="shared" si="16"/>
        <v>257476.36</v>
      </c>
      <c r="J46" s="122">
        <f>SUM(J41:J45)</f>
        <v>223350</v>
      </c>
      <c r="K46" s="123"/>
      <c r="L46" s="24">
        <f>SUM(L41:L45)</f>
        <v>225475</v>
      </c>
      <c r="M46" s="72">
        <f t="shared" ref="M46:N46" si="17">SUM(M41:M45)</f>
        <v>225475</v>
      </c>
      <c r="N46" s="72">
        <f t="shared" si="17"/>
        <v>225475</v>
      </c>
      <c r="O46" s="24">
        <f>SUM(O41:O45)</f>
        <v>223350</v>
      </c>
      <c r="P46" s="24">
        <f t="shared" ref="P46:Q46" si="18">SUM(P41:P45)</f>
        <v>2125</v>
      </c>
      <c r="Q46" s="24">
        <f t="shared" si="18"/>
        <v>2125</v>
      </c>
    </row>
    <row r="47" spans="1:17" ht="15.75" customHeight="1" x14ac:dyDescent="0.25">
      <c r="A47" s="175" t="s">
        <v>54</v>
      </c>
      <c r="B47" s="175"/>
      <c r="C47" s="175"/>
      <c r="D47" s="30"/>
      <c r="E47" s="27"/>
      <c r="F47" s="124"/>
      <c r="G47" s="124"/>
      <c r="H47" s="124"/>
      <c r="I47" s="124"/>
      <c r="J47" s="30"/>
      <c r="K47" s="125"/>
      <c r="L47" s="30"/>
      <c r="M47" s="124"/>
      <c r="N47" s="124"/>
      <c r="O47" s="30"/>
      <c r="P47" s="30"/>
      <c r="Q47" s="30"/>
    </row>
    <row r="48" spans="1:17" ht="13.8" x14ac:dyDescent="0.25">
      <c r="A48" s="50" t="s">
        <v>304</v>
      </c>
      <c r="B48" s="19" t="s">
        <v>114</v>
      </c>
      <c r="C48" s="20" t="s">
        <v>115</v>
      </c>
      <c r="D48" s="21"/>
      <c r="E48" s="21"/>
      <c r="F48" s="21"/>
      <c r="G48" s="21"/>
      <c r="H48" s="21"/>
      <c r="I48" s="21">
        <v>15619.5</v>
      </c>
      <c r="J48" s="30"/>
      <c r="K48" s="23"/>
      <c r="L48" s="120">
        <f>26900+30565</f>
        <v>57465</v>
      </c>
      <c r="M48" s="120">
        <v>47465</v>
      </c>
      <c r="N48" s="120">
        <v>47465</v>
      </c>
      <c r="O48" s="120">
        <v>0</v>
      </c>
      <c r="P48" s="21">
        <f>+N48-J48</f>
        <v>47465</v>
      </c>
      <c r="Q48" s="21">
        <f>+N48-O48</f>
        <v>47465</v>
      </c>
    </row>
    <row r="49" spans="1:17" ht="13.8" x14ac:dyDescent="0.25">
      <c r="A49" s="50" t="s">
        <v>304</v>
      </c>
      <c r="B49" s="19" t="s">
        <v>256</v>
      </c>
      <c r="C49" s="20" t="s">
        <v>257</v>
      </c>
      <c r="D49" s="21">
        <v>183797</v>
      </c>
      <c r="E49" s="21">
        <v>183797</v>
      </c>
      <c r="F49" s="119">
        <v>301674</v>
      </c>
      <c r="G49" s="119">
        <v>254883.89</v>
      </c>
      <c r="H49" s="119">
        <v>391674</v>
      </c>
      <c r="I49" s="119">
        <v>364116.38</v>
      </c>
      <c r="J49" s="120">
        <v>462281</v>
      </c>
      <c r="K49" s="121"/>
      <c r="L49" s="21">
        <v>462281</v>
      </c>
      <c r="M49" s="21">
        <v>462281</v>
      </c>
      <c r="N49" s="21">
        <v>462281</v>
      </c>
      <c r="O49" s="21">
        <v>462281</v>
      </c>
      <c r="P49" s="21">
        <f>+N49-J49</f>
        <v>0</v>
      </c>
      <c r="Q49" s="21">
        <f>+N49-O49</f>
        <v>0</v>
      </c>
    </row>
    <row r="50" spans="1:17" ht="13.8" x14ac:dyDescent="0.25">
      <c r="A50" s="177" t="s">
        <v>86</v>
      </c>
      <c r="B50" s="177"/>
      <c r="C50" s="177"/>
      <c r="D50" s="24">
        <f t="shared" ref="D50:H50" si="19">SUM(D49:D49)</f>
        <v>183797</v>
      </c>
      <c r="E50" s="24">
        <f t="shared" si="19"/>
        <v>183797</v>
      </c>
      <c r="F50" s="72">
        <f t="shared" si="19"/>
        <v>301674</v>
      </c>
      <c r="G50" s="72">
        <f t="shared" si="19"/>
        <v>254883.89</v>
      </c>
      <c r="H50" s="72">
        <f t="shared" si="19"/>
        <v>391674</v>
      </c>
      <c r="I50" s="72">
        <f>SUM(I48:I49)</f>
        <v>379735.88</v>
      </c>
      <c r="J50" s="122">
        <f>SUM(J49:J49)</f>
        <v>462281</v>
      </c>
      <c r="K50" s="123"/>
      <c r="L50" s="24">
        <f>SUM(L48:L49)</f>
        <v>519746</v>
      </c>
      <c r="M50" s="24">
        <f t="shared" ref="M50:Q50" si="20">SUM(M48:M49)</f>
        <v>509746</v>
      </c>
      <c r="N50" s="24">
        <f t="shared" si="20"/>
        <v>509746</v>
      </c>
      <c r="O50" s="24">
        <f t="shared" si="20"/>
        <v>462281</v>
      </c>
      <c r="P50" s="24">
        <f t="shared" si="20"/>
        <v>47465</v>
      </c>
      <c r="Q50" s="24">
        <f t="shared" si="20"/>
        <v>47465</v>
      </c>
    </row>
    <row r="51" spans="1:17" ht="13.8" x14ac:dyDescent="0.25">
      <c r="A51" s="178" t="s">
        <v>231</v>
      </c>
      <c r="B51" s="178"/>
      <c r="C51" s="178"/>
      <c r="D51" s="40">
        <f t="shared" ref="D51:J51" si="21">D14+D21+D30+D34+D39+D46+D50</f>
        <v>2434446</v>
      </c>
      <c r="E51" s="40">
        <f t="shared" si="21"/>
        <v>2469195.79</v>
      </c>
      <c r="F51" s="75">
        <f t="shared" si="21"/>
        <v>2735068</v>
      </c>
      <c r="G51" s="75">
        <f t="shared" si="21"/>
        <v>2364361.7300000004</v>
      </c>
      <c r="H51" s="75">
        <f t="shared" si="21"/>
        <v>2919822</v>
      </c>
      <c r="I51" s="75">
        <f t="shared" si="21"/>
        <v>2592348.4200000004</v>
      </c>
      <c r="J51" s="126">
        <f t="shared" si="21"/>
        <v>3100897</v>
      </c>
      <c r="K51" s="123"/>
      <c r="L51" s="40">
        <f t="shared" ref="L51:Q51" si="22">L14+L21+L30+L34+L39+L46+L50</f>
        <v>3502751</v>
      </c>
      <c r="M51" s="75">
        <f t="shared" si="22"/>
        <v>3492751</v>
      </c>
      <c r="N51" s="75">
        <f t="shared" si="22"/>
        <v>3492751</v>
      </c>
      <c r="O51" s="40">
        <f t="shared" si="22"/>
        <v>3430638</v>
      </c>
      <c r="P51" s="40">
        <f t="shared" si="22"/>
        <v>391854</v>
      </c>
      <c r="Q51" s="40">
        <f t="shared" si="22"/>
        <v>62113</v>
      </c>
    </row>
    <row r="52" spans="1:17" ht="13.8" x14ac:dyDescent="0.25">
      <c r="A52" s="174" t="s">
        <v>313</v>
      </c>
      <c r="B52" s="174"/>
      <c r="C52" s="174"/>
      <c r="D52" s="30"/>
      <c r="E52" s="27"/>
      <c r="F52" s="124"/>
      <c r="G52" s="124"/>
      <c r="H52" s="124"/>
      <c r="I52" s="124"/>
      <c r="J52" s="30"/>
      <c r="K52" s="125"/>
      <c r="L52" s="124"/>
      <c r="M52" s="124"/>
      <c r="N52" s="124"/>
      <c r="O52" s="124"/>
      <c r="P52" s="30"/>
      <c r="Q52" s="30"/>
    </row>
    <row r="53" spans="1:17" ht="13.8" x14ac:dyDescent="0.25">
      <c r="A53" s="175" t="s">
        <v>21</v>
      </c>
      <c r="B53" s="175"/>
      <c r="C53" s="175"/>
      <c r="D53" s="30"/>
      <c r="E53" s="27"/>
      <c r="F53" s="124"/>
      <c r="G53" s="124"/>
      <c r="H53" s="124"/>
      <c r="I53" s="124"/>
      <c r="J53" s="30"/>
      <c r="K53" s="125"/>
      <c r="L53" s="124"/>
      <c r="M53" s="124"/>
      <c r="N53" s="124"/>
      <c r="O53" s="124"/>
      <c r="P53" s="30"/>
      <c r="Q53" s="30"/>
    </row>
    <row r="54" spans="1:17" ht="13.8" x14ac:dyDescent="0.25">
      <c r="A54" s="50" t="s">
        <v>314</v>
      </c>
      <c r="B54" s="19" t="s">
        <v>315</v>
      </c>
      <c r="C54" s="20" t="s">
        <v>316</v>
      </c>
      <c r="D54" s="21">
        <v>35000</v>
      </c>
      <c r="E54" s="21">
        <v>1495</v>
      </c>
      <c r="F54" s="119">
        <v>35000</v>
      </c>
      <c r="G54" s="119">
        <v>69345</v>
      </c>
      <c r="H54" s="119">
        <v>35000</v>
      </c>
      <c r="I54" s="119">
        <v>87365</v>
      </c>
      <c r="J54" s="120">
        <v>50000</v>
      </c>
      <c r="K54" s="121"/>
      <c r="L54" s="21">
        <v>83925</v>
      </c>
      <c r="M54" s="21">
        <v>83925</v>
      </c>
      <c r="N54" s="21">
        <v>83925</v>
      </c>
      <c r="O54" s="21">
        <v>50000</v>
      </c>
      <c r="P54" s="21">
        <f>+N54-J54</f>
        <v>33925</v>
      </c>
      <c r="Q54" s="21">
        <f>+N54-O54</f>
        <v>33925</v>
      </c>
    </row>
    <row r="55" spans="1:17" ht="13.8" x14ac:dyDescent="0.25">
      <c r="A55" s="177" t="s">
        <v>76</v>
      </c>
      <c r="B55" s="177"/>
      <c r="C55" s="177"/>
      <c r="D55" s="24">
        <f t="shared" ref="D55:G55" si="23">SUM(D54:D54)</f>
        <v>35000</v>
      </c>
      <c r="E55" s="24">
        <f t="shared" si="23"/>
        <v>1495</v>
      </c>
      <c r="F55" s="72">
        <f t="shared" si="23"/>
        <v>35000</v>
      </c>
      <c r="G55" s="72">
        <f t="shared" si="23"/>
        <v>69345</v>
      </c>
      <c r="H55" s="72">
        <f t="shared" ref="H55:I55" si="24">SUM(H54:H54)</f>
        <v>35000</v>
      </c>
      <c r="I55" s="72">
        <f t="shared" si="24"/>
        <v>87365</v>
      </c>
      <c r="J55" s="122">
        <f>SUM(J54:J54)</f>
        <v>50000</v>
      </c>
      <c r="K55" s="123"/>
      <c r="L55" s="24">
        <f>SUM(L54:L54)</f>
        <v>83925</v>
      </c>
      <c r="M55" s="72">
        <f t="shared" ref="M55:N55" si="25">SUM(M54:M54)</f>
        <v>83925</v>
      </c>
      <c r="N55" s="72">
        <f t="shared" si="25"/>
        <v>83925</v>
      </c>
      <c r="O55" s="24">
        <f>SUM(O54:O54)</f>
        <v>50000</v>
      </c>
      <c r="P55" s="24">
        <f t="shared" ref="P55:Q55" si="26">SUM(P54:P54)</f>
        <v>33925</v>
      </c>
      <c r="Q55" s="24">
        <f t="shared" si="26"/>
        <v>33925</v>
      </c>
    </row>
    <row r="56" spans="1:17" ht="13.8" x14ac:dyDescent="0.25">
      <c r="A56" s="175" t="s">
        <v>133</v>
      </c>
      <c r="B56" s="175"/>
      <c r="C56" s="175"/>
      <c r="D56" s="30"/>
      <c r="E56" s="27"/>
      <c r="F56" s="124"/>
      <c r="G56" s="124"/>
      <c r="H56" s="124"/>
      <c r="I56" s="124"/>
      <c r="J56" s="30"/>
      <c r="K56" s="125"/>
      <c r="L56" s="30"/>
      <c r="M56" s="124"/>
      <c r="N56" s="124"/>
      <c r="O56" s="30"/>
      <c r="P56" s="30"/>
      <c r="Q56" s="30"/>
    </row>
    <row r="57" spans="1:17" ht="13.8" x14ac:dyDescent="0.25">
      <c r="A57" s="50" t="s">
        <v>314</v>
      </c>
      <c r="B57" s="19" t="s">
        <v>317</v>
      </c>
      <c r="C57" s="20" t="s">
        <v>318</v>
      </c>
      <c r="D57" s="21">
        <v>541000</v>
      </c>
      <c r="E57" s="21">
        <v>474063.33</v>
      </c>
      <c r="F57" s="119">
        <v>541000</v>
      </c>
      <c r="G57" s="119">
        <v>547096.89</v>
      </c>
      <c r="H57" s="119">
        <v>541000</v>
      </c>
      <c r="I57" s="119">
        <v>590621.36</v>
      </c>
      <c r="J57" s="120">
        <v>660716</v>
      </c>
      <c r="K57" s="121"/>
      <c r="L57" s="21">
        <v>692000</v>
      </c>
      <c r="M57" s="21">
        <v>692000</v>
      </c>
      <c r="N57" s="21">
        <v>692000</v>
      </c>
      <c r="O57" s="21">
        <v>692000</v>
      </c>
      <c r="P57" s="21">
        <f>+N57-J57</f>
        <v>31284</v>
      </c>
      <c r="Q57" s="21">
        <f>+N57-O57</f>
        <v>0</v>
      </c>
    </row>
    <row r="58" spans="1:17" ht="13.8" x14ac:dyDescent="0.25">
      <c r="A58" s="50" t="s">
        <v>314</v>
      </c>
      <c r="B58" s="19" t="s">
        <v>319</v>
      </c>
      <c r="C58" s="20" t="s">
        <v>320</v>
      </c>
      <c r="D58" s="21">
        <v>40000</v>
      </c>
      <c r="E58" s="21">
        <v>24865.07</v>
      </c>
      <c r="F58" s="119">
        <v>25000</v>
      </c>
      <c r="G58" s="119">
        <v>21524.06</v>
      </c>
      <c r="H58" s="119">
        <v>25000</v>
      </c>
      <c r="I58" s="119">
        <v>21633.35</v>
      </c>
      <c r="J58" s="120">
        <v>25000</v>
      </c>
      <c r="K58" s="121"/>
      <c r="L58" s="21">
        <v>25000</v>
      </c>
      <c r="M58" s="21">
        <v>25000</v>
      </c>
      <c r="N58" s="21">
        <v>25000</v>
      </c>
      <c r="O58" s="21">
        <v>25000</v>
      </c>
      <c r="P58" s="21">
        <f>+N58-J58</f>
        <v>0</v>
      </c>
      <c r="Q58" s="21">
        <f>+N58-O58</f>
        <v>0</v>
      </c>
    </row>
    <row r="59" spans="1:17" ht="13.8" x14ac:dyDescent="0.25">
      <c r="A59" s="50" t="s">
        <v>314</v>
      </c>
      <c r="B59" s="19" t="s">
        <v>321</v>
      </c>
      <c r="C59" s="20" t="s">
        <v>322</v>
      </c>
      <c r="D59" s="21">
        <v>1792523</v>
      </c>
      <c r="E59" s="21">
        <v>1793363.94</v>
      </c>
      <c r="F59" s="119">
        <v>1226773</v>
      </c>
      <c r="G59" s="119">
        <v>1227670.32</v>
      </c>
      <c r="H59" s="119">
        <v>1000000</v>
      </c>
      <c r="I59" s="119">
        <v>1022896.06</v>
      </c>
      <c r="J59" s="120">
        <v>1000000</v>
      </c>
      <c r="K59" s="121"/>
      <c r="L59" s="21">
        <v>1000000</v>
      </c>
      <c r="M59" s="21">
        <v>1000000</v>
      </c>
      <c r="N59" s="21">
        <v>1000000</v>
      </c>
      <c r="O59" s="21">
        <v>1000000</v>
      </c>
      <c r="P59" s="21">
        <f>+N59-J59</f>
        <v>0</v>
      </c>
      <c r="Q59" s="21">
        <f>+N59-O59</f>
        <v>0</v>
      </c>
    </row>
    <row r="60" spans="1:17" ht="13.8" x14ac:dyDescent="0.25">
      <c r="A60" s="50" t="s">
        <v>314</v>
      </c>
      <c r="B60" s="19" t="s">
        <v>323</v>
      </c>
      <c r="C60" s="20" t="s">
        <v>324</v>
      </c>
      <c r="D60" s="21">
        <v>72700</v>
      </c>
      <c r="E60" s="21">
        <v>72700</v>
      </c>
      <c r="F60" s="119">
        <v>72700</v>
      </c>
      <c r="G60" s="119">
        <v>72700</v>
      </c>
      <c r="H60" s="119">
        <v>72700</v>
      </c>
      <c r="I60" s="119">
        <v>72700</v>
      </c>
      <c r="J60" s="120">
        <v>72700</v>
      </c>
      <c r="K60" s="121"/>
      <c r="L60" s="21">
        <v>72700</v>
      </c>
      <c r="M60" s="21">
        <v>72700</v>
      </c>
      <c r="N60" s="21">
        <v>72700</v>
      </c>
      <c r="O60" s="21">
        <v>72700</v>
      </c>
      <c r="P60" s="21">
        <f>+N60-J60</f>
        <v>0</v>
      </c>
      <c r="Q60" s="21">
        <f>+N60-O60</f>
        <v>0</v>
      </c>
    </row>
    <row r="61" spans="1:17" ht="13.8" x14ac:dyDescent="0.25">
      <c r="A61" s="177" t="s">
        <v>136</v>
      </c>
      <c r="B61" s="177"/>
      <c r="C61" s="177"/>
      <c r="D61" s="24">
        <f t="shared" ref="D61:I61" si="27">SUM(D57:D60)</f>
        <v>2446223</v>
      </c>
      <c r="E61" s="24">
        <f t="shared" si="27"/>
        <v>2364992.34</v>
      </c>
      <c r="F61" s="72">
        <f t="shared" si="27"/>
        <v>1865473</v>
      </c>
      <c r="G61" s="72">
        <f t="shared" si="27"/>
        <v>1868991.27</v>
      </c>
      <c r="H61" s="72">
        <f t="shared" si="27"/>
        <v>1638700</v>
      </c>
      <c r="I61" s="72">
        <f t="shared" si="27"/>
        <v>1707850.77</v>
      </c>
      <c r="J61" s="122">
        <f>SUM(J57:J60)</f>
        <v>1758416</v>
      </c>
      <c r="K61" s="123"/>
      <c r="L61" s="24">
        <f>SUM(L57:L60)</f>
        <v>1789700</v>
      </c>
      <c r="M61" s="72">
        <f t="shared" ref="M61:N61" si="28">SUM(M57:M60)</f>
        <v>1789700</v>
      </c>
      <c r="N61" s="72">
        <f t="shared" si="28"/>
        <v>1789700</v>
      </c>
      <c r="O61" s="24">
        <f>SUM(O57:O60)</f>
        <v>1789700</v>
      </c>
      <c r="P61" s="24">
        <f t="shared" ref="P61:Q61" si="29">SUM(P57:P60)</f>
        <v>31284</v>
      </c>
      <c r="Q61" s="24">
        <f t="shared" si="29"/>
        <v>0</v>
      </c>
    </row>
    <row r="62" spans="1:17" ht="13.8" x14ac:dyDescent="0.25">
      <c r="A62" s="175" t="s">
        <v>30</v>
      </c>
      <c r="B62" s="175"/>
      <c r="C62" s="175"/>
      <c r="D62" s="30"/>
      <c r="E62" s="27"/>
      <c r="F62" s="124"/>
      <c r="G62" s="124"/>
      <c r="H62" s="124"/>
      <c r="I62" s="124"/>
      <c r="J62" s="30"/>
      <c r="K62" s="125"/>
      <c r="L62" s="30"/>
      <c r="M62" s="124"/>
      <c r="N62" s="124"/>
      <c r="O62" s="30"/>
      <c r="P62" s="30"/>
      <c r="Q62" s="30"/>
    </row>
    <row r="63" spans="1:17" ht="13.8" x14ac:dyDescent="0.25">
      <c r="A63" s="50" t="s">
        <v>314</v>
      </c>
      <c r="B63" s="19" t="s">
        <v>325</v>
      </c>
      <c r="C63" s="20" t="s">
        <v>326</v>
      </c>
      <c r="D63" s="21">
        <v>5000</v>
      </c>
      <c r="E63" s="21">
        <v>4950.8999999999996</v>
      </c>
      <c r="F63" s="119">
        <v>5000</v>
      </c>
      <c r="G63" s="119">
        <v>7601.44</v>
      </c>
      <c r="H63" s="119">
        <v>5000</v>
      </c>
      <c r="I63" s="119">
        <v>5000</v>
      </c>
      <c r="J63" s="120">
        <v>7000</v>
      </c>
      <c r="K63" s="121"/>
      <c r="L63" s="21">
        <v>7000</v>
      </c>
      <c r="M63" s="21">
        <v>7000</v>
      </c>
      <c r="N63" s="21">
        <v>7000</v>
      </c>
      <c r="O63" s="21">
        <v>7000</v>
      </c>
      <c r="P63" s="21">
        <f>+N63-J63</f>
        <v>0</v>
      </c>
      <c r="Q63" s="21">
        <f>+N63-O63</f>
        <v>0</v>
      </c>
    </row>
    <row r="64" spans="1:17" ht="13.8" x14ac:dyDescent="0.25">
      <c r="A64" s="50" t="s">
        <v>314</v>
      </c>
      <c r="B64" s="19" t="s">
        <v>327</v>
      </c>
      <c r="C64" s="20" t="s">
        <v>328</v>
      </c>
      <c r="D64" s="21">
        <v>8000</v>
      </c>
      <c r="E64" s="21">
        <v>11552.21</v>
      </c>
      <c r="F64" s="119">
        <v>8000</v>
      </c>
      <c r="G64" s="119">
        <v>13177.34</v>
      </c>
      <c r="H64" s="119">
        <v>10000</v>
      </c>
      <c r="I64" s="119">
        <v>12242.87</v>
      </c>
      <c r="J64" s="120">
        <v>10000</v>
      </c>
      <c r="K64" s="121"/>
      <c r="L64" s="21">
        <v>10000</v>
      </c>
      <c r="M64" s="21">
        <v>10000</v>
      </c>
      <c r="N64" s="21">
        <v>10000</v>
      </c>
      <c r="O64" s="21">
        <v>10000</v>
      </c>
      <c r="P64" s="21">
        <f>+N64-J64</f>
        <v>0</v>
      </c>
      <c r="Q64" s="21">
        <f>+N64-O64</f>
        <v>0</v>
      </c>
    </row>
    <row r="65" spans="1:17" ht="13.8" x14ac:dyDescent="0.25">
      <c r="A65" s="50" t="s">
        <v>314</v>
      </c>
      <c r="B65" s="19" t="s">
        <v>329</v>
      </c>
      <c r="C65" s="20" t="s">
        <v>330</v>
      </c>
      <c r="D65" s="21">
        <v>240000</v>
      </c>
      <c r="E65" s="21">
        <v>241403.59</v>
      </c>
      <c r="F65" s="119">
        <v>290000</v>
      </c>
      <c r="G65" s="119">
        <v>200709.5</v>
      </c>
      <c r="H65" s="119">
        <v>290000</v>
      </c>
      <c r="I65" s="119">
        <v>306749.88</v>
      </c>
      <c r="J65" s="120">
        <v>290000</v>
      </c>
      <c r="K65" s="121"/>
      <c r="L65" s="21">
        <v>290772</v>
      </c>
      <c r="M65" s="21">
        <v>290772</v>
      </c>
      <c r="N65" s="21">
        <v>290772</v>
      </c>
      <c r="O65" s="21">
        <v>290000</v>
      </c>
      <c r="P65" s="21">
        <f>+N65-J65</f>
        <v>772</v>
      </c>
      <c r="Q65" s="21">
        <f>+N65-O65</f>
        <v>772</v>
      </c>
    </row>
    <row r="66" spans="1:17" ht="13.8" x14ac:dyDescent="0.25">
      <c r="A66" s="50" t="s">
        <v>314</v>
      </c>
      <c r="B66" s="19" t="s">
        <v>331</v>
      </c>
      <c r="C66" s="20" t="s">
        <v>332</v>
      </c>
      <c r="D66" s="21">
        <v>25000</v>
      </c>
      <c r="E66" s="21">
        <v>0</v>
      </c>
      <c r="F66" s="119">
        <v>25000</v>
      </c>
      <c r="G66" s="119">
        <v>25000</v>
      </c>
      <c r="H66" s="119">
        <v>30000</v>
      </c>
      <c r="I66" s="119">
        <v>30205.94</v>
      </c>
      <c r="J66" s="120">
        <v>37500</v>
      </c>
      <c r="K66" s="121"/>
      <c r="L66" s="21">
        <v>37518</v>
      </c>
      <c r="M66" s="21">
        <v>37518</v>
      </c>
      <c r="N66" s="21">
        <v>37518</v>
      </c>
      <c r="O66" s="21">
        <v>37500</v>
      </c>
      <c r="P66" s="21">
        <f>+N66-J66</f>
        <v>18</v>
      </c>
      <c r="Q66" s="21">
        <f>+N66-O66</f>
        <v>18</v>
      </c>
    </row>
    <row r="67" spans="1:17" ht="13.8" x14ac:dyDescent="0.25">
      <c r="A67" s="177" t="s">
        <v>77</v>
      </c>
      <c r="B67" s="177"/>
      <c r="C67" s="177"/>
      <c r="D67" s="24">
        <f t="shared" ref="D67:I67" si="30">SUM(D63:D66)</f>
        <v>278000</v>
      </c>
      <c r="E67" s="24">
        <f t="shared" si="30"/>
        <v>257906.7</v>
      </c>
      <c r="F67" s="72">
        <f t="shared" si="30"/>
        <v>328000</v>
      </c>
      <c r="G67" s="72">
        <f t="shared" si="30"/>
        <v>246488.28</v>
      </c>
      <c r="H67" s="72">
        <f t="shared" si="30"/>
        <v>335000</v>
      </c>
      <c r="I67" s="72">
        <f t="shared" si="30"/>
        <v>354198.69</v>
      </c>
      <c r="J67" s="122">
        <f>SUM(J63:J66)</f>
        <v>344500</v>
      </c>
      <c r="K67" s="123"/>
      <c r="L67" s="24">
        <f>SUM(L63:L66)</f>
        <v>345290</v>
      </c>
      <c r="M67" s="72">
        <f t="shared" ref="M67:N67" si="31">SUM(M63:M66)</f>
        <v>345290</v>
      </c>
      <c r="N67" s="72">
        <f t="shared" si="31"/>
        <v>345290</v>
      </c>
      <c r="O67" s="24">
        <f>SUM(O63:O66)</f>
        <v>344500</v>
      </c>
      <c r="P67" s="24">
        <f t="shared" ref="P67:Q67" si="32">SUM(P63:P66)</f>
        <v>790</v>
      </c>
      <c r="Q67" s="24">
        <f t="shared" si="32"/>
        <v>790</v>
      </c>
    </row>
    <row r="68" spans="1:17" ht="13.8" x14ac:dyDescent="0.25">
      <c r="A68" s="178" t="s">
        <v>333</v>
      </c>
      <c r="B68" s="178"/>
      <c r="C68" s="178"/>
      <c r="D68" s="40">
        <f t="shared" ref="D68:I68" si="33">D55+D61+D67</f>
        <v>2759223</v>
      </c>
      <c r="E68" s="40">
        <f t="shared" si="33"/>
        <v>2624394.04</v>
      </c>
      <c r="F68" s="75">
        <f t="shared" si="33"/>
        <v>2228473</v>
      </c>
      <c r="G68" s="75">
        <f t="shared" si="33"/>
        <v>2184824.5499999998</v>
      </c>
      <c r="H68" s="75">
        <f t="shared" si="33"/>
        <v>2008700</v>
      </c>
      <c r="I68" s="75">
        <f t="shared" si="33"/>
        <v>2149414.46</v>
      </c>
      <c r="J68" s="126">
        <f>J55+J61+J67</f>
        <v>2152916</v>
      </c>
      <c r="K68" s="123"/>
      <c r="L68" s="40">
        <f>L55+L61+L67</f>
        <v>2218915</v>
      </c>
      <c r="M68" s="75">
        <f t="shared" ref="M68:N68" si="34">M55+M61+M67</f>
        <v>2218915</v>
      </c>
      <c r="N68" s="75">
        <f t="shared" si="34"/>
        <v>2218915</v>
      </c>
      <c r="O68" s="40">
        <f>O55+O61+O67</f>
        <v>2184200</v>
      </c>
      <c r="P68" s="40">
        <f t="shared" ref="P68:Q68" si="35">P55+P61+P67</f>
        <v>65999</v>
      </c>
      <c r="Q68" s="40">
        <f t="shared" si="35"/>
        <v>34715</v>
      </c>
    </row>
    <row r="69" spans="1:17" ht="13.8" x14ac:dyDescent="0.25">
      <c r="A69" s="178" t="s">
        <v>334</v>
      </c>
      <c r="B69" s="178"/>
      <c r="C69" s="178"/>
      <c r="D69" s="40">
        <f t="shared" ref="D69:I69" si="36">D51+D68</f>
        <v>5193669</v>
      </c>
      <c r="E69" s="40">
        <f t="shared" si="36"/>
        <v>5093589.83</v>
      </c>
      <c r="F69" s="75">
        <f t="shared" si="36"/>
        <v>4963541</v>
      </c>
      <c r="G69" s="75">
        <f t="shared" si="36"/>
        <v>4549186.28</v>
      </c>
      <c r="H69" s="75">
        <f t="shared" si="36"/>
        <v>4928522</v>
      </c>
      <c r="I69" s="75">
        <f t="shared" si="36"/>
        <v>4741762.8800000008</v>
      </c>
      <c r="J69" s="126">
        <f>J51+J68</f>
        <v>5253813</v>
      </c>
      <c r="K69" s="123"/>
      <c r="L69" s="40">
        <f>L51+L68</f>
        <v>5721666</v>
      </c>
      <c r="M69" s="75">
        <f t="shared" ref="M69:N69" si="37">M51+M68</f>
        <v>5711666</v>
      </c>
      <c r="N69" s="75">
        <f t="shared" si="37"/>
        <v>5711666</v>
      </c>
      <c r="O69" s="40">
        <f>O51+O68</f>
        <v>5614838</v>
      </c>
      <c r="P69" s="40">
        <f t="shared" ref="P69:Q69" si="38">P51+P68</f>
        <v>457853</v>
      </c>
      <c r="Q69" s="40">
        <f t="shared" si="38"/>
        <v>96828</v>
      </c>
    </row>
    <row r="70" spans="1:17" ht="13.8" x14ac:dyDescent="0.25">
      <c r="A70" s="179" t="s">
        <v>80</v>
      </c>
      <c r="B70" s="179"/>
      <c r="C70" s="179"/>
      <c r="D70" s="41">
        <f t="shared" ref="D70:I70" si="39">D69</f>
        <v>5193669</v>
      </c>
      <c r="E70" s="41">
        <f t="shared" si="39"/>
        <v>5093589.83</v>
      </c>
      <c r="F70" s="76">
        <f t="shared" si="39"/>
        <v>4963541</v>
      </c>
      <c r="G70" s="76">
        <f t="shared" si="39"/>
        <v>4549186.28</v>
      </c>
      <c r="H70" s="76">
        <f t="shared" si="39"/>
        <v>4928522</v>
      </c>
      <c r="I70" s="76">
        <f t="shared" si="39"/>
        <v>4741762.8800000008</v>
      </c>
      <c r="J70" s="127">
        <f>J69</f>
        <v>5253813</v>
      </c>
      <c r="K70" s="123"/>
      <c r="L70" s="41">
        <f>L69</f>
        <v>5721666</v>
      </c>
      <c r="M70" s="76">
        <f t="shared" ref="M70:N70" si="40">M69</f>
        <v>5711666</v>
      </c>
      <c r="N70" s="76">
        <f t="shared" si="40"/>
        <v>5711666</v>
      </c>
      <c r="O70" s="41">
        <f>O69</f>
        <v>5614838</v>
      </c>
      <c r="P70" s="41">
        <f t="shared" ref="P70:Q70" si="41">P69</f>
        <v>457853</v>
      </c>
      <c r="Q70" s="41">
        <f t="shared" si="41"/>
        <v>96828</v>
      </c>
    </row>
    <row r="71" spans="1:17" ht="13.8" x14ac:dyDescent="0.25">
      <c r="B71" s="10"/>
      <c r="D71" s="30"/>
      <c r="E71" s="27"/>
      <c r="F71" s="124"/>
      <c r="G71" s="124"/>
      <c r="H71" s="124"/>
      <c r="I71" s="124"/>
      <c r="J71" s="30"/>
      <c r="K71" s="125"/>
      <c r="L71" s="30"/>
      <c r="M71" s="124"/>
      <c r="N71" s="124"/>
      <c r="O71" s="30"/>
      <c r="P71" s="30"/>
      <c r="Q71" s="30"/>
    </row>
    <row r="72" spans="1:17" ht="13.8" x14ac:dyDescent="0.25">
      <c r="A72" s="179" t="s">
        <v>81</v>
      </c>
      <c r="B72" s="179"/>
      <c r="C72" s="179"/>
      <c r="D72" s="41">
        <f t="shared" ref="D72:I72" si="42">D70</f>
        <v>5193669</v>
      </c>
      <c r="E72" s="41">
        <f t="shared" si="42"/>
        <v>5093589.83</v>
      </c>
      <c r="F72" s="76">
        <f t="shared" si="42"/>
        <v>4963541</v>
      </c>
      <c r="G72" s="76">
        <f t="shared" si="42"/>
        <v>4549186.28</v>
      </c>
      <c r="H72" s="76">
        <f t="shared" si="42"/>
        <v>4928522</v>
      </c>
      <c r="I72" s="76">
        <f t="shared" si="42"/>
        <v>4741762.8800000008</v>
      </c>
      <c r="J72" s="127">
        <f>J70</f>
        <v>5253813</v>
      </c>
      <c r="K72" s="123"/>
      <c r="L72" s="41">
        <f>L70</f>
        <v>5721666</v>
      </c>
      <c r="M72" s="76">
        <f t="shared" ref="M72:N72" si="43">M70</f>
        <v>5711666</v>
      </c>
      <c r="N72" s="76">
        <f t="shared" si="43"/>
        <v>5711666</v>
      </c>
      <c r="O72" s="41">
        <f>O70</f>
        <v>5614838</v>
      </c>
      <c r="P72" s="41">
        <f t="shared" ref="P72:Q72" si="44">P70</f>
        <v>457853</v>
      </c>
      <c r="Q72" s="41">
        <f t="shared" si="44"/>
        <v>96828</v>
      </c>
    </row>
    <row r="73" spans="1:17" x14ac:dyDescent="0.3">
      <c r="L73" s="124"/>
      <c r="M73" s="124"/>
      <c r="N73" s="124"/>
      <c r="O73" s="124"/>
    </row>
    <row r="74" spans="1:17" x14ac:dyDescent="0.3">
      <c r="L74" s="97"/>
      <c r="M74" s="97"/>
      <c r="N74" s="97"/>
    </row>
    <row r="75" spans="1:17" x14ac:dyDescent="0.3">
      <c r="L75" s="97"/>
      <c r="O75" s="97"/>
    </row>
    <row r="76" spans="1:17" x14ac:dyDescent="0.3">
      <c r="L76" s="97"/>
      <c r="O76" s="97"/>
    </row>
  </sheetData>
  <mergeCells count="32">
    <mergeCell ref="A70:C70"/>
    <mergeCell ref="A72:C72"/>
    <mergeCell ref="A56:C56"/>
    <mergeCell ref="A61:C61"/>
    <mergeCell ref="A62:C62"/>
    <mergeCell ref="A67:C67"/>
    <mergeCell ref="A68:C68"/>
    <mergeCell ref="A69:C69"/>
    <mergeCell ref="A55:C55"/>
    <mergeCell ref="A31:C31"/>
    <mergeCell ref="A34:C34"/>
    <mergeCell ref="A35:C35"/>
    <mergeCell ref="A39:C39"/>
    <mergeCell ref="A40:C40"/>
    <mergeCell ref="A46:C46"/>
    <mergeCell ref="A47:C47"/>
    <mergeCell ref="A50:C50"/>
    <mergeCell ref="A51:C51"/>
    <mergeCell ref="A52:C52"/>
    <mergeCell ref="A53:C53"/>
    <mergeCell ref="A30:C30"/>
    <mergeCell ref="A1:C1"/>
    <mergeCell ref="D1:Q1"/>
    <mergeCell ref="A5:C5"/>
    <mergeCell ref="A6:C6"/>
    <mergeCell ref="A7:C7"/>
    <mergeCell ref="A8:C8"/>
    <mergeCell ref="A9:C9"/>
    <mergeCell ref="A14:C14"/>
    <mergeCell ref="A15:C15"/>
    <mergeCell ref="A21:C21"/>
    <mergeCell ref="A22:C22"/>
  </mergeCells>
  <printOptions horizontalCentered="1" verticalCentered="1"/>
  <pageMargins left="0.7" right="0.7" top="0.75" bottom="0.75" header="0.3" footer="0.3"/>
  <pageSetup scale="34" fitToHeight="0" orientation="landscape" r:id="rId1"/>
  <headerFooter>
    <oddFooter>&amp;RBudget Kick Off - 11.01.25</oddFooter>
  </headerFooter>
  <rowBreaks count="1" manualBreakCount="1">
    <brk id="51" max="18"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8DB53-10A8-4AD7-A3B9-4AA280943F8E}">
  <sheetPr codeName="Sheet23">
    <tabColor rgb="FF92D050"/>
    <pageSetUpPr fitToPage="1"/>
  </sheetPr>
  <dimension ref="A1:Q45"/>
  <sheetViews>
    <sheetView topLeftCell="I1" zoomScaleNormal="100" workbookViewId="0">
      <selection activeCell="K3" sqref="K3"/>
    </sheetView>
  </sheetViews>
  <sheetFormatPr defaultColWidth="9.109375" defaultRowHeight="14.4" x14ac:dyDescent="0.3"/>
  <cols>
    <col min="1" max="1" width="10.6640625" style="3" customWidth="1"/>
    <col min="2" max="2" width="14.33203125" style="10" bestFit="1" customWidth="1"/>
    <col min="3" max="3" width="18.88671875" style="3" bestFit="1" customWidth="1"/>
    <col min="4" max="8" width="12" style="3" customWidth="1"/>
    <col min="9" max="9" width="12.44140625" style="3" customWidth="1"/>
    <col min="10" max="10" width="12.44140625" style="3" bestFit="1" customWidth="1"/>
    <col min="11" max="11" width="1" style="3" customWidth="1"/>
    <col min="12" max="13" width="13" style="3" bestFit="1" customWidth="1"/>
    <col min="14" max="14" width="14.109375" style="3" bestFit="1" customWidth="1"/>
    <col min="15" max="15" width="13" bestFit="1" customWidth="1"/>
    <col min="16" max="17" width="12.5546875" bestFit="1" customWidth="1"/>
    <col min="18" max="16384" width="9.109375" style="3"/>
  </cols>
  <sheetData>
    <row r="1" spans="1:17" s="109" customFormat="1" ht="75" customHeight="1" x14ac:dyDescent="0.25">
      <c r="A1" s="117"/>
      <c r="B1" s="117"/>
      <c r="C1" s="117"/>
      <c r="D1" s="170" t="s">
        <v>335</v>
      </c>
      <c r="E1" s="186"/>
      <c r="F1" s="186"/>
      <c r="G1" s="186"/>
      <c r="H1" s="186"/>
      <c r="I1" s="186"/>
      <c r="J1" s="186"/>
      <c r="K1" s="186"/>
      <c r="L1" s="186"/>
      <c r="M1" s="186"/>
      <c r="N1" s="186"/>
      <c r="O1" s="186"/>
      <c r="P1" s="186"/>
      <c r="Q1" s="186"/>
    </row>
    <row r="2" spans="1:17" ht="6" customHeight="1" x14ac:dyDescent="0.3"/>
    <row r="3" spans="1:17" s="49" customFormat="1" ht="42" customHeight="1" x14ac:dyDescent="0.3">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7.5" customHeight="1" x14ac:dyDescent="0.3">
      <c r="K4" s="128"/>
    </row>
    <row r="5" spans="1:17" x14ac:dyDescent="0.3">
      <c r="A5" s="12" t="s">
        <v>69</v>
      </c>
      <c r="B5" s="12"/>
      <c r="C5" s="12"/>
      <c r="D5" s="12"/>
      <c r="E5" s="12"/>
      <c r="K5" s="128"/>
    </row>
    <row r="6" spans="1:17" x14ac:dyDescent="0.3">
      <c r="A6" s="80" t="s">
        <v>70</v>
      </c>
      <c r="B6" s="80"/>
      <c r="C6" s="80"/>
      <c r="D6" s="80"/>
      <c r="E6" s="80"/>
      <c r="K6" s="128"/>
    </row>
    <row r="7" spans="1:17" x14ac:dyDescent="0.3">
      <c r="A7" s="12" t="s">
        <v>336</v>
      </c>
      <c r="B7" s="12"/>
      <c r="C7" s="12"/>
      <c r="D7" s="12"/>
      <c r="E7" s="12"/>
      <c r="K7" s="128"/>
    </row>
    <row r="8" spans="1:17" x14ac:dyDescent="0.3">
      <c r="A8" s="12" t="s">
        <v>220</v>
      </c>
      <c r="B8" s="12"/>
      <c r="C8" s="12"/>
      <c r="D8" s="12"/>
      <c r="E8" s="12"/>
      <c r="K8" s="128"/>
    </row>
    <row r="9" spans="1:17" x14ac:dyDescent="0.3">
      <c r="A9" s="82" t="s">
        <v>11</v>
      </c>
      <c r="B9" s="82"/>
      <c r="C9" s="82"/>
      <c r="D9" s="82"/>
      <c r="E9" s="82"/>
      <c r="K9" s="128"/>
    </row>
    <row r="10" spans="1:17" ht="13.8" x14ac:dyDescent="0.25">
      <c r="A10" s="50" t="s">
        <v>337</v>
      </c>
      <c r="B10" s="19" t="s">
        <v>37</v>
      </c>
      <c r="C10" s="20" t="s">
        <v>38</v>
      </c>
      <c r="D10" s="21">
        <v>19030</v>
      </c>
      <c r="E10" s="21">
        <v>9438.35</v>
      </c>
      <c r="F10" s="21">
        <v>22026</v>
      </c>
      <c r="G10" s="21">
        <v>9257.26</v>
      </c>
      <c r="H10" s="21">
        <v>22026</v>
      </c>
      <c r="I10" s="21">
        <v>15059.36</v>
      </c>
      <c r="J10" s="21">
        <v>35319</v>
      </c>
      <c r="K10" s="128"/>
      <c r="L10" s="21">
        <v>48048</v>
      </c>
      <c r="M10" s="21">
        <v>48048</v>
      </c>
      <c r="N10" s="21">
        <v>48048</v>
      </c>
      <c r="O10" s="21">
        <v>48048</v>
      </c>
      <c r="P10" s="21">
        <f>+N10-J10</f>
        <v>12729</v>
      </c>
      <c r="Q10" s="21">
        <f>+N10-O10</f>
        <v>0</v>
      </c>
    </row>
    <row r="11" spans="1:17" ht="13.8" x14ac:dyDescent="0.25">
      <c r="A11" s="84" t="s">
        <v>74</v>
      </c>
      <c r="B11" s="84"/>
      <c r="C11" s="84"/>
      <c r="D11" s="24">
        <f>SUM(D10:D10)</f>
        <v>19030</v>
      </c>
      <c r="E11" s="24">
        <f>SUM(E10:E10)</f>
        <v>9438.35</v>
      </c>
      <c r="F11" s="24">
        <f t="shared" ref="F11:J11" si="0">SUM(F10:F10)</f>
        <v>22026</v>
      </c>
      <c r="G11" s="24">
        <f t="shared" si="0"/>
        <v>9257.26</v>
      </c>
      <c r="H11" s="24">
        <f t="shared" si="0"/>
        <v>22026</v>
      </c>
      <c r="I11" s="24">
        <f t="shared" si="0"/>
        <v>15059.36</v>
      </c>
      <c r="J11" s="24">
        <f t="shared" si="0"/>
        <v>35319</v>
      </c>
      <c r="K11" s="128"/>
      <c r="L11" s="24">
        <f>SUM(L10:L10)</f>
        <v>48048</v>
      </c>
      <c r="M11" s="24">
        <f>SUM(M10:M10)</f>
        <v>48048</v>
      </c>
      <c r="N11" s="24">
        <f>SUM(N10:N10)</f>
        <v>48048</v>
      </c>
      <c r="O11" s="24">
        <f t="shared" ref="O11" si="1">SUM(O10:O10)</f>
        <v>48048</v>
      </c>
      <c r="P11" s="24">
        <f>SUM(P10:P10)</f>
        <v>12729</v>
      </c>
      <c r="Q11" s="24">
        <f t="shared" ref="Q11" si="2">SUM(Q10:Q10)</f>
        <v>0</v>
      </c>
    </row>
    <row r="12" spans="1:17" x14ac:dyDescent="0.3">
      <c r="A12" s="82" t="s">
        <v>14</v>
      </c>
      <c r="B12" s="82"/>
      <c r="C12" s="82"/>
      <c r="D12" s="21"/>
      <c r="E12" s="86"/>
      <c r="F12" s="94"/>
      <c r="G12" s="94"/>
      <c r="H12" s="94"/>
      <c r="I12" s="94"/>
      <c r="J12" s="94"/>
      <c r="K12" s="128"/>
      <c r="L12" s="94"/>
      <c r="M12" s="94"/>
      <c r="N12" s="94"/>
      <c r="O12" s="94"/>
      <c r="P12" s="94"/>
    </row>
    <row r="13" spans="1:17" ht="13.8" x14ac:dyDescent="0.25">
      <c r="A13" s="50" t="s">
        <v>337</v>
      </c>
      <c r="B13" s="19" t="s">
        <v>15</v>
      </c>
      <c r="C13" s="20" t="s">
        <v>16</v>
      </c>
      <c r="D13" s="21">
        <v>1180</v>
      </c>
      <c r="E13" s="21">
        <v>589.23</v>
      </c>
      <c r="F13" s="21">
        <v>1366</v>
      </c>
      <c r="G13" s="21">
        <v>547.54</v>
      </c>
      <c r="H13" s="21">
        <v>1366</v>
      </c>
      <c r="I13" s="21">
        <v>932.27</v>
      </c>
      <c r="J13" s="21">
        <v>2190</v>
      </c>
      <c r="K13" s="128"/>
      <c r="L13" s="21">
        <v>2979</v>
      </c>
      <c r="M13" s="21">
        <v>2979</v>
      </c>
      <c r="N13" s="21">
        <v>2979</v>
      </c>
      <c r="O13" s="21">
        <v>2979</v>
      </c>
      <c r="P13" s="21">
        <f>+N13-J13</f>
        <v>789</v>
      </c>
      <c r="Q13" s="21">
        <f>+N13-O13</f>
        <v>0</v>
      </c>
    </row>
    <row r="14" spans="1:17" ht="13.8" x14ac:dyDescent="0.25">
      <c r="A14" s="50" t="s">
        <v>337</v>
      </c>
      <c r="B14" s="19" t="s">
        <v>17</v>
      </c>
      <c r="C14" s="20" t="s">
        <v>18</v>
      </c>
      <c r="D14" s="21">
        <v>276</v>
      </c>
      <c r="E14" s="21">
        <v>137.80000000000001</v>
      </c>
      <c r="F14" s="21">
        <v>319</v>
      </c>
      <c r="G14" s="21">
        <v>128.04</v>
      </c>
      <c r="H14" s="21">
        <v>319</v>
      </c>
      <c r="I14" s="21">
        <v>218</v>
      </c>
      <c r="J14" s="21">
        <v>513</v>
      </c>
      <c r="K14" s="128"/>
      <c r="L14" s="21">
        <v>697</v>
      </c>
      <c r="M14" s="21">
        <v>697</v>
      </c>
      <c r="N14" s="21">
        <v>697</v>
      </c>
      <c r="O14" s="21">
        <v>697</v>
      </c>
      <c r="P14" s="21">
        <f>+N14-J14</f>
        <v>184</v>
      </c>
      <c r="Q14" s="21">
        <f>+N14-O14</f>
        <v>0</v>
      </c>
    </row>
    <row r="15" spans="1:17" ht="13.8" x14ac:dyDescent="0.25">
      <c r="A15" s="50" t="s">
        <v>337</v>
      </c>
      <c r="B15" s="19" t="s">
        <v>19</v>
      </c>
      <c r="C15" s="20" t="s">
        <v>20</v>
      </c>
      <c r="D15" s="21">
        <v>202</v>
      </c>
      <c r="E15" s="21">
        <v>193.93</v>
      </c>
      <c r="F15" s="21">
        <v>216</v>
      </c>
      <c r="G15" s="21">
        <v>229.58</v>
      </c>
      <c r="H15" s="21">
        <v>257</v>
      </c>
      <c r="I15" s="21">
        <v>257.27</v>
      </c>
      <c r="J15" s="21">
        <v>304</v>
      </c>
      <c r="K15" s="128"/>
      <c r="L15" s="21">
        <v>299</v>
      </c>
      <c r="M15" s="21">
        <v>299</v>
      </c>
      <c r="N15" s="21">
        <v>299</v>
      </c>
      <c r="O15" s="21">
        <v>299</v>
      </c>
      <c r="P15" s="21">
        <f>+N15-J15</f>
        <v>-5</v>
      </c>
      <c r="Q15" s="21">
        <f>+N15-O15</f>
        <v>0</v>
      </c>
    </row>
    <row r="16" spans="1:17" ht="13.8" x14ac:dyDescent="0.25">
      <c r="A16" s="84" t="s">
        <v>75</v>
      </c>
      <c r="B16" s="84"/>
      <c r="C16" s="84"/>
      <c r="D16" s="24">
        <f t="shared" ref="D16:J16" si="3">SUM(D13:D15)</f>
        <v>1658</v>
      </c>
      <c r="E16" s="24">
        <f t="shared" si="3"/>
        <v>920.96</v>
      </c>
      <c r="F16" s="24">
        <f t="shared" si="3"/>
        <v>1901</v>
      </c>
      <c r="G16" s="24">
        <f t="shared" si="3"/>
        <v>905.16</v>
      </c>
      <c r="H16" s="24">
        <f t="shared" si="3"/>
        <v>1942</v>
      </c>
      <c r="I16" s="24">
        <f t="shared" si="3"/>
        <v>1407.54</v>
      </c>
      <c r="J16" s="24">
        <f t="shared" si="3"/>
        <v>3007</v>
      </c>
      <c r="K16" s="128"/>
      <c r="L16" s="24">
        <f t="shared" ref="L16:Q16" si="4">SUM(L13:L15)</f>
        <v>3975</v>
      </c>
      <c r="M16" s="24">
        <f t="shared" si="4"/>
        <v>3975</v>
      </c>
      <c r="N16" s="24">
        <f t="shared" si="4"/>
        <v>3975</v>
      </c>
      <c r="O16" s="24">
        <f t="shared" si="4"/>
        <v>3975</v>
      </c>
      <c r="P16" s="24">
        <f t="shared" si="4"/>
        <v>968</v>
      </c>
      <c r="Q16" s="24">
        <f t="shared" si="4"/>
        <v>0</v>
      </c>
    </row>
    <row r="17" spans="1:17" x14ac:dyDescent="0.3">
      <c r="A17" s="82" t="s">
        <v>21</v>
      </c>
      <c r="B17" s="82"/>
      <c r="C17" s="82"/>
      <c r="D17" s="94"/>
      <c r="E17" s="86"/>
      <c r="F17" s="94"/>
      <c r="G17" s="94"/>
      <c r="H17" s="94"/>
      <c r="I17" s="94"/>
      <c r="J17" s="94"/>
      <c r="K17" s="128"/>
      <c r="L17" s="94"/>
      <c r="M17" s="94"/>
      <c r="N17" s="94"/>
      <c r="O17" s="94"/>
      <c r="P17" s="94"/>
    </row>
    <row r="18" spans="1:17" ht="13.8" x14ac:dyDescent="0.25">
      <c r="A18" s="50" t="s">
        <v>337</v>
      </c>
      <c r="B18" s="19" t="s">
        <v>338</v>
      </c>
      <c r="C18" s="20" t="s">
        <v>339</v>
      </c>
      <c r="D18" s="21">
        <v>1610293</v>
      </c>
      <c r="E18" s="21">
        <v>1717890.55</v>
      </c>
      <c r="F18" s="21">
        <v>1816402</v>
      </c>
      <c r="G18" s="21">
        <v>1836482.91</v>
      </c>
      <c r="H18" s="21">
        <v>1924908</v>
      </c>
      <c r="I18" s="21">
        <v>1928343.88</v>
      </c>
      <c r="J18" s="21">
        <v>2052980</v>
      </c>
      <c r="K18" s="128"/>
      <c r="L18" s="27">
        <v>2243747</v>
      </c>
      <c r="M18" s="27">
        <v>2243747</v>
      </c>
      <c r="N18" s="27">
        <v>2243747</v>
      </c>
      <c r="O18" s="27">
        <v>2243747</v>
      </c>
      <c r="P18" s="21">
        <f>+N18-J18</f>
        <v>190767</v>
      </c>
      <c r="Q18" s="21">
        <f>+N18-O18</f>
        <v>0</v>
      </c>
    </row>
    <row r="19" spans="1:17" ht="13.8" x14ac:dyDescent="0.25">
      <c r="A19" s="50" t="s">
        <v>337</v>
      </c>
      <c r="B19" s="19" t="s">
        <v>340</v>
      </c>
      <c r="C19" s="20" t="s">
        <v>341</v>
      </c>
      <c r="D19" s="21">
        <v>668053</v>
      </c>
      <c r="E19" s="21">
        <v>634830.12</v>
      </c>
      <c r="F19" s="21">
        <v>757482</v>
      </c>
      <c r="G19" s="21">
        <v>668873.76</v>
      </c>
      <c r="H19" s="21">
        <v>812487</v>
      </c>
      <c r="I19" s="21">
        <v>811701.52</v>
      </c>
      <c r="J19" s="21">
        <v>855945</v>
      </c>
      <c r="K19" s="128"/>
      <c r="L19" s="21">
        <v>1098108</v>
      </c>
      <c r="M19" s="21">
        <v>1098108</v>
      </c>
      <c r="N19" s="21">
        <v>1098108</v>
      </c>
      <c r="O19" s="21">
        <v>1098108</v>
      </c>
      <c r="P19" s="21">
        <f>+N19-J19</f>
        <v>242163</v>
      </c>
      <c r="Q19" s="21">
        <f>+N19-O19</f>
        <v>0</v>
      </c>
    </row>
    <row r="20" spans="1:17" ht="13.8" x14ac:dyDescent="0.25">
      <c r="A20" s="50" t="s">
        <v>337</v>
      </c>
      <c r="B20" s="19" t="s">
        <v>144</v>
      </c>
      <c r="C20" s="20" t="s">
        <v>145</v>
      </c>
      <c r="D20" s="21">
        <v>348</v>
      </c>
      <c r="E20" s="21">
        <v>53.94</v>
      </c>
      <c r="F20" s="21">
        <v>348</v>
      </c>
      <c r="G20" s="21">
        <v>0</v>
      </c>
      <c r="H20" s="21">
        <v>348</v>
      </c>
      <c r="I20" s="21">
        <v>0</v>
      </c>
      <c r="J20" s="21">
        <v>348</v>
      </c>
      <c r="K20" s="128"/>
      <c r="L20" s="21">
        <v>348</v>
      </c>
      <c r="M20" s="21">
        <v>348</v>
      </c>
      <c r="N20" s="21">
        <v>348</v>
      </c>
      <c r="O20" s="21">
        <v>348</v>
      </c>
      <c r="P20" s="21">
        <f>+N20-J20</f>
        <v>0</v>
      </c>
      <c r="Q20" s="21">
        <f>+N20-O20</f>
        <v>0</v>
      </c>
    </row>
    <row r="21" spans="1:17" ht="13.8" x14ac:dyDescent="0.25">
      <c r="A21" s="84" t="s">
        <v>76</v>
      </c>
      <c r="B21" s="84"/>
      <c r="C21" s="84"/>
      <c r="D21" s="24">
        <f>SUM(D18:D20)</f>
        <v>2278694</v>
      </c>
      <c r="E21" s="24">
        <f>SUM(E18:E20)</f>
        <v>2352774.61</v>
      </c>
      <c r="F21" s="24">
        <f t="shared" ref="F21:J21" si="5">SUM(F18:F20)</f>
        <v>2574232</v>
      </c>
      <c r="G21" s="24">
        <f t="shared" si="5"/>
        <v>2505356.67</v>
      </c>
      <c r="H21" s="24">
        <f t="shared" si="5"/>
        <v>2737743</v>
      </c>
      <c r="I21" s="24">
        <f t="shared" si="5"/>
        <v>2740045.4</v>
      </c>
      <c r="J21" s="24">
        <f t="shared" si="5"/>
        <v>2909273</v>
      </c>
      <c r="K21" s="128"/>
      <c r="L21" s="24">
        <f>SUM(L18:L20)</f>
        <v>3342203</v>
      </c>
      <c r="M21" s="24">
        <f>SUM(M18:M20)</f>
        <v>3342203</v>
      </c>
      <c r="N21" s="24">
        <f>SUM(N18:N20)</f>
        <v>3342203</v>
      </c>
      <c r="O21" s="24">
        <f t="shared" ref="O21:Q21" si="6">SUM(O18:O20)</f>
        <v>3342203</v>
      </c>
      <c r="P21" s="24">
        <f t="shared" si="6"/>
        <v>432930</v>
      </c>
      <c r="Q21" s="24">
        <f t="shared" si="6"/>
        <v>0</v>
      </c>
    </row>
    <row r="22" spans="1:17" x14ac:dyDescent="0.3">
      <c r="A22" s="82" t="s">
        <v>133</v>
      </c>
      <c r="B22" s="82"/>
      <c r="C22" s="82"/>
      <c r="D22" s="94"/>
      <c r="E22" s="86"/>
      <c r="F22" s="94"/>
      <c r="G22" s="94"/>
      <c r="H22" s="94"/>
      <c r="I22" s="94"/>
      <c r="J22" s="94"/>
      <c r="K22" s="128"/>
      <c r="L22" s="94"/>
      <c r="M22" s="94"/>
      <c r="N22" s="94"/>
      <c r="O22" s="94"/>
      <c r="P22" s="94"/>
    </row>
    <row r="23" spans="1:17" ht="13.8" x14ac:dyDescent="0.25">
      <c r="A23" s="50" t="s">
        <v>337</v>
      </c>
      <c r="B23" s="19" t="s">
        <v>160</v>
      </c>
      <c r="C23" s="20" t="s">
        <v>161</v>
      </c>
      <c r="D23" s="21">
        <v>285</v>
      </c>
      <c r="E23" s="21">
        <v>345.31</v>
      </c>
      <c r="F23" s="21">
        <v>285</v>
      </c>
      <c r="G23" s="21">
        <v>266.92</v>
      </c>
      <c r="H23" s="21">
        <v>285</v>
      </c>
      <c r="I23" s="21">
        <v>312.56</v>
      </c>
      <c r="J23" s="21">
        <v>285</v>
      </c>
      <c r="K23" s="128"/>
      <c r="L23" s="21">
        <v>313</v>
      </c>
      <c r="M23" s="21">
        <v>313</v>
      </c>
      <c r="N23" s="21">
        <v>313</v>
      </c>
      <c r="O23" s="21">
        <v>285</v>
      </c>
      <c r="P23" s="21">
        <f>+N23-J23</f>
        <v>28</v>
      </c>
      <c r="Q23" s="21">
        <f>+N23-O23</f>
        <v>28</v>
      </c>
    </row>
    <row r="24" spans="1:17" ht="13.8" x14ac:dyDescent="0.25">
      <c r="A24" s="84" t="s">
        <v>136</v>
      </c>
      <c r="B24" s="84"/>
      <c r="C24" s="84"/>
      <c r="D24" s="24">
        <f>SUM(D23:D23)</f>
        <v>285</v>
      </c>
      <c r="E24" s="24">
        <f>SUM(E23:E23)</f>
        <v>345.31</v>
      </c>
      <c r="F24" s="24">
        <f t="shared" ref="F24:J24" si="7">SUM(F23:F23)</f>
        <v>285</v>
      </c>
      <c r="G24" s="24">
        <f t="shared" si="7"/>
        <v>266.92</v>
      </c>
      <c r="H24" s="24">
        <f t="shared" si="7"/>
        <v>285</v>
      </c>
      <c r="I24" s="24">
        <f t="shared" si="7"/>
        <v>312.56</v>
      </c>
      <c r="J24" s="24">
        <f t="shared" si="7"/>
        <v>285</v>
      </c>
      <c r="K24" s="128"/>
      <c r="L24" s="24">
        <f>SUM(L23:L23)</f>
        <v>313</v>
      </c>
      <c r="M24" s="24">
        <f>SUM(M23:M23)</f>
        <v>313</v>
      </c>
      <c r="N24" s="24">
        <f>SUM(N23:N23)</f>
        <v>313</v>
      </c>
      <c r="O24" s="24">
        <f t="shared" ref="O24:Q24" si="8">SUM(O23:O23)</f>
        <v>285</v>
      </c>
      <c r="P24" s="24">
        <f t="shared" si="8"/>
        <v>28</v>
      </c>
      <c r="Q24" s="24">
        <f t="shared" si="8"/>
        <v>28</v>
      </c>
    </row>
    <row r="25" spans="1:17" x14ac:dyDescent="0.3">
      <c r="A25" s="82" t="s">
        <v>45</v>
      </c>
      <c r="B25" s="82"/>
      <c r="C25" s="82"/>
      <c r="D25" s="94"/>
      <c r="E25" s="86"/>
      <c r="F25" s="94"/>
      <c r="G25" s="94"/>
      <c r="H25" s="94"/>
      <c r="I25" s="94"/>
      <c r="J25" s="94"/>
      <c r="K25" s="128"/>
      <c r="L25" s="94"/>
      <c r="M25" s="94"/>
      <c r="N25" s="94"/>
      <c r="O25" s="94"/>
      <c r="P25" s="94"/>
    </row>
    <row r="26" spans="1:17" ht="13.8" x14ac:dyDescent="0.25">
      <c r="A26" s="50" t="s">
        <v>337</v>
      </c>
      <c r="B26" s="19" t="s">
        <v>22</v>
      </c>
      <c r="C26" s="20" t="s">
        <v>23</v>
      </c>
      <c r="D26" s="21">
        <v>1500</v>
      </c>
      <c r="E26" s="21">
        <v>1246.8800000000001</v>
      </c>
      <c r="F26" s="21">
        <v>1500</v>
      </c>
      <c r="G26" s="21">
        <v>664.21</v>
      </c>
      <c r="H26" s="21">
        <v>1500</v>
      </c>
      <c r="I26" s="21">
        <v>460.7</v>
      </c>
      <c r="J26" s="21">
        <v>1500</v>
      </c>
      <c r="K26" s="128"/>
      <c r="L26" s="21">
        <v>1500</v>
      </c>
      <c r="M26" s="21">
        <v>1500</v>
      </c>
      <c r="N26" s="21">
        <v>1500</v>
      </c>
      <c r="O26" s="21">
        <v>1500</v>
      </c>
      <c r="P26" s="21">
        <f>+N26-J26</f>
        <v>0</v>
      </c>
      <c r="Q26" s="21">
        <f>+N26-O26</f>
        <v>0</v>
      </c>
    </row>
    <row r="27" spans="1:17" ht="13.8" x14ac:dyDescent="0.25">
      <c r="A27" s="50" t="s">
        <v>337</v>
      </c>
      <c r="B27" s="19" t="s">
        <v>46</v>
      </c>
      <c r="C27" s="20" t="s">
        <v>47</v>
      </c>
      <c r="D27" s="21">
        <v>2360</v>
      </c>
      <c r="E27" s="21">
        <v>2700</v>
      </c>
      <c r="F27" s="21">
        <v>2360</v>
      </c>
      <c r="G27" s="21">
        <v>2600</v>
      </c>
      <c r="H27" s="21">
        <v>2360</v>
      </c>
      <c r="I27" s="21">
        <v>601.25</v>
      </c>
      <c r="J27" s="21">
        <v>2360</v>
      </c>
      <c r="K27" s="128"/>
      <c r="L27" s="21">
        <v>2500</v>
      </c>
      <c r="M27" s="21">
        <v>2500</v>
      </c>
      <c r="N27" s="21">
        <v>2500</v>
      </c>
      <c r="O27" s="21">
        <v>2500</v>
      </c>
      <c r="P27" s="21">
        <f>+N27-J27</f>
        <v>140</v>
      </c>
      <c r="Q27" s="21">
        <f>+N27-O27</f>
        <v>0</v>
      </c>
    </row>
    <row r="28" spans="1:17" ht="13.8" x14ac:dyDescent="0.25">
      <c r="A28" s="50" t="s">
        <v>337</v>
      </c>
      <c r="B28" s="19" t="s">
        <v>24</v>
      </c>
      <c r="C28" s="20" t="s">
        <v>25</v>
      </c>
      <c r="D28" s="21">
        <v>800</v>
      </c>
      <c r="E28" s="21">
        <v>0</v>
      </c>
      <c r="F28" s="21">
        <v>800</v>
      </c>
      <c r="G28" s="21">
        <v>410</v>
      </c>
      <c r="H28" s="21">
        <v>800</v>
      </c>
      <c r="I28" s="21">
        <v>440</v>
      </c>
      <c r="J28" s="21">
        <v>800</v>
      </c>
      <c r="K28" s="128"/>
      <c r="L28" s="21">
        <v>440</v>
      </c>
      <c r="M28" s="21">
        <v>440</v>
      </c>
      <c r="N28" s="21">
        <v>440</v>
      </c>
      <c r="O28" s="21">
        <v>800</v>
      </c>
      <c r="P28" s="21">
        <f>+N28-J28</f>
        <v>-360</v>
      </c>
      <c r="Q28" s="21">
        <f>+N28-O28</f>
        <v>-360</v>
      </c>
    </row>
    <row r="29" spans="1:17" ht="13.8" x14ac:dyDescent="0.25">
      <c r="A29" s="50" t="s">
        <v>337</v>
      </c>
      <c r="B29" s="19" t="s">
        <v>26</v>
      </c>
      <c r="C29" s="20" t="s">
        <v>27</v>
      </c>
      <c r="D29" s="21">
        <v>250</v>
      </c>
      <c r="E29" s="21">
        <v>0</v>
      </c>
      <c r="F29" s="21">
        <v>250</v>
      </c>
      <c r="G29" s="21">
        <v>0</v>
      </c>
      <c r="H29" s="21">
        <v>250</v>
      </c>
      <c r="I29" s="21">
        <v>0</v>
      </c>
      <c r="J29" s="21">
        <v>250</v>
      </c>
      <c r="K29" s="128"/>
      <c r="L29" s="21">
        <v>250</v>
      </c>
      <c r="M29" s="21">
        <v>250</v>
      </c>
      <c r="N29" s="21">
        <v>250</v>
      </c>
      <c r="O29" s="21">
        <v>250</v>
      </c>
      <c r="P29" s="21">
        <f>+N29-J29</f>
        <v>0</v>
      </c>
      <c r="Q29" s="21">
        <f>+N29-O29</f>
        <v>0</v>
      </c>
    </row>
    <row r="30" spans="1:17" ht="13.8" x14ac:dyDescent="0.25">
      <c r="A30" s="84" t="s">
        <v>85</v>
      </c>
      <c r="B30" s="84"/>
      <c r="C30" s="84"/>
      <c r="D30" s="24">
        <f>SUM(D26:D29)</f>
        <v>4910</v>
      </c>
      <c r="E30" s="24">
        <f>SUM(E26:E29)</f>
        <v>3946.88</v>
      </c>
      <c r="F30" s="24">
        <f t="shared" ref="F30:J30" si="9">SUM(F26:F29)</f>
        <v>4910</v>
      </c>
      <c r="G30" s="24">
        <f t="shared" si="9"/>
        <v>3674.21</v>
      </c>
      <c r="H30" s="24">
        <f t="shared" si="9"/>
        <v>4910</v>
      </c>
      <c r="I30" s="24">
        <f t="shared" si="9"/>
        <v>1501.95</v>
      </c>
      <c r="J30" s="24">
        <f t="shared" si="9"/>
        <v>4910</v>
      </c>
      <c r="K30" s="128"/>
      <c r="L30" s="24">
        <f>SUM(L26:L29)</f>
        <v>4690</v>
      </c>
      <c r="M30" s="24">
        <f>SUM(M26:M29)</f>
        <v>4690</v>
      </c>
      <c r="N30" s="24">
        <f>SUM(N26:N29)</f>
        <v>4690</v>
      </c>
      <c r="O30" s="24">
        <f t="shared" ref="O30:Q30" si="10">SUM(O26:O29)</f>
        <v>5050</v>
      </c>
      <c r="P30" s="24">
        <f t="shared" si="10"/>
        <v>-220</v>
      </c>
      <c r="Q30" s="24">
        <f t="shared" si="10"/>
        <v>-360</v>
      </c>
    </row>
    <row r="31" spans="1:17" x14ac:dyDescent="0.3">
      <c r="A31" s="82" t="s">
        <v>30</v>
      </c>
      <c r="B31" s="82"/>
      <c r="C31" s="82"/>
      <c r="D31" s="94"/>
      <c r="E31" s="86"/>
      <c r="F31" s="94"/>
      <c r="G31" s="94"/>
      <c r="H31" s="94"/>
      <c r="I31" s="94"/>
      <c r="J31" s="94"/>
      <c r="K31" s="128"/>
      <c r="L31" s="94"/>
      <c r="M31" s="94"/>
      <c r="N31" s="94"/>
      <c r="O31" s="94"/>
      <c r="P31" s="94"/>
    </row>
    <row r="32" spans="1:17" ht="13.8" x14ac:dyDescent="0.25">
      <c r="A32" s="52" t="s">
        <v>337</v>
      </c>
      <c r="B32" s="19" t="s">
        <v>31</v>
      </c>
      <c r="C32" s="20" t="s">
        <v>32</v>
      </c>
      <c r="D32" s="21">
        <v>930</v>
      </c>
      <c r="E32" s="21">
        <v>2602.44</v>
      </c>
      <c r="F32" s="21">
        <v>930</v>
      </c>
      <c r="G32" s="21">
        <v>1113.42</v>
      </c>
      <c r="H32" s="21">
        <v>930</v>
      </c>
      <c r="I32" s="21">
        <v>827.62</v>
      </c>
      <c r="J32" s="21">
        <v>930</v>
      </c>
      <c r="K32" s="128"/>
      <c r="L32" s="21">
        <v>930</v>
      </c>
      <c r="M32" s="21">
        <v>930</v>
      </c>
      <c r="N32" s="21">
        <v>930</v>
      </c>
      <c r="O32" s="21">
        <v>930</v>
      </c>
      <c r="P32" s="21">
        <f t="shared" ref="P32:P35" si="11">+N32-J32</f>
        <v>0</v>
      </c>
      <c r="Q32" s="21">
        <f>+N32-O32</f>
        <v>0</v>
      </c>
    </row>
    <row r="33" spans="1:17" ht="13.8" x14ac:dyDescent="0.25">
      <c r="A33" s="50" t="s">
        <v>337</v>
      </c>
      <c r="B33" s="19" t="s">
        <v>51</v>
      </c>
      <c r="C33" s="20" t="s">
        <v>48</v>
      </c>
      <c r="D33" s="21">
        <v>270</v>
      </c>
      <c r="E33" s="21">
        <v>201.57</v>
      </c>
      <c r="F33" s="21">
        <v>270</v>
      </c>
      <c r="G33" s="21">
        <v>34.49</v>
      </c>
      <c r="H33" s="21">
        <v>270</v>
      </c>
      <c r="I33" s="21">
        <v>309.61</v>
      </c>
      <c r="J33" s="21">
        <v>270</v>
      </c>
      <c r="K33" s="128"/>
      <c r="L33" s="21">
        <v>310</v>
      </c>
      <c r="M33" s="21">
        <v>310</v>
      </c>
      <c r="N33" s="21">
        <v>310</v>
      </c>
      <c r="O33" s="21">
        <v>270</v>
      </c>
      <c r="P33" s="21">
        <f t="shared" si="11"/>
        <v>40</v>
      </c>
      <c r="Q33" s="21">
        <f>+N33-O33</f>
        <v>40</v>
      </c>
    </row>
    <row r="34" spans="1:17" ht="13.8" x14ac:dyDescent="0.25">
      <c r="A34" s="50" t="s">
        <v>337</v>
      </c>
      <c r="B34" s="19" t="s">
        <v>52</v>
      </c>
      <c r="C34" s="20" t="s">
        <v>49</v>
      </c>
      <c r="D34" s="21">
        <v>425</v>
      </c>
      <c r="E34" s="21">
        <v>786.28</v>
      </c>
      <c r="F34" s="21">
        <v>425</v>
      </c>
      <c r="G34" s="21">
        <v>723.49</v>
      </c>
      <c r="H34" s="21">
        <v>425</v>
      </c>
      <c r="I34" s="21">
        <v>708.52</v>
      </c>
      <c r="J34" s="21">
        <v>425</v>
      </c>
      <c r="K34" s="128"/>
      <c r="L34" s="21">
        <v>800</v>
      </c>
      <c r="M34" s="21">
        <v>800</v>
      </c>
      <c r="N34" s="21">
        <v>800</v>
      </c>
      <c r="O34" s="21">
        <v>425</v>
      </c>
      <c r="P34" s="21">
        <f t="shared" si="11"/>
        <v>375</v>
      </c>
      <c r="Q34" s="21">
        <f>+N34-O34</f>
        <v>375</v>
      </c>
    </row>
    <row r="35" spans="1:17" ht="13.8" x14ac:dyDescent="0.25">
      <c r="A35" s="50" t="s">
        <v>337</v>
      </c>
      <c r="B35" s="19" t="s">
        <v>210</v>
      </c>
      <c r="C35" s="20" t="s">
        <v>211</v>
      </c>
      <c r="D35" s="21">
        <v>110</v>
      </c>
      <c r="E35" s="21">
        <v>0</v>
      </c>
      <c r="F35" s="21">
        <v>110</v>
      </c>
      <c r="G35" s="21">
        <v>0</v>
      </c>
      <c r="H35" s="21">
        <v>110</v>
      </c>
      <c r="I35" s="21">
        <v>0</v>
      </c>
      <c r="J35" s="21">
        <v>110</v>
      </c>
      <c r="K35" s="128"/>
      <c r="L35" s="21">
        <v>110</v>
      </c>
      <c r="M35" s="21">
        <v>110</v>
      </c>
      <c r="N35" s="21">
        <v>110</v>
      </c>
      <c r="O35" s="21">
        <v>110</v>
      </c>
      <c r="P35" s="21">
        <f t="shared" si="11"/>
        <v>0</v>
      </c>
      <c r="Q35" s="21">
        <f>+N35-O35</f>
        <v>0</v>
      </c>
    </row>
    <row r="36" spans="1:17" ht="13.8" x14ac:dyDescent="0.25">
      <c r="A36" s="84" t="s">
        <v>77</v>
      </c>
      <c r="B36" s="84"/>
      <c r="C36" s="84"/>
      <c r="D36" s="24">
        <f>SUM(D32:D35)</f>
        <v>1735</v>
      </c>
      <c r="E36" s="24">
        <f>SUM(E32:E35)</f>
        <v>3590.29</v>
      </c>
      <c r="F36" s="24">
        <f t="shared" ref="F36:J36" si="12">SUM(F32:F35)</f>
        <v>1735</v>
      </c>
      <c r="G36" s="24">
        <f t="shared" si="12"/>
        <v>1871.4</v>
      </c>
      <c r="H36" s="24">
        <f t="shared" si="12"/>
        <v>1735</v>
      </c>
      <c r="I36" s="24">
        <f t="shared" si="12"/>
        <v>1845.75</v>
      </c>
      <c r="J36" s="24">
        <f t="shared" si="12"/>
        <v>1735</v>
      </c>
      <c r="K36" s="128"/>
      <c r="L36" s="24">
        <f>SUM(L32:L35)</f>
        <v>2150</v>
      </c>
      <c r="M36" s="24">
        <f>SUM(M32:M35)</f>
        <v>2150</v>
      </c>
      <c r="N36" s="24">
        <f>SUM(N32:N35)</f>
        <v>2150</v>
      </c>
      <c r="O36" s="24">
        <f t="shared" ref="O36:Q36" si="13">SUM(O32:O35)</f>
        <v>1735</v>
      </c>
      <c r="P36" s="24">
        <f t="shared" si="13"/>
        <v>415</v>
      </c>
      <c r="Q36" s="24">
        <f t="shared" si="13"/>
        <v>415</v>
      </c>
    </row>
    <row r="37" spans="1:17" ht="13.8" x14ac:dyDescent="0.25">
      <c r="A37" s="90" t="s">
        <v>231</v>
      </c>
      <c r="B37" s="90"/>
      <c r="C37" s="90"/>
      <c r="D37" s="40">
        <f t="shared" ref="D37:J37" si="14">D11+D16+D21+D24+D30+D36</f>
        <v>2306312</v>
      </c>
      <c r="E37" s="40">
        <f t="shared" si="14"/>
        <v>2371016.4</v>
      </c>
      <c r="F37" s="40">
        <f t="shared" si="14"/>
        <v>2605089</v>
      </c>
      <c r="G37" s="40">
        <f t="shared" si="14"/>
        <v>2521331.6199999996</v>
      </c>
      <c r="H37" s="40">
        <f t="shared" si="14"/>
        <v>2768641</v>
      </c>
      <c r="I37" s="40">
        <f t="shared" si="14"/>
        <v>2760172.56</v>
      </c>
      <c r="J37" s="40">
        <f t="shared" si="14"/>
        <v>2954529</v>
      </c>
      <c r="K37" s="128"/>
      <c r="L37" s="40">
        <f t="shared" ref="L37:Q37" si="15">L11+L16+L21+L24+L30+L36</f>
        <v>3401379</v>
      </c>
      <c r="M37" s="40">
        <f t="shared" si="15"/>
        <v>3401379</v>
      </c>
      <c r="N37" s="40">
        <f t="shared" si="15"/>
        <v>3401379</v>
      </c>
      <c r="O37" s="40">
        <f t="shared" si="15"/>
        <v>3401296</v>
      </c>
      <c r="P37" s="40">
        <f t="shared" si="15"/>
        <v>446850</v>
      </c>
      <c r="Q37" s="40">
        <f t="shared" si="15"/>
        <v>83</v>
      </c>
    </row>
    <row r="38" spans="1:17" ht="13.8" x14ac:dyDescent="0.25">
      <c r="A38" s="90" t="s">
        <v>342</v>
      </c>
      <c r="B38" s="90"/>
      <c r="C38" s="90"/>
      <c r="D38" s="40">
        <f>D37</f>
        <v>2306312</v>
      </c>
      <c r="E38" s="40">
        <f>E37</f>
        <v>2371016.4</v>
      </c>
      <c r="F38" s="40">
        <f t="shared" ref="F38:J39" si="16">F37</f>
        <v>2605089</v>
      </c>
      <c r="G38" s="40">
        <f t="shared" si="16"/>
        <v>2521331.6199999996</v>
      </c>
      <c r="H38" s="40">
        <f t="shared" si="16"/>
        <v>2768641</v>
      </c>
      <c r="I38" s="40">
        <f t="shared" si="16"/>
        <v>2760172.56</v>
      </c>
      <c r="J38" s="40">
        <f t="shared" si="16"/>
        <v>2954529</v>
      </c>
      <c r="K38" s="128"/>
      <c r="L38" s="40">
        <f t="shared" ref="L38:Q39" si="17">L37</f>
        <v>3401379</v>
      </c>
      <c r="M38" s="40">
        <f t="shared" si="17"/>
        <v>3401379</v>
      </c>
      <c r="N38" s="40">
        <f t="shared" si="17"/>
        <v>3401379</v>
      </c>
      <c r="O38" s="40">
        <f t="shared" si="17"/>
        <v>3401296</v>
      </c>
      <c r="P38" s="40">
        <f t="shared" si="17"/>
        <v>446850</v>
      </c>
      <c r="Q38" s="40">
        <f t="shared" si="17"/>
        <v>83</v>
      </c>
    </row>
    <row r="39" spans="1:17" ht="13.8" x14ac:dyDescent="0.25">
      <c r="A39" s="92" t="s">
        <v>80</v>
      </c>
      <c r="B39" s="92"/>
      <c r="C39" s="92"/>
      <c r="D39" s="41">
        <f>D38</f>
        <v>2306312</v>
      </c>
      <c r="E39" s="41">
        <f>E38</f>
        <v>2371016.4</v>
      </c>
      <c r="F39" s="41">
        <f t="shared" si="16"/>
        <v>2605089</v>
      </c>
      <c r="G39" s="41">
        <f t="shared" si="16"/>
        <v>2521331.6199999996</v>
      </c>
      <c r="H39" s="41">
        <f t="shared" si="16"/>
        <v>2768641</v>
      </c>
      <c r="I39" s="41">
        <f t="shared" si="16"/>
        <v>2760172.56</v>
      </c>
      <c r="J39" s="41">
        <f t="shared" si="16"/>
        <v>2954529</v>
      </c>
      <c r="K39" s="128"/>
      <c r="L39" s="41">
        <f t="shared" si="17"/>
        <v>3401379</v>
      </c>
      <c r="M39" s="41">
        <f t="shared" si="17"/>
        <v>3401379</v>
      </c>
      <c r="N39" s="41">
        <f t="shared" si="17"/>
        <v>3401379</v>
      </c>
      <c r="O39" s="41">
        <f t="shared" si="17"/>
        <v>3401296</v>
      </c>
      <c r="P39" s="41">
        <f t="shared" si="17"/>
        <v>446850</v>
      </c>
      <c r="Q39" s="41">
        <f t="shared" si="17"/>
        <v>83</v>
      </c>
    </row>
    <row r="40" spans="1:17" ht="13.8" x14ac:dyDescent="0.25">
      <c r="D40" s="94"/>
      <c r="E40" s="94"/>
      <c r="F40" s="94"/>
      <c r="G40" s="94"/>
      <c r="H40" s="94"/>
      <c r="I40" s="94"/>
      <c r="J40" s="94"/>
      <c r="K40" s="128"/>
      <c r="L40" s="94"/>
      <c r="M40" s="94"/>
      <c r="N40" s="94"/>
      <c r="O40" s="94"/>
      <c r="P40" s="94"/>
      <c r="Q40" s="94"/>
    </row>
    <row r="41" spans="1:17" ht="13.8" x14ac:dyDescent="0.25">
      <c r="A41" s="92" t="s">
        <v>81</v>
      </c>
      <c r="B41" s="92"/>
      <c r="C41" s="92"/>
      <c r="D41" s="41">
        <f t="shared" ref="D41:E41" si="18">D39</f>
        <v>2306312</v>
      </c>
      <c r="E41" s="41">
        <f t="shared" si="18"/>
        <v>2371016.4</v>
      </c>
      <c r="F41" s="41">
        <f>F39</f>
        <v>2605089</v>
      </c>
      <c r="G41" s="41">
        <f>G39</f>
        <v>2521331.6199999996</v>
      </c>
      <c r="H41" s="41">
        <f>H39</f>
        <v>2768641</v>
      </c>
      <c r="I41" s="41">
        <f>I39</f>
        <v>2760172.56</v>
      </c>
      <c r="J41" s="41">
        <f>J39</f>
        <v>2954529</v>
      </c>
      <c r="K41" s="128"/>
      <c r="L41" s="41">
        <f>L39</f>
        <v>3401379</v>
      </c>
      <c r="M41" s="41">
        <f>M39</f>
        <v>3401379</v>
      </c>
      <c r="N41" s="41">
        <f>N39</f>
        <v>3401379</v>
      </c>
      <c r="O41" s="41">
        <f t="shared" ref="O41" si="19">O39</f>
        <v>3401296</v>
      </c>
      <c r="P41" s="41">
        <f>P39</f>
        <v>446850</v>
      </c>
      <c r="Q41" s="41">
        <f t="shared" ref="Q41" si="20">Q39</f>
        <v>83</v>
      </c>
    </row>
    <row r="42" spans="1:17" x14ac:dyDescent="0.3">
      <c r="L42" s="94"/>
      <c r="M42" s="94"/>
      <c r="N42" s="94"/>
    </row>
    <row r="43" spans="1:17" x14ac:dyDescent="0.3">
      <c r="O43" s="3"/>
    </row>
    <row r="45" spans="1:17" x14ac:dyDescent="0.3">
      <c r="N45" s="97"/>
    </row>
  </sheetData>
  <mergeCells count="1">
    <mergeCell ref="D1:Q1"/>
  </mergeCells>
  <printOptions horizontalCentered="1" verticalCentered="1"/>
  <pageMargins left="0.7" right="0.7" top="0.75" bottom="0.75" header="0.3" footer="0.3"/>
  <pageSetup scale="35" fitToHeight="0" orientation="landscape" r:id="rId1"/>
  <headerFooter>
    <oddFooter>&amp;RBudget Kick Off - 11.01.25</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28EC4-5064-45B0-B6FA-C90A9057DCF1}">
  <sheetPr codeName="Sheet24">
    <tabColor rgb="FF92D050"/>
    <pageSetUpPr fitToPage="1"/>
  </sheetPr>
  <dimension ref="A1:S31"/>
  <sheetViews>
    <sheetView topLeftCell="F1" zoomScaleNormal="100" workbookViewId="0">
      <selection activeCell="K3" sqref="K3"/>
    </sheetView>
  </sheetViews>
  <sheetFormatPr defaultColWidth="9" defaultRowHeight="14.4" x14ac:dyDescent="0.3"/>
  <cols>
    <col min="1" max="1" width="8.88671875" style="3" bestFit="1" customWidth="1"/>
    <col min="2" max="2" width="14.109375" style="10" bestFit="1" customWidth="1"/>
    <col min="3" max="3" width="32.5546875" style="3" customWidth="1"/>
    <col min="4" max="4" width="11.44140625" style="3" customWidth="1"/>
    <col min="5" max="5" width="11" style="3" customWidth="1"/>
    <col min="6" max="6" width="11.44140625" style="3" customWidth="1"/>
    <col min="7" max="7" width="11" style="3" customWidth="1"/>
    <col min="8" max="9" width="11.44140625" style="3" customWidth="1"/>
    <col min="10" max="10" width="11.44140625" style="3" bestFit="1" customWidth="1"/>
    <col min="11" max="11" width="1" style="3" customWidth="1"/>
    <col min="12" max="12" width="10.6640625" style="3" bestFit="1" customWidth="1"/>
    <col min="13" max="13" width="14.109375" bestFit="1" customWidth="1"/>
    <col min="14" max="14" width="13.33203125" bestFit="1" customWidth="1"/>
    <col min="15" max="15" width="10.6640625" bestFit="1" customWidth="1"/>
    <col min="16" max="16" width="11.33203125" bestFit="1" customWidth="1"/>
    <col min="17" max="17" width="11.33203125" style="3" bestFit="1" customWidth="1"/>
    <col min="18" max="16384" width="9" style="3"/>
  </cols>
  <sheetData>
    <row r="1" spans="1:19" ht="75" customHeight="1" x14ac:dyDescent="0.3">
      <c r="A1" s="170"/>
      <c r="B1" s="186"/>
      <c r="C1" s="186"/>
      <c r="D1" s="170" t="s">
        <v>343</v>
      </c>
      <c r="E1" s="170"/>
      <c r="F1" s="170"/>
      <c r="G1" s="170"/>
      <c r="H1" s="170"/>
      <c r="I1" s="170"/>
      <c r="J1" s="170"/>
      <c r="K1" s="170"/>
      <c r="L1" s="170"/>
      <c r="M1" s="170"/>
      <c r="N1" s="170"/>
      <c r="O1" s="170"/>
      <c r="P1" s="170"/>
      <c r="Q1" s="170"/>
      <c r="R1"/>
      <c r="S1"/>
    </row>
    <row r="2" spans="1:19" ht="6" customHeight="1" x14ac:dyDescent="0.25">
      <c r="A2" s="109"/>
      <c r="B2" s="129"/>
      <c r="C2" s="109"/>
      <c r="D2" s="109"/>
      <c r="E2" s="109"/>
      <c r="F2" s="109"/>
      <c r="M2" s="3"/>
      <c r="N2" s="3"/>
      <c r="O2" s="3"/>
      <c r="P2" s="3"/>
    </row>
    <row r="3" spans="1:19" s="49" customFormat="1" ht="42" customHeight="1" x14ac:dyDescent="0.3">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9" ht="6" customHeight="1" x14ac:dyDescent="0.25">
      <c r="K4" s="8"/>
      <c r="M4" s="3"/>
      <c r="N4" s="3"/>
      <c r="O4" s="3"/>
      <c r="P4" s="3"/>
    </row>
    <row r="5" spans="1:19" ht="13.8" x14ac:dyDescent="0.25">
      <c r="A5" s="12" t="s">
        <v>69</v>
      </c>
      <c r="B5" s="12"/>
      <c r="C5" s="12"/>
      <c r="D5" s="12"/>
      <c r="E5" s="12"/>
      <c r="K5" s="8"/>
      <c r="M5" s="3"/>
      <c r="N5" s="3"/>
      <c r="O5" s="3"/>
      <c r="P5" s="3"/>
    </row>
    <row r="6" spans="1:19" ht="13.8" x14ac:dyDescent="0.25">
      <c r="A6" s="80" t="s">
        <v>70</v>
      </c>
      <c r="B6" s="80"/>
      <c r="C6" s="80"/>
      <c r="D6" s="80"/>
      <c r="E6" s="80"/>
      <c r="K6" s="8"/>
      <c r="M6" s="3"/>
      <c r="N6" s="3"/>
      <c r="O6" s="3"/>
      <c r="P6" s="3"/>
    </row>
    <row r="7" spans="1:19" ht="13.8" x14ac:dyDescent="0.25">
      <c r="A7" s="12" t="s">
        <v>344</v>
      </c>
      <c r="B7" s="12"/>
      <c r="C7" s="12"/>
      <c r="D7" s="12"/>
      <c r="E7" s="12"/>
      <c r="K7" s="8"/>
      <c r="M7" s="3"/>
      <c r="N7" s="3"/>
      <c r="O7" s="3"/>
      <c r="P7" s="3"/>
    </row>
    <row r="8" spans="1:19" ht="13.8" x14ac:dyDescent="0.25">
      <c r="A8" s="12" t="s">
        <v>72</v>
      </c>
      <c r="B8" s="12"/>
      <c r="C8" s="12"/>
      <c r="D8" s="12"/>
      <c r="E8" s="12"/>
      <c r="K8" s="8"/>
      <c r="M8" s="3"/>
      <c r="N8" s="3"/>
      <c r="O8" s="3"/>
      <c r="P8" s="3"/>
    </row>
    <row r="9" spans="1:19" ht="13.8" x14ac:dyDescent="0.25">
      <c r="A9" s="82" t="s">
        <v>172</v>
      </c>
      <c r="B9" s="82"/>
      <c r="C9" s="82"/>
      <c r="D9" s="82"/>
      <c r="E9" s="82"/>
      <c r="K9" s="8"/>
      <c r="M9" s="3"/>
      <c r="N9" s="3"/>
      <c r="O9" s="3"/>
      <c r="P9" s="3"/>
    </row>
    <row r="10" spans="1:19" ht="13.8" x14ac:dyDescent="0.25">
      <c r="A10" s="50" t="s">
        <v>345</v>
      </c>
      <c r="B10" s="19" t="s">
        <v>346</v>
      </c>
      <c r="C10" s="20" t="s">
        <v>347</v>
      </c>
      <c r="D10" s="21">
        <v>50000</v>
      </c>
      <c r="E10" s="21">
        <v>50000</v>
      </c>
      <c r="F10" s="21">
        <v>50000</v>
      </c>
      <c r="G10" s="21">
        <v>47983</v>
      </c>
      <c r="H10" s="21">
        <v>50000</v>
      </c>
      <c r="I10" s="21">
        <v>48154.400000000001</v>
      </c>
      <c r="J10" s="21">
        <v>50000</v>
      </c>
      <c r="K10" s="8"/>
      <c r="L10" s="21">
        <v>50000</v>
      </c>
      <c r="M10" s="21">
        <v>50000</v>
      </c>
      <c r="N10" s="21">
        <v>50000</v>
      </c>
      <c r="O10" s="21">
        <v>50000</v>
      </c>
      <c r="P10" s="21">
        <f>+N10-J10</f>
        <v>0</v>
      </c>
      <c r="Q10" s="21">
        <f>+N10-O10</f>
        <v>0</v>
      </c>
    </row>
    <row r="11" spans="1:19" ht="13.8" x14ac:dyDescent="0.25">
      <c r="A11" s="83" t="s">
        <v>177</v>
      </c>
      <c r="B11" s="84"/>
      <c r="C11" s="84"/>
      <c r="D11" s="24">
        <f t="shared" ref="D11:H11" si="0">SUM(D10:D10)</f>
        <v>50000</v>
      </c>
      <c r="E11" s="24">
        <f t="shared" si="0"/>
        <v>50000</v>
      </c>
      <c r="F11" s="24">
        <f t="shared" si="0"/>
        <v>50000</v>
      </c>
      <c r="G11" s="24">
        <f t="shared" si="0"/>
        <v>47983</v>
      </c>
      <c r="H11" s="24">
        <f t="shared" si="0"/>
        <v>50000</v>
      </c>
      <c r="I11" s="24">
        <f t="shared" ref="I11:J11" si="1">SUM(I10:I10)</f>
        <v>48154.400000000001</v>
      </c>
      <c r="J11" s="24">
        <f t="shared" si="1"/>
        <v>50000</v>
      </c>
      <c r="K11" s="8"/>
      <c r="L11" s="24">
        <f t="shared" ref="L11:Q11" si="2">SUM(L10:L10)</f>
        <v>50000</v>
      </c>
      <c r="M11" s="24">
        <f t="shared" si="2"/>
        <v>50000</v>
      </c>
      <c r="N11" s="24">
        <f t="shared" si="2"/>
        <v>50000</v>
      </c>
      <c r="O11" s="24">
        <f t="shared" si="2"/>
        <v>50000</v>
      </c>
      <c r="P11" s="24">
        <f t="shared" si="2"/>
        <v>0</v>
      </c>
      <c r="Q11" s="24">
        <f t="shared" si="2"/>
        <v>0</v>
      </c>
    </row>
    <row r="12" spans="1:19" ht="13.8" x14ac:dyDescent="0.25">
      <c r="A12" s="89" t="s">
        <v>78</v>
      </c>
      <c r="B12" s="90"/>
      <c r="C12" s="90"/>
      <c r="D12" s="40">
        <f t="shared" ref="D12:J12" si="3">D11</f>
        <v>50000</v>
      </c>
      <c r="E12" s="40">
        <f t="shared" si="3"/>
        <v>50000</v>
      </c>
      <c r="F12" s="40">
        <f t="shared" si="3"/>
        <v>50000</v>
      </c>
      <c r="G12" s="40">
        <f t="shared" si="3"/>
        <v>47983</v>
      </c>
      <c r="H12" s="40">
        <f t="shared" si="3"/>
        <v>50000</v>
      </c>
      <c r="I12" s="40">
        <f t="shared" si="3"/>
        <v>48154.400000000001</v>
      </c>
      <c r="J12" s="40">
        <f t="shared" si="3"/>
        <v>50000</v>
      </c>
      <c r="K12" s="8"/>
      <c r="L12" s="40">
        <f t="shared" ref="L12:N12" si="4">L11</f>
        <v>50000</v>
      </c>
      <c r="M12" s="40">
        <f t="shared" si="4"/>
        <v>50000</v>
      </c>
      <c r="N12" s="40">
        <f t="shared" si="4"/>
        <v>50000</v>
      </c>
      <c r="O12" s="40">
        <f>O11</f>
        <v>50000</v>
      </c>
      <c r="P12" s="40">
        <f t="shared" ref="P12:Q12" si="5">P11</f>
        <v>0</v>
      </c>
      <c r="Q12" s="40">
        <f t="shared" si="5"/>
        <v>0</v>
      </c>
    </row>
    <row r="13" spans="1:19" ht="13.8" x14ac:dyDescent="0.25">
      <c r="A13" s="12" t="s">
        <v>348</v>
      </c>
      <c r="B13" s="12"/>
      <c r="C13" s="12"/>
      <c r="D13" s="94"/>
      <c r="E13" s="86"/>
      <c r="F13" s="86"/>
      <c r="G13" s="86"/>
      <c r="H13" s="86"/>
      <c r="I13" s="86"/>
      <c r="J13" s="86"/>
      <c r="K13" s="8"/>
      <c r="L13" s="86"/>
      <c r="M13" s="94"/>
      <c r="N13" s="94"/>
      <c r="O13" s="3"/>
      <c r="P13" s="3"/>
    </row>
    <row r="14" spans="1:19" ht="13.8" x14ac:dyDescent="0.25">
      <c r="A14" s="82" t="s">
        <v>21</v>
      </c>
      <c r="B14" s="82"/>
      <c r="C14" s="82"/>
      <c r="D14" s="94"/>
      <c r="E14" s="86"/>
      <c r="F14" s="86"/>
      <c r="G14" s="86"/>
      <c r="H14" s="86"/>
      <c r="I14" s="86"/>
      <c r="J14" s="86"/>
      <c r="K14" s="8"/>
      <c r="L14" s="86"/>
      <c r="M14" s="94"/>
      <c r="N14" s="94"/>
      <c r="O14" s="3"/>
      <c r="P14" s="3"/>
    </row>
    <row r="15" spans="1:19" ht="13.8" x14ac:dyDescent="0.25">
      <c r="A15" s="50" t="s">
        <v>345</v>
      </c>
      <c r="B15" s="19" t="s">
        <v>142</v>
      </c>
      <c r="C15" s="20" t="s">
        <v>143</v>
      </c>
      <c r="D15" s="21">
        <v>63250</v>
      </c>
      <c r="E15" s="21">
        <v>63999.96</v>
      </c>
      <c r="F15" s="21">
        <v>63250</v>
      </c>
      <c r="G15" s="21">
        <v>63249.96</v>
      </c>
      <c r="H15" s="21">
        <v>63250</v>
      </c>
      <c r="I15" s="21">
        <v>63249.96</v>
      </c>
      <c r="J15" s="21">
        <v>75000</v>
      </c>
      <c r="K15" s="8"/>
      <c r="L15" s="21">
        <v>77625</v>
      </c>
      <c r="M15" s="21">
        <v>77625</v>
      </c>
      <c r="N15" s="21">
        <v>77625</v>
      </c>
      <c r="O15" s="21">
        <v>77625</v>
      </c>
      <c r="P15" s="21">
        <f>+N15-J15</f>
        <v>2625</v>
      </c>
      <c r="Q15" s="21">
        <f>+N15-O15</f>
        <v>0</v>
      </c>
    </row>
    <row r="16" spans="1:19" ht="13.8" x14ac:dyDescent="0.25">
      <c r="A16" s="83" t="s">
        <v>76</v>
      </c>
      <c r="B16" s="84"/>
      <c r="C16" s="84"/>
      <c r="D16" s="24">
        <f t="shared" ref="D16:J16" si="6">SUM(D15:D15)</f>
        <v>63250</v>
      </c>
      <c r="E16" s="24">
        <f t="shared" si="6"/>
        <v>63999.96</v>
      </c>
      <c r="F16" s="24">
        <f t="shared" si="6"/>
        <v>63250</v>
      </c>
      <c r="G16" s="24">
        <f t="shared" si="6"/>
        <v>63249.96</v>
      </c>
      <c r="H16" s="24">
        <f t="shared" si="6"/>
        <v>63250</v>
      </c>
      <c r="I16" s="24">
        <f t="shared" si="6"/>
        <v>63249.96</v>
      </c>
      <c r="J16" s="24">
        <f t="shared" si="6"/>
        <v>75000</v>
      </c>
      <c r="K16" s="8"/>
      <c r="L16" s="24">
        <f>SUM(L15:L15)</f>
        <v>77625</v>
      </c>
      <c r="M16" s="24">
        <f>SUM(M15:M15)</f>
        <v>77625</v>
      </c>
      <c r="N16" s="24">
        <f t="shared" ref="N16:P16" si="7">SUM(N15:N15)</f>
        <v>77625</v>
      </c>
      <c r="O16" s="24">
        <f t="shared" si="7"/>
        <v>77625</v>
      </c>
      <c r="P16" s="24">
        <f t="shared" si="7"/>
        <v>2625</v>
      </c>
      <c r="Q16" s="24">
        <f>SUM(Q15:Q15)</f>
        <v>0</v>
      </c>
    </row>
    <row r="17" spans="1:17" ht="13.8" x14ac:dyDescent="0.25">
      <c r="A17" s="82" t="s">
        <v>133</v>
      </c>
      <c r="B17" s="82"/>
      <c r="C17" s="82"/>
      <c r="D17" s="94"/>
      <c r="E17" s="86"/>
      <c r="F17" s="86"/>
      <c r="G17" s="86"/>
      <c r="H17" s="86"/>
      <c r="I17" s="86"/>
      <c r="J17" s="86"/>
      <c r="K17" s="8"/>
      <c r="L17" s="86"/>
      <c r="M17" s="94"/>
      <c r="N17" s="94"/>
      <c r="O17" s="3"/>
      <c r="P17" s="3"/>
    </row>
    <row r="18" spans="1:17" ht="13.8" x14ac:dyDescent="0.25">
      <c r="A18" s="50" t="s">
        <v>345</v>
      </c>
      <c r="B18" s="19" t="s">
        <v>160</v>
      </c>
      <c r="C18" s="20" t="s">
        <v>161</v>
      </c>
      <c r="D18" s="21">
        <v>4000</v>
      </c>
      <c r="E18" s="21">
        <v>910</v>
      </c>
      <c r="F18" s="21">
        <v>4000</v>
      </c>
      <c r="G18" s="21">
        <v>1695</v>
      </c>
      <c r="H18" s="21">
        <v>4000</v>
      </c>
      <c r="I18" s="21">
        <v>200</v>
      </c>
      <c r="J18" s="21">
        <v>4000</v>
      </c>
      <c r="K18" s="8"/>
      <c r="L18" s="21">
        <v>4000</v>
      </c>
      <c r="M18" s="21">
        <v>4000</v>
      </c>
      <c r="N18" s="21">
        <v>4000</v>
      </c>
      <c r="O18" s="21">
        <v>4000</v>
      </c>
      <c r="P18" s="21">
        <f>+N18-J18</f>
        <v>0</v>
      </c>
      <c r="Q18" s="21">
        <f>+N18-O18</f>
        <v>0</v>
      </c>
    </row>
    <row r="19" spans="1:17" ht="13.8" x14ac:dyDescent="0.25">
      <c r="A19" s="83" t="s">
        <v>136</v>
      </c>
      <c r="B19" s="84"/>
      <c r="C19" s="84"/>
      <c r="D19" s="24">
        <f t="shared" ref="D19:J19" si="8">SUM(D18:D18)</f>
        <v>4000</v>
      </c>
      <c r="E19" s="24">
        <f t="shared" si="8"/>
        <v>910</v>
      </c>
      <c r="F19" s="24">
        <f t="shared" si="8"/>
        <v>4000</v>
      </c>
      <c r="G19" s="24">
        <f t="shared" si="8"/>
        <v>1695</v>
      </c>
      <c r="H19" s="24">
        <f t="shared" si="8"/>
        <v>4000</v>
      </c>
      <c r="I19" s="24">
        <f t="shared" si="8"/>
        <v>200</v>
      </c>
      <c r="J19" s="24">
        <f t="shared" si="8"/>
        <v>4000</v>
      </c>
      <c r="K19" s="8"/>
      <c r="L19" s="24">
        <f t="shared" ref="L19:Q19" si="9">SUM(L18:L18)</f>
        <v>4000</v>
      </c>
      <c r="M19" s="24">
        <f t="shared" si="9"/>
        <v>4000</v>
      </c>
      <c r="N19" s="24">
        <f t="shared" si="9"/>
        <v>4000</v>
      </c>
      <c r="O19" s="24">
        <f t="shared" si="9"/>
        <v>4000</v>
      </c>
      <c r="P19" s="24">
        <f t="shared" si="9"/>
        <v>0</v>
      </c>
      <c r="Q19" s="24">
        <f t="shared" si="9"/>
        <v>0</v>
      </c>
    </row>
    <row r="20" spans="1:17" ht="13.8" x14ac:dyDescent="0.25">
      <c r="A20" s="82" t="s">
        <v>30</v>
      </c>
      <c r="B20" s="82"/>
      <c r="C20" s="82"/>
      <c r="D20" s="94"/>
      <c r="E20" s="86"/>
      <c r="F20" s="86"/>
      <c r="G20" s="86"/>
      <c r="H20" s="86"/>
      <c r="I20" s="86"/>
      <c r="J20" s="86"/>
      <c r="K20" s="8"/>
      <c r="L20" s="86"/>
      <c r="M20" s="94"/>
      <c r="N20" s="94"/>
      <c r="O20" s="3"/>
      <c r="P20" s="3"/>
    </row>
    <row r="21" spans="1:17" ht="13.8" x14ac:dyDescent="0.25">
      <c r="A21" s="50" t="s">
        <v>345</v>
      </c>
      <c r="B21" s="19" t="s">
        <v>210</v>
      </c>
      <c r="C21" s="20" t="s">
        <v>211</v>
      </c>
      <c r="D21" s="21">
        <v>500</v>
      </c>
      <c r="E21" s="21">
        <v>750</v>
      </c>
      <c r="F21" s="21">
        <v>500</v>
      </c>
      <c r="G21" s="21">
        <v>1640</v>
      </c>
      <c r="H21" s="21">
        <v>500</v>
      </c>
      <c r="I21" s="21">
        <v>2000</v>
      </c>
      <c r="J21" s="21">
        <v>500</v>
      </c>
      <c r="K21" s="8"/>
      <c r="L21" s="21">
        <v>500</v>
      </c>
      <c r="M21" s="21">
        <v>500</v>
      </c>
      <c r="N21" s="21">
        <v>500</v>
      </c>
      <c r="O21" s="21">
        <v>500</v>
      </c>
      <c r="P21" s="21">
        <f t="shared" ref="P21:P24" si="10">+N21-J21</f>
        <v>0</v>
      </c>
      <c r="Q21" s="21">
        <f>+N21-O21</f>
        <v>0</v>
      </c>
    </row>
    <row r="22" spans="1:17" ht="13.8" x14ac:dyDescent="0.25">
      <c r="A22" s="50" t="s">
        <v>345</v>
      </c>
      <c r="B22" s="19" t="s">
        <v>349</v>
      </c>
      <c r="C22" s="20" t="s">
        <v>350</v>
      </c>
      <c r="D22" s="21">
        <v>16000</v>
      </c>
      <c r="E22" s="21">
        <v>5660.76</v>
      </c>
      <c r="F22" s="21">
        <v>16000</v>
      </c>
      <c r="G22" s="21">
        <v>7817.63</v>
      </c>
      <c r="H22" s="21">
        <v>16000</v>
      </c>
      <c r="I22" s="21">
        <v>5746</v>
      </c>
      <c r="J22" s="21">
        <v>16000</v>
      </c>
      <c r="K22" s="8"/>
      <c r="L22" s="21">
        <v>16000</v>
      </c>
      <c r="M22" s="21">
        <v>16000</v>
      </c>
      <c r="N22" s="21">
        <v>16000</v>
      </c>
      <c r="O22" s="21">
        <v>16000</v>
      </c>
      <c r="P22" s="21">
        <f t="shared" si="10"/>
        <v>0</v>
      </c>
      <c r="Q22" s="21">
        <f>+N22-O22</f>
        <v>0</v>
      </c>
    </row>
    <row r="23" spans="1:17" ht="13.8" x14ac:dyDescent="0.25">
      <c r="A23" s="50" t="s">
        <v>345</v>
      </c>
      <c r="B23" s="19" t="s">
        <v>351</v>
      </c>
      <c r="C23" s="20" t="s">
        <v>352</v>
      </c>
      <c r="D23" s="21">
        <v>500</v>
      </c>
      <c r="E23" s="21">
        <v>0</v>
      </c>
      <c r="F23" s="21">
        <v>500</v>
      </c>
      <c r="G23" s="21">
        <v>0</v>
      </c>
      <c r="H23" s="21">
        <v>500</v>
      </c>
      <c r="I23" s="21">
        <v>0</v>
      </c>
      <c r="J23" s="21">
        <v>500</v>
      </c>
      <c r="K23" s="8"/>
      <c r="L23" s="21">
        <v>500</v>
      </c>
      <c r="M23" s="21">
        <v>500</v>
      </c>
      <c r="N23" s="21">
        <v>500</v>
      </c>
      <c r="O23" s="21">
        <v>500</v>
      </c>
      <c r="P23" s="21">
        <f t="shared" si="10"/>
        <v>0</v>
      </c>
      <c r="Q23" s="21">
        <f>+N23-O23</f>
        <v>0</v>
      </c>
    </row>
    <row r="24" spans="1:17" ht="13.8" x14ac:dyDescent="0.25">
      <c r="A24" s="50" t="s">
        <v>345</v>
      </c>
      <c r="B24" s="19" t="s">
        <v>353</v>
      </c>
      <c r="C24" s="20" t="s">
        <v>354</v>
      </c>
      <c r="D24" s="21">
        <v>2000</v>
      </c>
      <c r="E24" s="21">
        <v>543.51</v>
      </c>
      <c r="F24" s="21">
        <v>2000</v>
      </c>
      <c r="G24" s="21">
        <v>0</v>
      </c>
      <c r="H24" s="21">
        <v>2000</v>
      </c>
      <c r="I24" s="21">
        <v>0</v>
      </c>
      <c r="J24" s="21">
        <v>2000</v>
      </c>
      <c r="K24" s="8"/>
      <c r="L24" s="21">
        <v>2000</v>
      </c>
      <c r="M24" s="21">
        <v>2000</v>
      </c>
      <c r="N24" s="21">
        <v>2000</v>
      </c>
      <c r="O24" s="21">
        <v>2000</v>
      </c>
      <c r="P24" s="21">
        <f t="shared" si="10"/>
        <v>0</v>
      </c>
      <c r="Q24" s="21">
        <f>+N24-O24</f>
        <v>0</v>
      </c>
    </row>
    <row r="25" spans="1:17" ht="13.8" x14ac:dyDescent="0.25">
      <c r="A25" s="83" t="s">
        <v>77</v>
      </c>
      <c r="B25" s="84"/>
      <c r="C25" s="84"/>
      <c r="D25" s="24">
        <f t="shared" ref="D25:J25" si="11">SUM(D21:D24)</f>
        <v>19000</v>
      </c>
      <c r="E25" s="24">
        <f t="shared" si="11"/>
        <v>6954.27</v>
      </c>
      <c r="F25" s="24">
        <f t="shared" si="11"/>
        <v>19000</v>
      </c>
      <c r="G25" s="24">
        <f t="shared" si="11"/>
        <v>9457.630000000001</v>
      </c>
      <c r="H25" s="24">
        <f t="shared" si="11"/>
        <v>19000</v>
      </c>
      <c r="I25" s="24">
        <f t="shared" si="11"/>
        <v>7746</v>
      </c>
      <c r="J25" s="24">
        <f t="shared" si="11"/>
        <v>19000</v>
      </c>
      <c r="K25" s="8"/>
      <c r="L25" s="24">
        <f>SUM(L21:L24)</f>
        <v>19000</v>
      </c>
      <c r="M25" s="24">
        <f t="shared" ref="M25:Q25" si="12">SUM(M21:M24)</f>
        <v>19000</v>
      </c>
      <c r="N25" s="24">
        <f t="shared" si="12"/>
        <v>19000</v>
      </c>
      <c r="O25" s="24">
        <f t="shared" si="12"/>
        <v>19000</v>
      </c>
      <c r="P25" s="24">
        <f t="shared" si="12"/>
        <v>0</v>
      </c>
      <c r="Q25" s="24">
        <f t="shared" si="12"/>
        <v>0</v>
      </c>
    </row>
    <row r="26" spans="1:17" ht="13.8" x14ac:dyDescent="0.25">
      <c r="A26" s="90" t="s">
        <v>355</v>
      </c>
      <c r="B26" s="90"/>
      <c r="C26" s="90"/>
      <c r="D26" s="40">
        <f t="shared" ref="D26:J26" si="13">D16+D19+D25</f>
        <v>86250</v>
      </c>
      <c r="E26" s="40">
        <f t="shared" si="13"/>
        <v>71864.23</v>
      </c>
      <c r="F26" s="40">
        <f t="shared" si="13"/>
        <v>86250</v>
      </c>
      <c r="G26" s="40">
        <f t="shared" si="13"/>
        <v>74402.59</v>
      </c>
      <c r="H26" s="40">
        <f t="shared" si="13"/>
        <v>86250</v>
      </c>
      <c r="I26" s="40">
        <f t="shared" si="13"/>
        <v>71195.959999999992</v>
      </c>
      <c r="J26" s="40">
        <f t="shared" si="13"/>
        <v>98000</v>
      </c>
      <c r="K26" s="8"/>
      <c r="L26" s="40">
        <f t="shared" ref="L26:Q26" si="14">L16+L19+L25</f>
        <v>100625</v>
      </c>
      <c r="M26" s="40">
        <f t="shared" si="14"/>
        <v>100625</v>
      </c>
      <c r="N26" s="40">
        <f t="shared" si="14"/>
        <v>100625</v>
      </c>
      <c r="O26" s="40">
        <f t="shared" si="14"/>
        <v>100625</v>
      </c>
      <c r="P26" s="40">
        <f t="shared" si="14"/>
        <v>2625</v>
      </c>
      <c r="Q26" s="40">
        <f t="shared" si="14"/>
        <v>0</v>
      </c>
    </row>
    <row r="27" spans="1:17" ht="13.8" x14ac:dyDescent="0.25">
      <c r="A27" s="90" t="s">
        <v>356</v>
      </c>
      <c r="B27" s="90"/>
      <c r="C27" s="90"/>
      <c r="D27" s="40">
        <f t="shared" ref="D27:J27" si="15">D12+D26</f>
        <v>136250</v>
      </c>
      <c r="E27" s="40">
        <f t="shared" si="15"/>
        <v>121864.23</v>
      </c>
      <c r="F27" s="40">
        <f t="shared" si="15"/>
        <v>136250</v>
      </c>
      <c r="G27" s="40">
        <f t="shared" si="15"/>
        <v>122385.59</v>
      </c>
      <c r="H27" s="40">
        <f t="shared" si="15"/>
        <v>136250</v>
      </c>
      <c r="I27" s="40">
        <f t="shared" si="15"/>
        <v>119350.35999999999</v>
      </c>
      <c r="J27" s="40">
        <f t="shared" si="15"/>
        <v>148000</v>
      </c>
      <c r="K27" s="8"/>
      <c r="L27" s="40">
        <f t="shared" ref="L27:Q27" si="16">L12+L26</f>
        <v>150625</v>
      </c>
      <c r="M27" s="40">
        <f t="shared" si="16"/>
        <v>150625</v>
      </c>
      <c r="N27" s="40">
        <f t="shared" si="16"/>
        <v>150625</v>
      </c>
      <c r="O27" s="40">
        <f t="shared" si="16"/>
        <v>150625</v>
      </c>
      <c r="P27" s="40">
        <f t="shared" si="16"/>
        <v>2625</v>
      </c>
      <c r="Q27" s="40">
        <f t="shared" si="16"/>
        <v>0</v>
      </c>
    </row>
    <row r="28" spans="1:17" ht="13.8" x14ac:dyDescent="0.25">
      <c r="A28" s="91" t="s">
        <v>80</v>
      </c>
      <c r="B28" s="92"/>
      <c r="C28" s="92"/>
      <c r="D28" s="41">
        <f t="shared" ref="D28:J28" si="17">D27</f>
        <v>136250</v>
      </c>
      <c r="E28" s="41">
        <f t="shared" si="17"/>
        <v>121864.23</v>
      </c>
      <c r="F28" s="41">
        <f t="shared" si="17"/>
        <v>136250</v>
      </c>
      <c r="G28" s="41">
        <f t="shared" si="17"/>
        <v>122385.59</v>
      </c>
      <c r="H28" s="41">
        <f t="shared" si="17"/>
        <v>136250</v>
      </c>
      <c r="I28" s="41">
        <f t="shared" si="17"/>
        <v>119350.35999999999</v>
      </c>
      <c r="J28" s="41">
        <f t="shared" si="17"/>
        <v>148000</v>
      </c>
      <c r="K28" s="8"/>
      <c r="L28" s="41">
        <f t="shared" ref="L28:Q28" si="18">L27</f>
        <v>150625</v>
      </c>
      <c r="M28" s="41">
        <f t="shared" si="18"/>
        <v>150625</v>
      </c>
      <c r="N28" s="41">
        <f t="shared" si="18"/>
        <v>150625</v>
      </c>
      <c r="O28" s="41">
        <f t="shared" si="18"/>
        <v>150625</v>
      </c>
      <c r="P28" s="41">
        <f t="shared" si="18"/>
        <v>2625</v>
      </c>
      <c r="Q28" s="41">
        <f t="shared" si="18"/>
        <v>0</v>
      </c>
    </row>
    <row r="29" spans="1:17" ht="6" customHeight="1" x14ac:dyDescent="0.25">
      <c r="D29" s="86"/>
      <c r="E29" s="86"/>
      <c r="F29" s="86"/>
      <c r="G29" s="86"/>
      <c r="H29" s="86"/>
      <c r="I29" s="86"/>
      <c r="J29" s="86"/>
      <c r="K29" s="8"/>
      <c r="L29" s="94"/>
      <c r="M29" s="94"/>
      <c r="N29" s="94"/>
      <c r="O29" s="94"/>
      <c r="P29" s="94"/>
      <c r="Q29" s="94"/>
    </row>
    <row r="30" spans="1:17" ht="13.8" x14ac:dyDescent="0.25">
      <c r="A30" s="91" t="s">
        <v>81</v>
      </c>
      <c r="B30" s="92"/>
      <c r="C30" s="92"/>
      <c r="D30" s="41">
        <f t="shared" ref="D30:J30" si="19">D28</f>
        <v>136250</v>
      </c>
      <c r="E30" s="41">
        <f t="shared" si="19"/>
        <v>121864.23</v>
      </c>
      <c r="F30" s="41">
        <f t="shared" si="19"/>
        <v>136250</v>
      </c>
      <c r="G30" s="41">
        <f t="shared" si="19"/>
        <v>122385.59</v>
      </c>
      <c r="H30" s="41">
        <f t="shared" si="19"/>
        <v>136250</v>
      </c>
      <c r="I30" s="41">
        <f t="shared" si="19"/>
        <v>119350.35999999999</v>
      </c>
      <c r="J30" s="41">
        <f t="shared" si="19"/>
        <v>148000</v>
      </c>
      <c r="K30" s="8"/>
      <c r="L30" s="41">
        <f>L28</f>
        <v>150625</v>
      </c>
      <c r="M30" s="41">
        <f t="shared" ref="M30:Q30" si="20">M28</f>
        <v>150625</v>
      </c>
      <c r="N30" s="41">
        <f t="shared" si="20"/>
        <v>150625</v>
      </c>
      <c r="O30" s="41">
        <f t="shared" si="20"/>
        <v>150625</v>
      </c>
      <c r="P30" s="41">
        <f t="shared" si="20"/>
        <v>2625</v>
      </c>
      <c r="Q30" s="41">
        <f t="shared" si="20"/>
        <v>0</v>
      </c>
    </row>
    <row r="31" spans="1:17" x14ac:dyDescent="0.3">
      <c r="L31" s="94"/>
      <c r="M31" s="3"/>
      <c r="N31" s="3"/>
      <c r="O31" s="3"/>
    </row>
  </sheetData>
  <mergeCells count="2">
    <mergeCell ref="A1:C1"/>
    <mergeCell ref="D1:Q1"/>
  </mergeCells>
  <printOptions horizontalCentered="1" verticalCentered="1"/>
  <pageMargins left="0.7" right="0.7" top="0.75" bottom="0.75" header="0.3" footer="0.3"/>
  <pageSetup scale="57" fitToHeight="0" orientation="landscape" r:id="rId1"/>
  <headerFooter>
    <oddFooter>&amp;RBudget Kick Off - 11.01.25</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34106-EC45-4102-A607-053B0F0F2EA0}">
  <sheetPr codeName="Sheet25">
    <tabColor rgb="FF92D050"/>
    <pageSetUpPr fitToPage="1"/>
  </sheetPr>
  <dimension ref="A1:Q65"/>
  <sheetViews>
    <sheetView zoomScaleNormal="100" workbookViewId="0">
      <pane ySplit="4" topLeftCell="A5" activePane="bottomLeft" state="frozen"/>
      <selection activeCell="AD145" sqref="AD145"/>
      <selection pane="bottomLeft" activeCell="C33" sqref="C33"/>
    </sheetView>
  </sheetViews>
  <sheetFormatPr defaultColWidth="9" defaultRowHeight="13.8" x14ac:dyDescent="0.25"/>
  <cols>
    <col min="1" max="1" width="8.88671875" style="3" bestFit="1" customWidth="1"/>
    <col min="2" max="2" width="7.5546875" style="3" bestFit="1" customWidth="1"/>
    <col min="3" max="3" width="20.33203125" style="3" bestFit="1" customWidth="1"/>
    <col min="4" max="4" width="11" style="3" customWidth="1"/>
    <col min="5" max="5" width="11.44140625" style="3" customWidth="1"/>
    <col min="6" max="6" width="11" style="3" customWidth="1"/>
    <col min="7" max="7" width="11.44140625" style="3" customWidth="1"/>
    <col min="8" max="8" width="11" style="3" customWidth="1"/>
    <col min="9" max="9" width="11.44140625" style="3" customWidth="1"/>
    <col min="10" max="10" width="12.44140625" style="3" bestFit="1" customWidth="1"/>
    <col min="11" max="11" width="0.44140625" style="3" customWidth="1"/>
    <col min="12" max="12" width="14.88671875" style="3" customWidth="1"/>
    <col min="13" max="13" width="15.44140625" style="3" customWidth="1"/>
    <col min="14" max="14" width="16.33203125" style="3" bestFit="1" customWidth="1"/>
    <col min="15" max="15" width="11.109375" style="3" bestFit="1" customWidth="1"/>
    <col min="16" max="16" width="12.6640625" style="3" customWidth="1"/>
    <col min="17" max="17" width="16.33203125" style="3" customWidth="1"/>
    <col min="18" max="16384" width="9" style="3"/>
  </cols>
  <sheetData>
    <row r="1" spans="1:17" s="109" customFormat="1" ht="75" customHeight="1" x14ac:dyDescent="0.25">
      <c r="A1" s="170"/>
      <c r="B1" s="186"/>
      <c r="C1" s="186"/>
      <c r="D1" s="170" t="s">
        <v>357</v>
      </c>
      <c r="E1" s="170"/>
      <c r="F1" s="170"/>
      <c r="G1" s="170"/>
      <c r="H1" s="170"/>
      <c r="I1" s="170"/>
      <c r="J1" s="170"/>
      <c r="K1" s="170"/>
      <c r="L1" s="170"/>
      <c r="M1" s="170"/>
      <c r="N1" s="170"/>
      <c r="O1" s="170"/>
      <c r="P1" s="170"/>
      <c r="Q1" s="170"/>
    </row>
    <row r="2" spans="1:17" s="109" customFormat="1" ht="6" customHeight="1" x14ac:dyDescent="0.25"/>
    <row r="3" spans="1:17" s="49" customFormat="1" ht="52.8" x14ac:dyDescent="0.3">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8"/>
    </row>
    <row r="5" spans="1:17" x14ac:dyDescent="0.25">
      <c r="A5" s="12" t="s">
        <v>69</v>
      </c>
      <c r="B5" s="12"/>
      <c r="C5" s="12"/>
      <c r="D5" s="12"/>
      <c r="E5" s="12"/>
      <c r="F5" s="12"/>
      <c r="G5" s="12"/>
      <c r="K5" s="8"/>
    </row>
    <row r="6" spans="1:17" x14ac:dyDescent="0.25">
      <c r="A6" s="80" t="s">
        <v>70</v>
      </c>
      <c r="B6" s="80"/>
      <c r="C6" s="80"/>
      <c r="D6" s="80"/>
      <c r="E6" s="80"/>
      <c r="F6" s="80"/>
      <c r="G6" s="80"/>
      <c r="K6" s="8"/>
    </row>
    <row r="7" spans="1:17" x14ac:dyDescent="0.25">
      <c r="A7" s="12" t="s">
        <v>358</v>
      </c>
      <c r="B7" s="12"/>
      <c r="C7" s="12"/>
      <c r="D7" s="12"/>
      <c r="E7" s="12"/>
      <c r="F7" s="12"/>
      <c r="G7" s="12"/>
      <c r="K7" s="8"/>
    </row>
    <row r="8" spans="1:17" x14ac:dyDescent="0.25">
      <c r="A8" s="12" t="s">
        <v>72</v>
      </c>
      <c r="B8" s="12"/>
      <c r="C8" s="12"/>
      <c r="D8" s="12"/>
      <c r="E8" s="12"/>
      <c r="F8" s="12"/>
      <c r="G8" s="12"/>
      <c r="K8" s="8"/>
    </row>
    <row r="9" spans="1:17" x14ac:dyDescent="0.25">
      <c r="A9" s="82" t="s">
        <v>11</v>
      </c>
      <c r="B9" s="82"/>
      <c r="C9" s="82"/>
      <c r="D9" s="82"/>
      <c r="E9" s="82"/>
      <c r="F9" s="82"/>
      <c r="G9" s="82"/>
      <c r="K9" s="8"/>
    </row>
    <row r="10" spans="1:17" x14ac:dyDescent="0.25">
      <c r="A10" s="50" t="s">
        <v>359</v>
      </c>
      <c r="B10" s="19" t="s">
        <v>35</v>
      </c>
      <c r="C10" s="20" t="s">
        <v>36</v>
      </c>
      <c r="D10" s="21">
        <v>149064</v>
      </c>
      <c r="E10" s="21">
        <v>149915.87</v>
      </c>
      <c r="F10" s="21">
        <v>151940</v>
      </c>
      <c r="G10" s="21">
        <v>149062.14000000001</v>
      </c>
      <c r="H10" s="21">
        <v>155272</v>
      </c>
      <c r="I10" s="21">
        <v>164754.72</v>
      </c>
      <c r="J10" s="21">
        <v>170991</v>
      </c>
      <c r="K10" s="8"/>
      <c r="L10" s="21">
        <v>185300</v>
      </c>
      <c r="M10" s="21">
        <v>185300</v>
      </c>
      <c r="N10" s="21">
        <v>185300</v>
      </c>
      <c r="O10" s="21">
        <v>185300</v>
      </c>
      <c r="P10" s="21">
        <f>+N10-J10</f>
        <v>14309</v>
      </c>
      <c r="Q10" s="21">
        <f>+N10-O10</f>
        <v>0</v>
      </c>
    </row>
    <row r="11" spans="1:17" x14ac:dyDescent="0.25">
      <c r="A11" s="50" t="s">
        <v>359</v>
      </c>
      <c r="B11" s="19" t="s">
        <v>37</v>
      </c>
      <c r="C11" s="20" t="s">
        <v>38</v>
      </c>
      <c r="D11" s="21">
        <v>4160</v>
      </c>
      <c r="E11" s="21">
        <v>4000</v>
      </c>
      <c r="F11" s="21">
        <v>4160</v>
      </c>
      <c r="G11" s="21">
        <v>0</v>
      </c>
      <c r="H11" s="21">
        <v>4160</v>
      </c>
      <c r="I11" s="21">
        <v>0</v>
      </c>
      <c r="J11" s="21">
        <v>4160</v>
      </c>
      <c r="K11" s="8"/>
      <c r="L11" s="21">
        <v>4160</v>
      </c>
      <c r="M11" s="21">
        <v>4160</v>
      </c>
      <c r="N11" s="21">
        <v>4160</v>
      </c>
      <c r="O11" s="21">
        <v>4160</v>
      </c>
      <c r="P11" s="21">
        <f t="shared" ref="P11:P12" si="0">+N11-J11</f>
        <v>0</v>
      </c>
      <c r="Q11" s="21">
        <f t="shared" ref="Q11:Q12" si="1">+N11-O11</f>
        <v>0</v>
      </c>
    </row>
    <row r="12" spans="1:17" x14ac:dyDescent="0.25">
      <c r="A12" s="50" t="s">
        <v>359</v>
      </c>
      <c r="B12" s="19" t="s">
        <v>39</v>
      </c>
      <c r="C12" s="20" t="s">
        <v>40</v>
      </c>
      <c r="D12" s="21">
        <v>950</v>
      </c>
      <c r="E12" s="21">
        <v>1477.16</v>
      </c>
      <c r="F12" s="21">
        <v>950</v>
      </c>
      <c r="G12" s="21">
        <v>1066.1400000000001</v>
      </c>
      <c r="H12" s="21">
        <v>950</v>
      </c>
      <c r="I12" s="21">
        <v>0</v>
      </c>
      <c r="J12" s="21">
        <v>950</v>
      </c>
      <c r="K12" s="8"/>
      <c r="L12" s="21">
        <v>0</v>
      </c>
      <c r="M12" s="21">
        <v>0</v>
      </c>
      <c r="N12" s="21">
        <v>0</v>
      </c>
      <c r="O12" s="21">
        <v>950</v>
      </c>
      <c r="P12" s="21">
        <f t="shared" si="0"/>
        <v>-950</v>
      </c>
      <c r="Q12" s="21">
        <f t="shared" si="1"/>
        <v>-950</v>
      </c>
    </row>
    <row r="13" spans="1:17" x14ac:dyDescent="0.25">
      <c r="A13" s="84"/>
      <c r="B13" s="84"/>
      <c r="C13" s="84" t="s">
        <v>74</v>
      </c>
      <c r="D13" s="24">
        <f t="shared" ref="D13:E13" si="2">SUM(D10:D12)</f>
        <v>154174</v>
      </c>
      <c r="E13" s="24">
        <f t="shared" si="2"/>
        <v>155393.03</v>
      </c>
      <c r="F13" s="24">
        <f>SUM(F10:F12)</f>
        <v>157050</v>
      </c>
      <c r="G13" s="24">
        <f>SUM(G10:G12)</f>
        <v>150128.28000000003</v>
      </c>
      <c r="H13" s="24">
        <f>SUM(H10:H12)</f>
        <v>160382</v>
      </c>
      <c r="I13" s="24">
        <f>SUM(I10:I12)</f>
        <v>164754.72</v>
      </c>
      <c r="J13" s="24">
        <f>SUM(J10:J12)</f>
        <v>176101</v>
      </c>
      <c r="K13" s="8"/>
      <c r="L13" s="24">
        <f t="shared" ref="L13:Q13" si="3">SUM(L10:L12)</f>
        <v>189460</v>
      </c>
      <c r="M13" s="24">
        <f t="shared" si="3"/>
        <v>189460</v>
      </c>
      <c r="N13" s="24">
        <f t="shared" si="3"/>
        <v>189460</v>
      </c>
      <c r="O13" s="24">
        <f t="shared" si="3"/>
        <v>190410</v>
      </c>
      <c r="P13" s="24">
        <f t="shared" si="3"/>
        <v>13359</v>
      </c>
      <c r="Q13" s="24">
        <f t="shared" si="3"/>
        <v>-950</v>
      </c>
    </row>
    <row r="14" spans="1:17" x14ac:dyDescent="0.25">
      <c r="A14" s="82" t="s">
        <v>14</v>
      </c>
      <c r="B14" s="82"/>
      <c r="C14" s="82"/>
      <c r="D14" s="94"/>
      <c r="E14" s="94"/>
      <c r="F14" s="94"/>
      <c r="G14" s="86"/>
      <c r="H14" s="86"/>
      <c r="I14" s="86"/>
      <c r="J14" s="86"/>
      <c r="K14" s="8"/>
      <c r="L14" s="86"/>
      <c r="M14" s="86"/>
      <c r="N14" s="94"/>
      <c r="O14" s="94"/>
    </row>
    <row r="15" spans="1:17" x14ac:dyDescent="0.25">
      <c r="A15" s="50" t="s">
        <v>359</v>
      </c>
      <c r="B15" s="19" t="s">
        <v>41</v>
      </c>
      <c r="C15" s="20" t="s">
        <v>42</v>
      </c>
      <c r="D15" s="21">
        <v>1938</v>
      </c>
      <c r="E15" s="21">
        <v>1734.79</v>
      </c>
      <c r="F15" s="21">
        <v>1938</v>
      </c>
      <c r="G15" s="21">
        <v>1734.79</v>
      </c>
      <c r="H15" s="21">
        <v>1847</v>
      </c>
      <c r="I15" s="21">
        <v>1608.28</v>
      </c>
      <c r="J15" s="21">
        <v>1300</v>
      </c>
      <c r="K15" s="8"/>
      <c r="L15" s="21">
        <v>1574</v>
      </c>
      <c r="M15" s="21">
        <v>1574</v>
      </c>
      <c r="N15" s="21">
        <v>1574</v>
      </c>
      <c r="O15" s="21">
        <v>1574</v>
      </c>
      <c r="P15" s="21">
        <f t="shared" ref="P15:P18" si="4">+N15-J15</f>
        <v>274</v>
      </c>
      <c r="Q15" s="21">
        <f t="shared" ref="Q15:Q19" si="5">+N15-O15</f>
        <v>0</v>
      </c>
    </row>
    <row r="16" spans="1:17" x14ac:dyDescent="0.25">
      <c r="A16" s="50" t="s">
        <v>359</v>
      </c>
      <c r="B16" s="19" t="s">
        <v>15</v>
      </c>
      <c r="C16" s="20" t="s">
        <v>16</v>
      </c>
      <c r="D16" s="21">
        <v>9559</v>
      </c>
      <c r="E16" s="21">
        <v>9225.65</v>
      </c>
      <c r="F16" s="21">
        <v>9559</v>
      </c>
      <c r="G16" s="21">
        <v>9225.65</v>
      </c>
      <c r="H16" s="21">
        <v>9944</v>
      </c>
      <c r="I16" s="21">
        <v>9921.64</v>
      </c>
      <c r="J16" s="21">
        <v>10921</v>
      </c>
      <c r="K16" s="8"/>
      <c r="L16" s="21">
        <v>11747</v>
      </c>
      <c r="M16" s="21">
        <v>11747</v>
      </c>
      <c r="N16" s="21">
        <v>11747</v>
      </c>
      <c r="O16" s="21">
        <f>11747+59</f>
        <v>11806</v>
      </c>
      <c r="P16" s="21">
        <f t="shared" si="4"/>
        <v>826</v>
      </c>
      <c r="Q16" s="21">
        <f t="shared" si="5"/>
        <v>-59</v>
      </c>
    </row>
    <row r="17" spans="1:17" x14ac:dyDescent="0.25">
      <c r="A17" s="50" t="s">
        <v>359</v>
      </c>
      <c r="B17" s="19" t="s">
        <v>17</v>
      </c>
      <c r="C17" s="20" t="s">
        <v>18</v>
      </c>
      <c r="D17" s="21">
        <v>2236</v>
      </c>
      <c r="E17" s="21">
        <v>2157.61</v>
      </c>
      <c r="F17" s="21">
        <v>2236</v>
      </c>
      <c r="G17" s="21">
        <v>2157.61</v>
      </c>
      <c r="H17" s="21">
        <v>2326</v>
      </c>
      <c r="I17" s="21">
        <v>2320.39</v>
      </c>
      <c r="J17" s="21">
        <v>2555</v>
      </c>
      <c r="K17" s="8"/>
      <c r="L17" s="21">
        <v>2748</v>
      </c>
      <c r="M17" s="21">
        <v>2748</v>
      </c>
      <c r="N17" s="21">
        <v>2748</v>
      </c>
      <c r="O17" s="21">
        <f>2748+14</f>
        <v>2762</v>
      </c>
      <c r="P17" s="21">
        <f t="shared" si="4"/>
        <v>193</v>
      </c>
      <c r="Q17" s="21">
        <f t="shared" si="5"/>
        <v>-14</v>
      </c>
    </row>
    <row r="18" spans="1:17" x14ac:dyDescent="0.25">
      <c r="A18" s="50" t="s">
        <v>359</v>
      </c>
      <c r="B18" s="19" t="s">
        <v>43</v>
      </c>
      <c r="C18" s="20" t="s">
        <v>44</v>
      </c>
      <c r="D18" s="21">
        <v>21092</v>
      </c>
      <c r="E18" s="21">
        <v>21047.38</v>
      </c>
      <c r="F18" s="21">
        <v>21092</v>
      </c>
      <c r="G18" s="21">
        <v>21047.38</v>
      </c>
      <c r="H18" s="21">
        <v>21137</v>
      </c>
      <c r="I18" s="21">
        <v>21796.959999999999</v>
      </c>
      <c r="J18" s="21">
        <v>21932</v>
      </c>
      <c r="K18" s="8"/>
      <c r="L18" s="21">
        <v>23626</v>
      </c>
      <c r="M18" s="21">
        <v>23626</v>
      </c>
      <c r="N18" s="21">
        <v>23626</v>
      </c>
      <c r="O18" s="21">
        <f>122+23626</f>
        <v>23748</v>
      </c>
      <c r="P18" s="21">
        <f t="shared" si="4"/>
        <v>1694</v>
      </c>
      <c r="Q18" s="21">
        <f t="shared" si="5"/>
        <v>-122</v>
      </c>
    </row>
    <row r="19" spans="1:17" x14ac:dyDescent="0.25">
      <c r="A19" s="50" t="s">
        <v>359</v>
      </c>
      <c r="B19" s="19" t="s">
        <v>19</v>
      </c>
      <c r="C19" s="20" t="s">
        <v>20</v>
      </c>
      <c r="D19" s="21">
        <v>241</v>
      </c>
      <c r="E19" s="21">
        <v>228.33</v>
      </c>
      <c r="F19" s="21">
        <v>241</v>
      </c>
      <c r="G19" s="21">
        <v>228.33</v>
      </c>
      <c r="H19" s="21">
        <v>303</v>
      </c>
      <c r="I19" s="21">
        <v>302.91000000000003</v>
      </c>
      <c r="J19" s="21">
        <v>358</v>
      </c>
      <c r="K19" s="8"/>
      <c r="L19" s="21">
        <v>353</v>
      </c>
      <c r="M19" s="21">
        <v>353</v>
      </c>
      <c r="N19" s="21">
        <v>353</v>
      </c>
      <c r="O19" s="21">
        <v>353</v>
      </c>
      <c r="P19" s="21">
        <f>+N19-J19</f>
        <v>-5</v>
      </c>
      <c r="Q19" s="21">
        <f t="shared" si="5"/>
        <v>0</v>
      </c>
    </row>
    <row r="20" spans="1:17" x14ac:dyDescent="0.25">
      <c r="A20" s="84"/>
      <c r="B20" s="84"/>
      <c r="C20" s="84" t="s">
        <v>75</v>
      </c>
      <c r="D20" s="24">
        <f t="shared" ref="D20:J20" si="6">SUM(D15:D19)</f>
        <v>35066</v>
      </c>
      <c r="E20" s="24">
        <f t="shared" si="6"/>
        <v>34393.760000000002</v>
      </c>
      <c r="F20" s="24">
        <f t="shared" si="6"/>
        <v>35066</v>
      </c>
      <c r="G20" s="24">
        <f t="shared" si="6"/>
        <v>34393.760000000002</v>
      </c>
      <c r="H20" s="24">
        <f t="shared" si="6"/>
        <v>35557</v>
      </c>
      <c r="I20" s="24">
        <f t="shared" si="6"/>
        <v>35950.18</v>
      </c>
      <c r="J20" s="24">
        <f t="shared" si="6"/>
        <v>37066</v>
      </c>
      <c r="K20" s="8"/>
      <c r="L20" s="24">
        <f t="shared" ref="L20:Q20" si="7">SUM(L15:L19)</f>
        <v>40048</v>
      </c>
      <c r="M20" s="24">
        <f t="shared" si="7"/>
        <v>40048</v>
      </c>
      <c r="N20" s="24">
        <f t="shared" si="7"/>
        <v>40048</v>
      </c>
      <c r="O20" s="24">
        <f t="shared" si="7"/>
        <v>40243</v>
      </c>
      <c r="P20" s="24">
        <f t="shared" si="7"/>
        <v>2982</v>
      </c>
      <c r="Q20" s="24">
        <f t="shared" si="7"/>
        <v>-195</v>
      </c>
    </row>
    <row r="21" spans="1:17" x14ac:dyDescent="0.25">
      <c r="A21" s="82" t="s">
        <v>21</v>
      </c>
      <c r="B21" s="82"/>
      <c r="C21" s="82"/>
      <c r="D21" s="94"/>
      <c r="E21" s="94"/>
      <c r="F21" s="94"/>
      <c r="G21" s="86"/>
      <c r="H21" s="86"/>
      <c r="I21" s="86"/>
      <c r="J21" s="86"/>
      <c r="K21" s="8"/>
      <c r="L21" s="86"/>
      <c r="M21" s="86"/>
      <c r="N21" s="94"/>
      <c r="O21" s="94"/>
    </row>
    <row r="22" spans="1:17" x14ac:dyDescent="0.25">
      <c r="A22" s="50" t="s">
        <v>359</v>
      </c>
      <c r="B22" s="19" t="s">
        <v>131</v>
      </c>
      <c r="C22" s="20" t="s">
        <v>132</v>
      </c>
      <c r="D22" s="21">
        <v>7000</v>
      </c>
      <c r="E22" s="21">
        <v>0</v>
      </c>
      <c r="F22" s="21">
        <v>7000</v>
      </c>
      <c r="G22" s="21">
        <v>1099</v>
      </c>
      <c r="H22" s="21">
        <v>7000</v>
      </c>
      <c r="I22" s="21">
        <v>5486.56</v>
      </c>
      <c r="J22" s="21">
        <v>7000</v>
      </c>
      <c r="K22" s="8"/>
      <c r="L22" s="21">
        <v>4500</v>
      </c>
      <c r="M22" s="21">
        <v>4500</v>
      </c>
      <c r="N22" s="21">
        <v>4500</v>
      </c>
      <c r="O22" s="21">
        <v>7000</v>
      </c>
      <c r="P22" s="21">
        <f t="shared" ref="P22:P25" si="8">+N22-J22</f>
        <v>-2500</v>
      </c>
      <c r="Q22" s="21">
        <f t="shared" ref="Q22:Q25" si="9">+N22-O22</f>
        <v>-2500</v>
      </c>
    </row>
    <row r="23" spans="1:17" x14ac:dyDescent="0.25">
      <c r="A23" s="50" t="s">
        <v>359</v>
      </c>
      <c r="B23" s="19" t="s">
        <v>28</v>
      </c>
      <c r="C23" s="20" t="s">
        <v>29</v>
      </c>
      <c r="D23" s="21">
        <v>4331</v>
      </c>
      <c r="E23" s="21">
        <v>2849.65</v>
      </c>
      <c r="F23" s="21">
        <v>4331</v>
      </c>
      <c r="G23" s="21">
        <v>5008.13</v>
      </c>
      <c r="H23" s="21">
        <v>4331</v>
      </c>
      <c r="I23" s="21">
        <v>5053.7</v>
      </c>
      <c r="J23" s="21">
        <v>4331</v>
      </c>
      <c r="K23" s="8"/>
      <c r="L23" s="21">
        <v>500</v>
      </c>
      <c r="M23" s="21">
        <v>500</v>
      </c>
      <c r="N23" s="21">
        <v>500</v>
      </c>
      <c r="O23" s="21">
        <v>4331</v>
      </c>
      <c r="P23" s="21">
        <f t="shared" si="8"/>
        <v>-3831</v>
      </c>
      <c r="Q23" s="21">
        <f t="shared" si="9"/>
        <v>-3831</v>
      </c>
    </row>
    <row r="24" spans="1:17" hidden="1" x14ac:dyDescent="0.25">
      <c r="A24" s="50" t="s">
        <v>359</v>
      </c>
      <c r="B24" s="19" t="s">
        <v>144</v>
      </c>
      <c r="C24" s="20" t="s">
        <v>145</v>
      </c>
      <c r="D24" s="21"/>
      <c r="E24" s="21"/>
      <c r="F24" s="21"/>
      <c r="G24" s="21"/>
      <c r="H24" s="21"/>
      <c r="I24" s="21"/>
      <c r="J24" s="21"/>
      <c r="K24" s="8"/>
      <c r="L24" s="21"/>
      <c r="M24" s="21"/>
      <c r="N24" s="21"/>
      <c r="O24" s="21"/>
      <c r="P24" s="21">
        <f t="shared" si="8"/>
        <v>0</v>
      </c>
      <c r="Q24" s="21">
        <f t="shared" si="9"/>
        <v>0</v>
      </c>
    </row>
    <row r="25" spans="1:17" x14ac:dyDescent="0.25">
      <c r="A25" s="50" t="s">
        <v>359</v>
      </c>
      <c r="B25" s="19" t="s">
        <v>360</v>
      </c>
      <c r="C25" s="20" t="s">
        <v>361</v>
      </c>
      <c r="D25" s="21">
        <v>1000</v>
      </c>
      <c r="E25" s="21">
        <v>0</v>
      </c>
      <c r="F25" s="21">
        <v>1000</v>
      </c>
      <c r="G25" s="21">
        <v>0</v>
      </c>
      <c r="H25" s="21">
        <v>1000</v>
      </c>
      <c r="I25" s="21">
        <v>0</v>
      </c>
      <c r="J25" s="21">
        <v>1000</v>
      </c>
      <c r="K25" s="8"/>
      <c r="L25" s="21">
        <v>0</v>
      </c>
      <c r="M25" s="21">
        <v>0</v>
      </c>
      <c r="N25" s="21">
        <v>0</v>
      </c>
      <c r="O25" s="21">
        <v>1000</v>
      </c>
      <c r="P25" s="21">
        <f t="shared" si="8"/>
        <v>-1000</v>
      </c>
      <c r="Q25" s="21">
        <f t="shared" si="9"/>
        <v>-1000</v>
      </c>
    </row>
    <row r="26" spans="1:17" x14ac:dyDescent="0.25">
      <c r="A26" s="50" t="s">
        <v>359</v>
      </c>
      <c r="B26" s="19" t="s">
        <v>158</v>
      </c>
      <c r="C26" s="20" t="s">
        <v>159</v>
      </c>
      <c r="D26" s="21">
        <v>8000</v>
      </c>
      <c r="E26" s="21">
        <v>9075</v>
      </c>
      <c r="F26" s="21">
        <v>8000</v>
      </c>
      <c r="G26" s="21">
        <v>11025</v>
      </c>
      <c r="H26" s="21">
        <v>8000</v>
      </c>
      <c r="I26" s="21">
        <v>10407.56</v>
      </c>
      <c r="J26" s="21">
        <v>8000</v>
      </c>
      <c r="K26" s="8"/>
      <c r="L26" s="21">
        <v>11100</v>
      </c>
      <c r="M26" s="21">
        <v>8000</v>
      </c>
      <c r="N26" s="21">
        <v>8000</v>
      </c>
      <c r="O26" s="21">
        <v>8000</v>
      </c>
      <c r="P26" s="21">
        <f>+N26-J26</f>
        <v>0</v>
      </c>
      <c r="Q26" s="21">
        <f>+N26-O26</f>
        <v>0</v>
      </c>
    </row>
    <row r="27" spans="1:17" x14ac:dyDescent="0.25">
      <c r="A27" s="84"/>
      <c r="B27" s="84"/>
      <c r="C27" s="84" t="s">
        <v>76</v>
      </c>
      <c r="D27" s="24">
        <f t="shared" ref="D27:E27" si="10">SUM(D22:D26)</f>
        <v>20331</v>
      </c>
      <c r="E27" s="24">
        <f t="shared" si="10"/>
        <v>11924.65</v>
      </c>
      <c r="F27" s="24">
        <f>SUM(F22:F26)</f>
        <v>20331</v>
      </c>
      <c r="G27" s="24">
        <f>SUM(G22:G26)</f>
        <v>17132.13</v>
      </c>
      <c r="H27" s="24">
        <f>SUM(H22:H26)</f>
        <v>20331</v>
      </c>
      <c r="I27" s="24">
        <f>SUM(I22:I26)</f>
        <v>20947.82</v>
      </c>
      <c r="J27" s="24">
        <f>SUM(J22:J26)</f>
        <v>20331</v>
      </c>
      <c r="K27" s="8"/>
      <c r="L27" s="24">
        <f t="shared" ref="L27:Q27" si="11">SUM(L22:L26)</f>
        <v>16100</v>
      </c>
      <c r="M27" s="24">
        <f t="shared" si="11"/>
        <v>13000</v>
      </c>
      <c r="N27" s="24">
        <f t="shared" si="11"/>
        <v>13000</v>
      </c>
      <c r="O27" s="24">
        <f t="shared" si="11"/>
        <v>20331</v>
      </c>
      <c r="P27" s="24">
        <f t="shared" si="11"/>
        <v>-7331</v>
      </c>
      <c r="Q27" s="24">
        <f t="shared" si="11"/>
        <v>-7331</v>
      </c>
    </row>
    <row r="28" spans="1:17" x14ac:dyDescent="0.25">
      <c r="A28" s="82" t="s">
        <v>133</v>
      </c>
      <c r="B28" s="82"/>
      <c r="C28" s="82"/>
      <c r="D28" s="94"/>
      <c r="E28" s="94"/>
      <c r="F28" s="94"/>
      <c r="G28" s="86"/>
      <c r="H28" s="86"/>
      <c r="I28" s="86"/>
      <c r="J28" s="86"/>
      <c r="K28" s="8"/>
      <c r="L28" s="86"/>
      <c r="M28" s="86"/>
      <c r="N28" s="94"/>
      <c r="O28" s="94"/>
    </row>
    <row r="29" spans="1:17" x14ac:dyDescent="0.25">
      <c r="A29" s="50" t="s">
        <v>359</v>
      </c>
      <c r="B29" s="19" t="s">
        <v>160</v>
      </c>
      <c r="C29" s="20" t="s">
        <v>161</v>
      </c>
      <c r="D29" s="21">
        <v>8800</v>
      </c>
      <c r="E29" s="21">
        <v>5851.67</v>
      </c>
      <c r="F29" s="21">
        <v>8800</v>
      </c>
      <c r="G29" s="21">
        <v>5924.7</v>
      </c>
      <c r="H29" s="21">
        <v>7800</v>
      </c>
      <c r="I29" s="86">
        <v>5472.49</v>
      </c>
      <c r="J29" s="21">
        <v>7800</v>
      </c>
      <c r="K29" s="8"/>
      <c r="L29" s="21">
        <v>6200</v>
      </c>
      <c r="M29" s="21">
        <v>6200</v>
      </c>
      <c r="N29" s="21">
        <v>6200</v>
      </c>
      <c r="O29" s="21">
        <v>7800</v>
      </c>
      <c r="P29" s="21">
        <f t="shared" ref="P29:P32" si="12">+N29-J29</f>
        <v>-1600</v>
      </c>
      <c r="Q29" s="21">
        <f t="shared" ref="Q29:Q32" si="13">+N29-O29</f>
        <v>-1600</v>
      </c>
    </row>
    <row r="30" spans="1:17" x14ac:dyDescent="0.25">
      <c r="A30" s="50" t="s">
        <v>359</v>
      </c>
      <c r="B30" s="19" t="s">
        <v>162</v>
      </c>
      <c r="C30" s="20" t="s">
        <v>163</v>
      </c>
      <c r="D30" s="21">
        <v>5000</v>
      </c>
      <c r="E30" s="21">
        <v>4869.8</v>
      </c>
      <c r="F30" s="21">
        <v>5000</v>
      </c>
      <c r="G30" s="21">
        <v>4603.0200000000004</v>
      </c>
      <c r="H30" s="21">
        <v>5000</v>
      </c>
      <c r="I30" s="21">
        <v>4865.84</v>
      </c>
      <c r="J30" s="21">
        <v>5000</v>
      </c>
      <c r="K30" s="8"/>
      <c r="L30" s="21">
        <v>6200</v>
      </c>
      <c r="M30" s="21">
        <v>6200</v>
      </c>
      <c r="N30" s="21">
        <v>6200</v>
      </c>
      <c r="O30" s="21">
        <v>5000</v>
      </c>
      <c r="P30" s="21">
        <f t="shared" si="12"/>
        <v>1200</v>
      </c>
      <c r="Q30" s="21">
        <f t="shared" si="13"/>
        <v>1200</v>
      </c>
    </row>
    <row r="31" spans="1:17" x14ac:dyDescent="0.25">
      <c r="A31" s="50" t="s">
        <v>359</v>
      </c>
      <c r="B31" s="19" t="s">
        <v>164</v>
      </c>
      <c r="C31" s="20" t="s">
        <v>165</v>
      </c>
      <c r="D31" s="21">
        <v>900</v>
      </c>
      <c r="E31" s="21">
        <v>959.83</v>
      </c>
      <c r="F31" s="21">
        <v>900</v>
      </c>
      <c r="G31" s="21">
        <v>1185.76</v>
      </c>
      <c r="H31" s="21">
        <v>900</v>
      </c>
      <c r="I31" s="21">
        <v>945.1</v>
      </c>
      <c r="J31" s="21">
        <v>1000</v>
      </c>
      <c r="K31" s="8"/>
      <c r="L31" s="21">
        <v>1000</v>
      </c>
      <c r="M31" s="21">
        <v>1000</v>
      </c>
      <c r="N31" s="21">
        <v>1000</v>
      </c>
      <c r="O31" s="21">
        <v>1000</v>
      </c>
      <c r="P31" s="21">
        <f t="shared" si="12"/>
        <v>0</v>
      </c>
      <c r="Q31" s="21">
        <f t="shared" si="13"/>
        <v>0</v>
      </c>
    </row>
    <row r="32" spans="1:17" x14ac:dyDescent="0.25">
      <c r="A32" s="52" t="s">
        <v>359</v>
      </c>
      <c r="B32" s="19" t="s">
        <v>144</v>
      </c>
      <c r="C32" s="20" t="s">
        <v>145</v>
      </c>
      <c r="D32" s="21">
        <v>0</v>
      </c>
      <c r="E32" s="21">
        <v>0</v>
      </c>
      <c r="F32" s="21">
        <v>0</v>
      </c>
      <c r="G32" s="21">
        <v>0</v>
      </c>
      <c r="H32" s="21">
        <v>0</v>
      </c>
      <c r="I32" s="21">
        <v>0</v>
      </c>
      <c r="J32" s="21">
        <v>0</v>
      </c>
      <c r="K32" s="8"/>
      <c r="L32" s="21">
        <v>5100</v>
      </c>
      <c r="M32" s="21">
        <v>5100</v>
      </c>
      <c r="N32" s="21">
        <v>5100</v>
      </c>
      <c r="O32" s="21">
        <v>0</v>
      </c>
      <c r="P32" s="21">
        <f t="shared" si="12"/>
        <v>5100</v>
      </c>
      <c r="Q32" s="21">
        <f t="shared" si="13"/>
        <v>5100</v>
      </c>
    </row>
    <row r="33" spans="1:17" x14ac:dyDescent="0.25">
      <c r="A33" s="84"/>
      <c r="B33" s="84"/>
      <c r="C33" s="84" t="s">
        <v>136</v>
      </c>
      <c r="D33" s="24">
        <f>SUM(D29:D32)</f>
        <v>14700</v>
      </c>
      <c r="E33" s="24">
        <f>SUM(E29:E32)</f>
        <v>11681.300000000001</v>
      </c>
      <c r="F33" s="24">
        <f>SUM(F29:F32)</f>
        <v>14700</v>
      </c>
      <c r="G33" s="24">
        <f>SUM(G29:G32)</f>
        <v>11713.480000000001</v>
      </c>
      <c r="H33" s="24">
        <f>SUM(H29:H31)</f>
        <v>13700</v>
      </c>
      <c r="I33" s="24">
        <f>SUM(I29:I31)</f>
        <v>11283.43</v>
      </c>
      <c r="J33" s="24">
        <f>SUM(J29:J32)</f>
        <v>13800</v>
      </c>
      <c r="K33" s="8"/>
      <c r="L33" s="24">
        <f t="shared" ref="L33:P33" si="14">SUM(L29:L32)</f>
        <v>18500</v>
      </c>
      <c r="M33" s="24">
        <f t="shared" si="14"/>
        <v>18500</v>
      </c>
      <c r="N33" s="24">
        <f t="shared" si="14"/>
        <v>18500</v>
      </c>
      <c r="O33" s="24">
        <f t="shared" si="14"/>
        <v>13800</v>
      </c>
      <c r="P33" s="24">
        <f t="shared" si="14"/>
        <v>4700</v>
      </c>
      <c r="Q33" s="24">
        <f>SUM(Q29:Q32)</f>
        <v>4700</v>
      </c>
    </row>
    <row r="34" spans="1:17" x14ac:dyDescent="0.25">
      <c r="A34" s="82" t="s">
        <v>45</v>
      </c>
      <c r="B34" s="82"/>
      <c r="C34" s="82"/>
      <c r="D34" s="94"/>
      <c r="E34" s="94"/>
      <c r="F34" s="94"/>
      <c r="G34" s="86"/>
      <c r="H34" s="86"/>
      <c r="I34" s="86"/>
      <c r="J34" s="86"/>
      <c r="K34" s="8"/>
      <c r="L34" s="86"/>
      <c r="M34" s="86"/>
      <c r="N34" s="94"/>
      <c r="O34" s="94"/>
    </row>
    <row r="35" spans="1:17" x14ac:dyDescent="0.25">
      <c r="A35" s="50" t="s">
        <v>359</v>
      </c>
      <c r="B35" s="19" t="s">
        <v>22</v>
      </c>
      <c r="C35" s="20" t="s">
        <v>23</v>
      </c>
      <c r="D35" s="21">
        <v>150</v>
      </c>
      <c r="E35" s="21">
        <v>0</v>
      </c>
      <c r="F35" s="21">
        <v>150</v>
      </c>
      <c r="G35" s="21">
        <v>0</v>
      </c>
      <c r="H35" s="21">
        <v>150</v>
      </c>
      <c r="I35" s="21">
        <v>103.2</v>
      </c>
      <c r="J35" s="21">
        <v>150</v>
      </c>
      <c r="K35" s="8"/>
      <c r="L35" s="21">
        <v>70</v>
      </c>
      <c r="M35" s="21">
        <v>70</v>
      </c>
      <c r="N35" s="21">
        <v>70</v>
      </c>
      <c r="O35" s="21">
        <v>150</v>
      </c>
      <c r="P35" s="21">
        <f t="shared" ref="P35:P37" si="15">+N35-J35</f>
        <v>-80</v>
      </c>
      <c r="Q35" s="21">
        <f t="shared" ref="Q35:Q37" si="16">+N35-O35</f>
        <v>-80</v>
      </c>
    </row>
    <row r="36" spans="1:17" x14ac:dyDescent="0.25">
      <c r="A36" s="50" t="s">
        <v>359</v>
      </c>
      <c r="B36" s="19" t="s">
        <v>46</v>
      </c>
      <c r="C36" s="20" t="s">
        <v>47</v>
      </c>
      <c r="D36" s="21">
        <v>1200</v>
      </c>
      <c r="E36" s="21">
        <v>239.88</v>
      </c>
      <c r="F36" s="21">
        <v>1200</v>
      </c>
      <c r="G36" s="21">
        <v>1451.88</v>
      </c>
      <c r="H36" s="21">
        <v>1200</v>
      </c>
      <c r="I36" s="21">
        <v>2016.18</v>
      </c>
      <c r="J36" s="21">
        <v>1200</v>
      </c>
      <c r="K36" s="8"/>
      <c r="L36" s="21">
        <f>6000+434</f>
        <v>6434</v>
      </c>
      <c r="M36" s="21">
        <f>6000+434</f>
        <v>6434</v>
      </c>
      <c r="N36" s="21">
        <f>6000+434</f>
        <v>6434</v>
      </c>
      <c r="O36" s="21">
        <f>1200+434</f>
        <v>1634</v>
      </c>
      <c r="P36" s="21">
        <f t="shared" si="15"/>
        <v>5234</v>
      </c>
      <c r="Q36" s="21">
        <f t="shared" si="16"/>
        <v>4800</v>
      </c>
    </row>
    <row r="37" spans="1:17" x14ac:dyDescent="0.25">
      <c r="A37" s="50" t="s">
        <v>359</v>
      </c>
      <c r="B37" s="19" t="s">
        <v>26</v>
      </c>
      <c r="C37" s="20" t="s">
        <v>27</v>
      </c>
      <c r="D37" s="21">
        <v>2000</v>
      </c>
      <c r="E37" s="21">
        <v>3058.78</v>
      </c>
      <c r="F37" s="21">
        <v>2000</v>
      </c>
      <c r="G37" s="21">
        <v>3843.23</v>
      </c>
      <c r="H37" s="21">
        <v>3500</v>
      </c>
      <c r="I37" s="21">
        <v>3184.26</v>
      </c>
      <c r="J37" s="21">
        <v>3500</v>
      </c>
      <c r="K37" s="8"/>
      <c r="L37" s="21">
        <v>9000</v>
      </c>
      <c r="M37" s="21">
        <v>9000</v>
      </c>
      <c r="N37" s="21">
        <v>9000</v>
      </c>
      <c r="O37" s="21">
        <v>3500</v>
      </c>
      <c r="P37" s="21">
        <f t="shared" si="15"/>
        <v>5500</v>
      </c>
      <c r="Q37" s="21">
        <f t="shared" si="16"/>
        <v>5500</v>
      </c>
    </row>
    <row r="38" spans="1:17" x14ac:dyDescent="0.25">
      <c r="A38" s="84"/>
      <c r="B38" s="84"/>
      <c r="C38" s="84" t="s">
        <v>85</v>
      </c>
      <c r="D38" s="24">
        <f t="shared" ref="D38:E38" si="17">SUM(D35:D37)</f>
        <v>3350</v>
      </c>
      <c r="E38" s="24">
        <f t="shared" si="17"/>
        <v>3298.6600000000003</v>
      </c>
      <c r="F38" s="24">
        <f>SUM(F35:F37)</f>
        <v>3350</v>
      </c>
      <c r="G38" s="24">
        <f>SUM(G35:G37)</f>
        <v>5295.1100000000006</v>
      </c>
      <c r="H38" s="24">
        <f>SUM(H35:H37)</f>
        <v>4850</v>
      </c>
      <c r="I38" s="24">
        <f>SUM(I35:I37)</f>
        <v>5303.64</v>
      </c>
      <c r="J38" s="24">
        <f>SUM(J35:J37)</f>
        <v>4850</v>
      </c>
      <c r="K38" s="8"/>
      <c r="L38" s="24">
        <f t="shared" ref="L38:Q38" si="18">SUM(L35:L37)</f>
        <v>15504</v>
      </c>
      <c r="M38" s="24">
        <f t="shared" si="18"/>
        <v>15504</v>
      </c>
      <c r="N38" s="24">
        <f t="shared" si="18"/>
        <v>15504</v>
      </c>
      <c r="O38" s="24">
        <f t="shared" si="18"/>
        <v>5284</v>
      </c>
      <c r="P38" s="24">
        <f t="shared" si="18"/>
        <v>10654</v>
      </c>
      <c r="Q38" s="24">
        <f t="shared" si="18"/>
        <v>10220</v>
      </c>
    </row>
    <row r="39" spans="1:17" x14ac:dyDescent="0.25">
      <c r="A39" s="82" t="s">
        <v>30</v>
      </c>
      <c r="B39" s="82"/>
      <c r="C39" s="82"/>
      <c r="D39" s="94"/>
      <c r="E39" s="94"/>
      <c r="F39" s="94"/>
      <c r="G39" s="86"/>
      <c r="H39" s="86"/>
      <c r="I39" s="86"/>
      <c r="J39" s="86"/>
      <c r="K39" s="8"/>
      <c r="L39" s="86"/>
      <c r="M39" s="86"/>
      <c r="N39" s="94"/>
      <c r="O39" s="94"/>
    </row>
    <row r="40" spans="1:17" x14ac:dyDescent="0.25">
      <c r="A40" s="50" t="s">
        <v>359</v>
      </c>
      <c r="B40" s="19" t="s">
        <v>31</v>
      </c>
      <c r="C40" s="20" t="s">
        <v>32</v>
      </c>
      <c r="D40" s="21">
        <v>2500</v>
      </c>
      <c r="E40" s="21">
        <v>1984.13</v>
      </c>
      <c r="F40" s="21">
        <v>2500</v>
      </c>
      <c r="G40" s="21">
        <v>1094.3900000000001</v>
      </c>
      <c r="H40" s="21">
        <v>2500</v>
      </c>
      <c r="I40" s="21">
        <v>781.85</v>
      </c>
      <c r="J40" s="21">
        <v>2500</v>
      </c>
      <c r="K40" s="8"/>
      <c r="L40" s="21">
        <v>1500</v>
      </c>
      <c r="M40" s="21">
        <v>1500</v>
      </c>
      <c r="N40" s="21">
        <v>1500</v>
      </c>
      <c r="O40" s="21">
        <v>2500</v>
      </c>
      <c r="P40" s="21">
        <f t="shared" ref="P40:P44" si="19">+N40-J40</f>
        <v>-1000</v>
      </c>
      <c r="Q40" s="21">
        <f t="shared" ref="Q40:Q44" si="20">+N40-O40</f>
        <v>-1000</v>
      </c>
    </row>
    <row r="41" spans="1:17" x14ac:dyDescent="0.25">
      <c r="A41" s="50" t="s">
        <v>359</v>
      </c>
      <c r="B41" s="19" t="s">
        <v>51</v>
      </c>
      <c r="C41" s="20" t="s">
        <v>48</v>
      </c>
      <c r="D41" s="21">
        <v>750</v>
      </c>
      <c r="E41" s="21">
        <v>264.52999999999997</v>
      </c>
      <c r="F41" s="21">
        <v>750</v>
      </c>
      <c r="G41" s="21">
        <v>842.12</v>
      </c>
      <c r="H41" s="21">
        <v>750</v>
      </c>
      <c r="I41" s="21">
        <v>299.24</v>
      </c>
      <c r="J41" s="21">
        <v>750</v>
      </c>
      <c r="K41" s="8"/>
      <c r="L41" s="21">
        <v>750</v>
      </c>
      <c r="M41" s="21">
        <v>750</v>
      </c>
      <c r="N41" s="21">
        <v>750</v>
      </c>
      <c r="O41" s="21">
        <v>750</v>
      </c>
      <c r="P41" s="21">
        <f t="shared" si="19"/>
        <v>0</v>
      </c>
      <c r="Q41" s="21">
        <f t="shared" si="20"/>
        <v>0</v>
      </c>
    </row>
    <row r="42" spans="1:17" x14ac:dyDescent="0.25">
      <c r="A42" s="52" t="s">
        <v>359</v>
      </c>
      <c r="B42" s="19" t="s">
        <v>52</v>
      </c>
      <c r="C42" s="20" t="s">
        <v>49</v>
      </c>
      <c r="D42" s="21">
        <v>100</v>
      </c>
      <c r="E42" s="21">
        <v>12.6</v>
      </c>
      <c r="F42" s="21">
        <v>100</v>
      </c>
      <c r="G42" s="21">
        <v>0</v>
      </c>
      <c r="H42" s="21">
        <v>100</v>
      </c>
      <c r="I42" s="21">
        <v>39.1</v>
      </c>
      <c r="J42" s="21">
        <v>100</v>
      </c>
      <c r="K42" s="8"/>
      <c r="L42" s="21">
        <v>50</v>
      </c>
      <c r="M42" s="21">
        <v>50</v>
      </c>
      <c r="N42" s="21">
        <v>50</v>
      </c>
      <c r="O42" s="21">
        <v>100</v>
      </c>
      <c r="P42" s="21">
        <f t="shared" si="19"/>
        <v>-50</v>
      </c>
      <c r="Q42" s="21">
        <f t="shared" si="20"/>
        <v>-50</v>
      </c>
    </row>
    <row r="43" spans="1:17" x14ac:dyDescent="0.25">
      <c r="A43" s="50" t="s">
        <v>359</v>
      </c>
      <c r="B43" s="19" t="s">
        <v>137</v>
      </c>
      <c r="C43" s="20" t="s">
        <v>138</v>
      </c>
      <c r="D43" s="21">
        <v>4000</v>
      </c>
      <c r="E43" s="21">
        <v>122.5</v>
      </c>
      <c r="F43" s="21">
        <v>4000</v>
      </c>
      <c r="G43" s="21">
        <v>115</v>
      </c>
      <c r="H43" s="21">
        <v>4000</v>
      </c>
      <c r="I43" s="21">
        <v>2721.78</v>
      </c>
      <c r="J43" s="21">
        <v>4000</v>
      </c>
      <c r="K43" s="8"/>
      <c r="L43" s="21">
        <v>2500</v>
      </c>
      <c r="M43" s="21">
        <v>2500</v>
      </c>
      <c r="N43" s="21">
        <v>2500</v>
      </c>
      <c r="O43" s="21">
        <v>4000</v>
      </c>
      <c r="P43" s="21">
        <f t="shared" si="19"/>
        <v>-1500</v>
      </c>
      <c r="Q43" s="21">
        <f t="shared" si="20"/>
        <v>-1500</v>
      </c>
    </row>
    <row r="44" spans="1:17" x14ac:dyDescent="0.25">
      <c r="A44" s="50" t="s">
        <v>359</v>
      </c>
      <c r="B44" s="19" t="s">
        <v>53</v>
      </c>
      <c r="C44" s="20" t="s">
        <v>50</v>
      </c>
      <c r="D44" s="21">
        <v>100</v>
      </c>
      <c r="E44" s="21">
        <v>0</v>
      </c>
      <c r="F44" s="21">
        <v>100</v>
      </c>
      <c r="G44" s="21">
        <v>0</v>
      </c>
      <c r="H44" s="21">
        <v>100</v>
      </c>
      <c r="I44" s="21">
        <v>0</v>
      </c>
      <c r="J44" s="21">
        <v>100</v>
      </c>
      <c r="K44" s="8"/>
      <c r="L44" s="21">
        <v>0</v>
      </c>
      <c r="M44" s="21">
        <v>0</v>
      </c>
      <c r="N44" s="21">
        <v>0</v>
      </c>
      <c r="O44" s="21">
        <v>100</v>
      </c>
      <c r="P44" s="21">
        <f t="shared" si="19"/>
        <v>-100</v>
      </c>
      <c r="Q44" s="21">
        <f t="shared" si="20"/>
        <v>-100</v>
      </c>
    </row>
    <row r="45" spans="1:17" x14ac:dyDescent="0.25">
      <c r="A45" s="84"/>
      <c r="B45" s="84"/>
      <c r="C45" s="84" t="s">
        <v>77</v>
      </c>
      <c r="D45" s="24">
        <f t="shared" ref="D45:E45" si="21">SUM(D40:D44)</f>
        <v>7450</v>
      </c>
      <c r="E45" s="24">
        <f t="shared" si="21"/>
        <v>2383.7599999999998</v>
      </c>
      <c r="F45" s="24">
        <f>SUM(F40:F44)</f>
        <v>7450</v>
      </c>
      <c r="G45" s="24">
        <f>SUM(G40:G44)</f>
        <v>2051.5100000000002</v>
      </c>
      <c r="H45" s="24">
        <f>SUM(H40:H44)</f>
        <v>7450</v>
      </c>
      <c r="I45" s="24">
        <f>SUM(I40:I44)</f>
        <v>3841.9700000000003</v>
      </c>
      <c r="J45" s="24">
        <f>SUM(J40:J44)</f>
        <v>7450</v>
      </c>
      <c r="K45" s="8"/>
      <c r="L45" s="24">
        <f t="shared" ref="L45:Q45" si="22">SUM(L40:L44)</f>
        <v>4800</v>
      </c>
      <c r="M45" s="24">
        <f t="shared" si="22"/>
        <v>4800</v>
      </c>
      <c r="N45" s="24">
        <f t="shared" si="22"/>
        <v>4800</v>
      </c>
      <c r="O45" s="24">
        <f t="shared" si="22"/>
        <v>7450</v>
      </c>
      <c r="P45" s="24">
        <f t="shared" si="22"/>
        <v>-2650</v>
      </c>
      <c r="Q45" s="24">
        <f t="shared" si="22"/>
        <v>-2650</v>
      </c>
    </row>
    <row r="46" spans="1:17" x14ac:dyDescent="0.25">
      <c r="A46" s="82" t="s">
        <v>54</v>
      </c>
      <c r="B46" s="82"/>
      <c r="C46" s="82"/>
      <c r="D46" s="94"/>
      <c r="E46" s="94"/>
      <c r="F46" s="94"/>
      <c r="G46" s="86"/>
      <c r="H46" s="86"/>
      <c r="I46" s="86"/>
      <c r="J46" s="86"/>
      <c r="K46" s="8"/>
      <c r="L46" s="86"/>
      <c r="M46" s="86"/>
      <c r="N46" s="94"/>
      <c r="O46" s="94"/>
    </row>
    <row r="47" spans="1:17" x14ac:dyDescent="0.25">
      <c r="A47" s="50" t="s">
        <v>359</v>
      </c>
      <c r="B47" s="19" t="s">
        <v>114</v>
      </c>
      <c r="C47" s="20" t="s">
        <v>115</v>
      </c>
      <c r="D47" s="21">
        <v>53980</v>
      </c>
      <c r="E47" s="21">
        <v>28583.91</v>
      </c>
      <c r="F47" s="21">
        <v>15000</v>
      </c>
      <c r="G47" s="21">
        <v>18557.02</v>
      </c>
      <c r="H47" s="21">
        <v>17000</v>
      </c>
      <c r="I47" s="21">
        <v>20772.37</v>
      </c>
      <c r="J47" s="21">
        <v>15500</v>
      </c>
      <c r="K47" s="8"/>
      <c r="L47" s="21">
        <v>15500</v>
      </c>
      <c r="M47" s="21">
        <v>15500</v>
      </c>
      <c r="N47" s="21">
        <v>15500</v>
      </c>
      <c r="O47" s="21">
        <v>15500</v>
      </c>
      <c r="P47" s="21">
        <f>+N47-J47</f>
        <v>0</v>
      </c>
      <c r="Q47" s="21">
        <f>+N47-O47</f>
        <v>0</v>
      </c>
    </row>
    <row r="48" spans="1:17" x14ac:dyDescent="0.25">
      <c r="A48" s="84"/>
      <c r="B48" s="84"/>
      <c r="C48" s="84" t="s">
        <v>86</v>
      </c>
      <c r="D48" s="24">
        <f t="shared" ref="D48:E48" si="23">SUM(D47:D47)</f>
        <v>53980</v>
      </c>
      <c r="E48" s="24">
        <f t="shared" si="23"/>
        <v>28583.91</v>
      </c>
      <c r="F48" s="24">
        <f>SUM(F47:F47)</f>
        <v>15000</v>
      </c>
      <c r="G48" s="24">
        <f>SUM(G47:G47)</f>
        <v>18557.02</v>
      </c>
      <c r="H48" s="24">
        <f>SUM(H47:H47)</f>
        <v>17000</v>
      </c>
      <c r="I48" s="24">
        <f>SUM(I47:I47)</f>
        <v>20772.37</v>
      </c>
      <c r="J48" s="24">
        <f>SUM(J47:J47)</f>
        <v>15500</v>
      </c>
      <c r="K48" s="8"/>
      <c r="L48" s="24">
        <f t="shared" ref="L48:Q48" si="24">SUM(L47:L47)</f>
        <v>15500</v>
      </c>
      <c r="M48" s="24">
        <f t="shared" si="24"/>
        <v>15500</v>
      </c>
      <c r="N48" s="24">
        <f t="shared" si="24"/>
        <v>15500</v>
      </c>
      <c r="O48" s="24">
        <f t="shared" si="24"/>
        <v>15500</v>
      </c>
      <c r="P48" s="24">
        <f t="shared" si="24"/>
        <v>0</v>
      </c>
      <c r="Q48" s="24">
        <f t="shared" si="24"/>
        <v>0</v>
      </c>
    </row>
    <row r="49" spans="1:17" x14ac:dyDescent="0.25">
      <c r="A49" s="82" t="s">
        <v>172</v>
      </c>
      <c r="B49" s="88"/>
      <c r="C49" s="88"/>
      <c r="D49" s="94"/>
      <c r="E49" s="94"/>
      <c r="F49" s="94"/>
      <c r="G49" s="86"/>
      <c r="H49" s="86"/>
      <c r="I49" s="86"/>
      <c r="J49" s="86"/>
      <c r="K49" s="8"/>
      <c r="L49" s="86"/>
      <c r="M49" s="86"/>
      <c r="N49" s="94"/>
      <c r="O49" s="94"/>
    </row>
    <row r="50" spans="1:17" x14ac:dyDescent="0.25">
      <c r="A50" s="52" t="s">
        <v>359</v>
      </c>
      <c r="B50" s="19" t="s">
        <v>362</v>
      </c>
      <c r="C50" s="20" t="s">
        <v>363</v>
      </c>
      <c r="D50" s="21">
        <v>9500</v>
      </c>
      <c r="E50" s="21">
        <v>1099</v>
      </c>
      <c r="F50" s="21">
        <v>9500</v>
      </c>
      <c r="G50" s="21">
        <v>5</v>
      </c>
      <c r="H50" s="21">
        <v>7000</v>
      </c>
      <c r="I50" s="21">
        <v>1799</v>
      </c>
      <c r="J50" s="21">
        <v>5500</v>
      </c>
      <c r="K50" s="8"/>
      <c r="L50" s="21">
        <v>1500</v>
      </c>
      <c r="M50" s="21">
        <v>1500</v>
      </c>
      <c r="N50" s="21">
        <v>1500</v>
      </c>
      <c r="O50" s="21">
        <v>5500</v>
      </c>
      <c r="P50" s="21">
        <f>+N50-J50</f>
        <v>-4000</v>
      </c>
      <c r="Q50" s="21">
        <f>+N50-O50</f>
        <v>-4000</v>
      </c>
    </row>
    <row r="51" spans="1:17" x14ac:dyDescent="0.25">
      <c r="A51" s="84"/>
      <c r="B51" s="84"/>
      <c r="C51" s="84" t="s">
        <v>177</v>
      </c>
      <c r="D51" s="24">
        <f t="shared" ref="D51:E51" si="25">SUM(D50:D50)</f>
        <v>9500</v>
      </c>
      <c r="E51" s="24">
        <f t="shared" si="25"/>
        <v>1099</v>
      </c>
      <c r="F51" s="24">
        <f>SUM(F50:F50)</f>
        <v>9500</v>
      </c>
      <c r="G51" s="24">
        <f>SUM(G50:G50)</f>
        <v>5</v>
      </c>
      <c r="H51" s="24">
        <f>SUM(H50:H50)</f>
        <v>7000</v>
      </c>
      <c r="I51" s="24">
        <f>SUM(I50:I50)</f>
        <v>1799</v>
      </c>
      <c r="J51" s="24">
        <f>SUM(J50:J50)</f>
        <v>5500</v>
      </c>
      <c r="K51" s="8"/>
      <c r="L51" s="24">
        <f t="shared" ref="L51:Q51" si="26">SUM(L50:L50)</f>
        <v>1500</v>
      </c>
      <c r="M51" s="24">
        <f t="shared" si="26"/>
        <v>1500</v>
      </c>
      <c r="N51" s="24">
        <f t="shared" si="26"/>
        <v>1500</v>
      </c>
      <c r="O51" s="24">
        <f t="shared" si="26"/>
        <v>5500</v>
      </c>
      <c r="P51" s="24">
        <f t="shared" si="26"/>
        <v>-4000</v>
      </c>
      <c r="Q51" s="24">
        <f t="shared" si="26"/>
        <v>-4000</v>
      </c>
    </row>
    <row r="52" spans="1:17" x14ac:dyDescent="0.25">
      <c r="A52" s="90"/>
      <c r="B52" s="90"/>
      <c r="C52" s="90" t="s">
        <v>78</v>
      </c>
      <c r="D52" s="40">
        <f t="shared" ref="D52:J52" si="27">D13+D20+D27+D33+D38+D45+D48+D51</f>
        <v>298551</v>
      </c>
      <c r="E52" s="40">
        <f t="shared" si="27"/>
        <v>248758.07</v>
      </c>
      <c r="F52" s="40">
        <f t="shared" si="27"/>
        <v>262447</v>
      </c>
      <c r="G52" s="40">
        <f t="shared" si="27"/>
        <v>239276.29000000007</v>
      </c>
      <c r="H52" s="40">
        <f t="shared" si="27"/>
        <v>266270</v>
      </c>
      <c r="I52" s="40">
        <f t="shared" si="27"/>
        <v>264653.13</v>
      </c>
      <c r="J52" s="40">
        <f t="shared" si="27"/>
        <v>280598</v>
      </c>
      <c r="K52" s="8"/>
      <c r="L52" s="40">
        <f t="shared" ref="L52:Q52" si="28">L13+L20+L27+L33+L38+L45+L48+L51</f>
        <v>301412</v>
      </c>
      <c r="M52" s="40">
        <f t="shared" si="28"/>
        <v>298312</v>
      </c>
      <c r="N52" s="40">
        <f t="shared" si="28"/>
        <v>298312</v>
      </c>
      <c r="O52" s="40">
        <f t="shared" si="28"/>
        <v>298518</v>
      </c>
      <c r="P52" s="40">
        <f t="shared" si="28"/>
        <v>17714</v>
      </c>
      <c r="Q52" s="40">
        <f t="shared" si="28"/>
        <v>-206</v>
      </c>
    </row>
    <row r="53" spans="1:17" x14ac:dyDescent="0.25">
      <c r="A53" s="90"/>
      <c r="B53" s="90"/>
      <c r="C53" s="90" t="s">
        <v>364</v>
      </c>
      <c r="D53" s="40">
        <f t="shared" ref="D53:J54" si="29">D52</f>
        <v>298551</v>
      </c>
      <c r="E53" s="40">
        <f t="shared" si="29"/>
        <v>248758.07</v>
      </c>
      <c r="F53" s="40">
        <f t="shared" si="29"/>
        <v>262447</v>
      </c>
      <c r="G53" s="40">
        <f t="shared" si="29"/>
        <v>239276.29000000007</v>
      </c>
      <c r="H53" s="40">
        <f t="shared" si="29"/>
        <v>266270</v>
      </c>
      <c r="I53" s="40">
        <f t="shared" si="29"/>
        <v>264653.13</v>
      </c>
      <c r="J53" s="40">
        <f t="shared" si="29"/>
        <v>280598</v>
      </c>
      <c r="K53" s="8"/>
      <c r="L53" s="40">
        <f t="shared" ref="L53:Q54" si="30">L52</f>
        <v>301412</v>
      </c>
      <c r="M53" s="40">
        <f t="shared" si="30"/>
        <v>298312</v>
      </c>
      <c r="N53" s="40">
        <f t="shared" si="30"/>
        <v>298312</v>
      </c>
      <c r="O53" s="40">
        <f t="shared" si="30"/>
        <v>298518</v>
      </c>
      <c r="P53" s="40">
        <f t="shared" si="30"/>
        <v>17714</v>
      </c>
      <c r="Q53" s="40">
        <f t="shared" si="30"/>
        <v>-206</v>
      </c>
    </row>
    <row r="54" spans="1:17" x14ac:dyDescent="0.25">
      <c r="A54" s="92"/>
      <c r="B54" s="92"/>
      <c r="C54" s="92" t="s">
        <v>80</v>
      </c>
      <c r="D54" s="41">
        <f t="shared" si="29"/>
        <v>298551</v>
      </c>
      <c r="E54" s="41">
        <f t="shared" si="29"/>
        <v>248758.07</v>
      </c>
      <c r="F54" s="41">
        <f t="shared" si="29"/>
        <v>262447</v>
      </c>
      <c r="G54" s="41">
        <f t="shared" si="29"/>
        <v>239276.29000000007</v>
      </c>
      <c r="H54" s="41">
        <f t="shared" si="29"/>
        <v>266270</v>
      </c>
      <c r="I54" s="41">
        <f t="shared" si="29"/>
        <v>264653.13</v>
      </c>
      <c r="J54" s="41">
        <f t="shared" si="29"/>
        <v>280598</v>
      </c>
      <c r="K54" s="8"/>
      <c r="L54" s="41">
        <f t="shared" si="30"/>
        <v>301412</v>
      </c>
      <c r="M54" s="41">
        <f t="shared" si="30"/>
        <v>298312</v>
      </c>
      <c r="N54" s="41">
        <f t="shared" si="30"/>
        <v>298312</v>
      </c>
      <c r="O54" s="41">
        <f t="shared" si="30"/>
        <v>298518</v>
      </c>
      <c r="P54" s="41">
        <f t="shared" si="30"/>
        <v>17714</v>
      </c>
      <c r="Q54" s="41">
        <f t="shared" si="30"/>
        <v>-206</v>
      </c>
    </row>
    <row r="55" spans="1:17" ht="5.25" customHeight="1" x14ac:dyDescent="0.25">
      <c r="B55" s="10"/>
      <c r="D55" s="130"/>
      <c r="E55" s="130"/>
      <c r="F55" s="130"/>
      <c r="G55" s="86"/>
      <c r="H55" s="86"/>
      <c r="I55" s="86"/>
      <c r="J55" s="86"/>
      <c r="K55" s="8"/>
      <c r="L55" s="86"/>
      <c r="M55" s="86"/>
      <c r="N55" s="94"/>
      <c r="O55" s="94"/>
      <c r="P55" s="94"/>
    </row>
    <row r="56" spans="1:17" x14ac:dyDescent="0.25">
      <c r="A56" s="92"/>
      <c r="B56" s="92"/>
      <c r="C56" s="92" t="s">
        <v>81</v>
      </c>
      <c r="D56" s="41">
        <f t="shared" ref="D56:E56" si="31">D54</f>
        <v>298551</v>
      </c>
      <c r="E56" s="41">
        <f t="shared" si="31"/>
        <v>248758.07</v>
      </c>
      <c r="F56" s="41">
        <f>F54</f>
        <v>262447</v>
      </c>
      <c r="G56" s="41">
        <f>G54</f>
        <v>239276.29000000007</v>
      </c>
      <c r="H56" s="41">
        <f>H54</f>
        <v>266270</v>
      </c>
      <c r="I56" s="41">
        <f>I54</f>
        <v>264653.13</v>
      </c>
      <c r="J56" s="41">
        <f>J54</f>
        <v>280598</v>
      </c>
      <c r="K56" s="8"/>
      <c r="L56" s="41">
        <f t="shared" ref="L56:P56" si="32">L54</f>
        <v>301412</v>
      </c>
      <c r="M56" s="41">
        <f t="shared" si="32"/>
        <v>298312</v>
      </c>
      <c r="N56" s="41">
        <f t="shared" si="32"/>
        <v>298312</v>
      </c>
      <c r="O56" s="41">
        <f t="shared" si="32"/>
        <v>298518</v>
      </c>
      <c r="P56" s="41">
        <f t="shared" si="32"/>
        <v>17714</v>
      </c>
      <c r="Q56" s="41">
        <f>Q54</f>
        <v>-206</v>
      </c>
    </row>
    <row r="57" spans="1:17" x14ac:dyDescent="0.25">
      <c r="L57" s="94"/>
      <c r="M57" s="94"/>
    </row>
    <row r="58" spans="1:17" x14ac:dyDescent="0.25">
      <c r="L58" s="97"/>
      <c r="M58" s="97"/>
      <c r="N58" s="97"/>
    </row>
    <row r="60" spans="1:17" x14ac:dyDescent="0.25">
      <c r="M60" s="97"/>
    </row>
    <row r="65" spans="13:13" x14ac:dyDescent="0.25">
      <c r="M65" s="97"/>
    </row>
  </sheetData>
  <mergeCells count="2">
    <mergeCell ref="A1:C1"/>
    <mergeCell ref="D1:Q1"/>
  </mergeCells>
  <printOptions horizontalCentered="1" verticalCentered="1"/>
  <pageMargins left="0.7" right="0.7" top="0.75" bottom="0.75" header="0.3" footer="0.3"/>
  <pageSetup scale="59" fitToHeight="0" orientation="landscape" r:id="rId1"/>
  <headerFooter>
    <oddFooter>&amp;RBudget Kick Off - 11.01.25</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39475-2F83-4365-92E6-F4BB44B3B468}">
  <sheetPr codeName="Sheet26">
    <tabColor rgb="FF92D050"/>
    <pageSetUpPr fitToPage="1"/>
  </sheetPr>
  <dimension ref="A1:Q51"/>
  <sheetViews>
    <sheetView view="pageBreakPreview" zoomScale="130" zoomScaleNormal="110" zoomScaleSheetLayoutView="130" workbookViewId="0">
      <selection activeCell="C28" sqref="C28"/>
    </sheetView>
  </sheetViews>
  <sheetFormatPr defaultColWidth="9" defaultRowHeight="14.4" x14ac:dyDescent="0.3"/>
  <cols>
    <col min="1" max="1" width="8.88671875" style="64" bestFit="1" customWidth="1"/>
    <col min="2" max="2" width="14.109375" style="10" bestFit="1" customWidth="1"/>
    <col min="3" max="3" width="32" style="3" bestFit="1" customWidth="1"/>
    <col min="4" max="4" width="11.33203125" style="3" customWidth="1"/>
    <col min="5" max="5" width="11.44140625" style="3" customWidth="1"/>
    <col min="6" max="6" width="11.33203125" style="3" customWidth="1"/>
    <col min="7" max="7" width="11.44140625" style="3" customWidth="1"/>
    <col min="8" max="8" width="11.33203125" style="3" customWidth="1"/>
    <col min="9" max="9" width="11.5546875" style="3" customWidth="1"/>
    <col min="10" max="10" width="13.33203125" style="3" bestFit="1" customWidth="1"/>
    <col min="11" max="11" width="1" style="3" customWidth="1"/>
    <col min="12" max="13" width="10.6640625" style="3" bestFit="1" customWidth="1"/>
    <col min="14" max="14" width="14.33203125" style="3" bestFit="1" customWidth="1"/>
    <col min="15" max="15" width="11.109375" style="3" bestFit="1" customWidth="1"/>
    <col min="16" max="16" width="11.6640625" bestFit="1" customWidth="1"/>
    <col min="17" max="17" width="12.5546875" customWidth="1"/>
    <col min="18" max="16384" width="9" style="3"/>
  </cols>
  <sheetData>
    <row r="1" spans="1:17" s="118" customFormat="1" ht="75" customHeight="1" x14ac:dyDescent="0.25">
      <c r="A1" s="170" t="s">
        <v>365</v>
      </c>
      <c r="B1" s="170"/>
      <c r="C1" s="170"/>
      <c r="D1" s="170"/>
      <c r="E1" s="170"/>
      <c r="F1" s="170"/>
      <c r="G1" s="170"/>
      <c r="H1" s="170"/>
      <c r="I1" s="170"/>
      <c r="J1" s="170"/>
      <c r="K1" s="170"/>
      <c r="L1" s="170"/>
      <c r="M1" s="170"/>
      <c r="N1" s="170"/>
      <c r="O1" s="170"/>
      <c r="P1" s="170"/>
      <c r="Q1" s="170"/>
    </row>
    <row r="2" spans="1:17" s="118" customFormat="1" ht="4.5" customHeight="1" x14ac:dyDescent="0.25">
      <c r="A2" s="131"/>
      <c r="B2" s="132"/>
    </row>
    <row r="3" spans="1:17" s="49" customFormat="1" ht="39.6" x14ac:dyDescent="0.3">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3.75" customHeight="1" x14ac:dyDescent="0.25">
      <c r="K4" s="11"/>
      <c r="P4" s="3"/>
      <c r="Q4" s="3"/>
    </row>
    <row r="5" spans="1:17" ht="13.8" x14ac:dyDescent="0.25">
      <c r="A5" s="171" t="s">
        <v>69</v>
      </c>
      <c r="B5" s="171"/>
      <c r="C5" s="171"/>
      <c r="D5" s="12"/>
      <c r="E5" s="12"/>
      <c r="F5" s="12"/>
      <c r="G5" s="12"/>
      <c r="I5" s="12"/>
      <c r="K5" s="11"/>
      <c r="P5" s="3"/>
      <c r="Q5" s="3"/>
    </row>
    <row r="6" spans="1:17" ht="11.25" customHeight="1" x14ac:dyDescent="0.25">
      <c r="A6" s="172" t="s">
        <v>70</v>
      </c>
      <c r="B6" s="172"/>
      <c r="C6" s="172"/>
      <c r="D6" s="14"/>
      <c r="E6" s="14"/>
      <c r="F6" s="14"/>
      <c r="G6" s="14"/>
      <c r="I6" s="14"/>
      <c r="K6" s="11"/>
      <c r="P6" s="3"/>
      <c r="Q6" s="3"/>
    </row>
    <row r="7" spans="1:17" ht="13.8" x14ac:dyDescent="0.25">
      <c r="A7" s="173" t="s">
        <v>366</v>
      </c>
      <c r="B7" s="173"/>
      <c r="C7" s="173"/>
      <c r="D7" s="15"/>
      <c r="E7" s="15"/>
      <c r="F7" s="15"/>
      <c r="G7" s="15"/>
      <c r="I7" s="15"/>
      <c r="K7" s="11"/>
      <c r="P7" s="3"/>
      <c r="Q7" s="3"/>
    </row>
    <row r="8" spans="1:17" ht="13.8" x14ac:dyDescent="0.25">
      <c r="A8" s="174" t="s">
        <v>72</v>
      </c>
      <c r="B8" s="174"/>
      <c r="C8" s="174"/>
      <c r="D8" s="16"/>
      <c r="E8" s="16"/>
      <c r="F8" s="16"/>
      <c r="G8" s="16"/>
      <c r="I8" s="16"/>
      <c r="K8" s="11"/>
      <c r="P8" s="3"/>
      <c r="Q8" s="3"/>
    </row>
    <row r="9" spans="1:17" ht="11.25" customHeight="1" x14ac:dyDescent="0.25">
      <c r="A9" s="175" t="s">
        <v>11</v>
      </c>
      <c r="B9" s="175"/>
      <c r="C9" s="175"/>
      <c r="D9" s="17"/>
      <c r="E9" s="17"/>
      <c r="F9" s="17"/>
      <c r="G9" s="17"/>
      <c r="I9" s="17"/>
      <c r="K9" s="11"/>
      <c r="P9" s="3"/>
      <c r="Q9" s="3"/>
    </row>
    <row r="10" spans="1:17" ht="13.8" x14ac:dyDescent="0.25">
      <c r="A10" s="50" t="s">
        <v>367</v>
      </c>
      <c r="B10" s="19" t="s">
        <v>35</v>
      </c>
      <c r="C10" s="20" t="s">
        <v>36</v>
      </c>
      <c r="D10" s="21">
        <v>27992</v>
      </c>
      <c r="E10" s="21">
        <v>28115.42</v>
      </c>
      <c r="F10" s="21">
        <v>29416</v>
      </c>
      <c r="G10" s="21">
        <v>63933.74</v>
      </c>
      <c r="H10" s="21">
        <v>74345</v>
      </c>
      <c r="I10" s="21">
        <v>82833.13</v>
      </c>
      <c r="J10" s="21">
        <v>79640</v>
      </c>
      <c r="K10" s="23"/>
      <c r="L10" s="21">
        <v>181095</v>
      </c>
      <c r="M10" s="21">
        <v>181095</v>
      </c>
      <c r="N10" s="21">
        <v>181095</v>
      </c>
      <c r="O10" s="21">
        <v>88656</v>
      </c>
      <c r="P10" s="21">
        <f>+N10-J10</f>
        <v>101455</v>
      </c>
      <c r="Q10" s="21">
        <f>+N10-O10</f>
        <v>92439</v>
      </c>
    </row>
    <row r="11" spans="1:17" ht="13.8" x14ac:dyDescent="0.25">
      <c r="A11" s="50" t="s">
        <v>367</v>
      </c>
      <c r="B11" s="19" t="s">
        <v>37</v>
      </c>
      <c r="C11" s="20" t="s">
        <v>38</v>
      </c>
      <c r="D11" s="21">
        <v>64840</v>
      </c>
      <c r="E11" s="21">
        <v>54425.120000000003</v>
      </c>
      <c r="F11" s="21">
        <v>64722</v>
      </c>
      <c r="G11" s="21">
        <v>59778.080000000002</v>
      </c>
      <c r="H11" s="21">
        <v>69971</v>
      </c>
      <c r="I11" s="21">
        <v>67174.22</v>
      </c>
      <c r="J11" s="21">
        <v>83713</v>
      </c>
      <c r="K11" s="23"/>
      <c r="L11" s="21">
        <v>49250</v>
      </c>
      <c r="M11" s="21">
        <v>14866</v>
      </c>
      <c r="N11" s="21">
        <v>14866</v>
      </c>
      <c r="O11" s="21">
        <v>50531</v>
      </c>
      <c r="P11" s="21">
        <f>+N11-J11</f>
        <v>-68847</v>
      </c>
      <c r="Q11" s="21">
        <f>+N11-O11</f>
        <v>-35665</v>
      </c>
    </row>
    <row r="12" spans="1:17" ht="13.8" x14ac:dyDescent="0.25">
      <c r="A12" s="177" t="s">
        <v>74</v>
      </c>
      <c r="B12" s="177"/>
      <c r="C12" s="177"/>
      <c r="D12" s="24">
        <f t="shared" ref="D12:J12" si="0">SUM(D10:D11)</f>
        <v>92832</v>
      </c>
      <c r="E12" s="24">
        <f t="shared" si="0"/>
        <v>82540.540000000008</v>
      </c>
      <c r="F12" s="24">
        <f t="shared" si="0"/>
        <v>94138</v>
      </c>
      <c r="G12" s="24">
        <f t="shared" si="0"/>
        <v>123711.82</v>
      </c>
      <c r="H12" s="24">
        <f t="shared" si="0"/>
        <v>144316</v>
      </c>
      <c r="I12" s="24">
        <f t="shared" si="0"/>
        <v>150007.35</v>
      </c>
      <c r="J12" s="24">
        <f t="shared" si="0"/>
        <v>163353</v>
      </c>
      <c r="K12" s="26"/>
      <c r="L12" s="24">
        <f t="shared" ref="L12:Q12" si="1">SUM(L10:L11)</f>
        <v>230345</v>
      </c>
      <c r="M12" s="24">
        <f t="shared" si="1"/>
        <v>195961</v>
      </c>
      <c r="N12" s="24">
        <f t="shared" si="1"/>
        <v>195961</v>
      </c>
      <c r="O12" s="24">
        <f t="shared" si="1"/>
        <v>139187</v>
      </c>
      <c r="P12" s="24">
        <f t="shared" si="1"/>
        <v>32608</v>
      </c>
      <c r="Q12" s="24">
        <f t="shared" si="1"/>
        <v>56774</v>
      </c>
    </row>
    <row r="13" spans="1:17" ht="13.8" x14ac:dyDescent="0.25">
      <c r="A13" s="175" t="s">
        <v>14</v>
      </c>
      <c r="B13" s="175"/>
      <c r="C13" s="175"/>
      <c r="D13" s="30"/>
      <c r="E13" s="30"/>
      <c r="F13" s="27"/>
      <c r="G13" s="27"/>
      <c r="H13" s="27"/>
      <c r="I13" s="27"/>
      <c r="J13" s="27"/>
      <c r="K13" s="29"/>
      <c r="L13" s="27"/>
      <c r="M13" s="27"/>
      <c r="N13" s="27"/>
      <c r="O13" s="27"/>
      <c r="P13" s="30"/>
      <c r="Q13" s="30"/>
    </row>
    <row r="14" spans="1:17" ht="13.8" x14ac:dyDescent="0.25">
      <c r="A14" s="50" t="s">
        <v>367</v>
      </c>
      <c r="B14" s="19" t="s">
        <v>41</v>
      </c>
      <c r="C14" s="20" t="s">
        <v>42</v>
      </c>
      <c r="D14" s="30">
        <v>0</v>
      </c>
      <c r="E14" s="30">
        <v>0</v>
      </c>
      <c r="F14" s="27">
        <v>0</v>
      </c>
      <c r="G14" s="27">
        <v>0</v>
      </c>
      <c r="H14" s="27">
        <v>0</v>
      </c>
      <c r="I14" s="27">
        <v>0</v>
      </c>
      <c r="J14" s="27">
        <v>0</v>
      </c>
      <c r="K14" s="29"/>
      <c r="L14" s="27">
        <v>1270</v>
      </c>
      <c r="M14" s="27">
        <v>1270</v>
      </c>
      <c r="N14" s="27">
        <v>1270</v>
      </c>
      <c r="O14" s="27">
        <v>0</v>
      </c>
      <c r="P14" s="21">
        <f t="shared" ref="P14:P18" si="2">+N14-J14</f>
        <v>1270</v>
      </c>
      <c r="Q14" s="21">
        <f>+N14-O14</f>
        <v>1270</v>
      </c>
    </row>
    <row r="15" spans="1:17" ht="13.8" x14ac:dyDescent="0.25">
      <c r="A15" s="50" t="s">
        <v>367</v>
      </c>
      <c r="B15" s="19" t="s">
        <v>15</v>
      </c>
      <c r="C15" s="20" t="s">
        <v>16</v>
      </c>
      <c r="D15" s="21">
        <v>5574</v>
      </c>
      <c r="E15" s="21">
        <v>5069.01</v>
      </c>
      <c r="F15" s="21">
        <v>5837</v>
      </c>
      <c r="G15" s="21">
        <v>7595.91</v>
      </c>
      <c r="H15" s="21">
        <v>9134</v>
      </c>
      <c r="I15" s="21">
        <v>9034.4500000000007</v>
      </c>
      <c r="J15" s="21">
        <v>10129</v>
      </c>
      <c r="K15" s="23"/>
      <c r="L15" s="21">
        <v>14282</v>
      </c>
      <c r="M15" s="21">
        <v>12150</v>
      </c>
      <c r="N15" s="21">
        <v>12150</v>
      </c>
      <c r="O15" s="21">
        <v>8630</v>
      </c>
      <c r="P15" s="21">
        <f t="shared" si="2"/>
        <v>2021</v>
      </c>
      <c r="Q15" s="21">
        <f>+N15-O15</f>
        <v>3520</v>
      </c>
    </row>
    <row r="16" spans="1:17" ht="13.8" x14ac:dyDescent="0.25">
      <c r="A16" s="50" t="s">
        <v>367</v>
      </c>
      <c r="B16" s="19" t="s">
        <v>17</v>
      </c>
      <c r="C16" s="20" t="s">
        <v>18</v>
      </c>
      <c r="D16" s="21">
        <v>1304</v>
      </c>
      <c r="E16" s="21">
        <v>1185.44</v>
      </c>
      <c r="F16" s="21">
        <v>1365</v>
      </c>
      <c r="G16" s="21">
        <v>1776.51</v>
      </c>
      <c r="H16" s="21">
        <v>2137</v>
      </c>
      <c r="I16" s="21">
        <v>2112.92</v>
      </c>
      <c r="J16" s="21">
        <v>2371</v>
      </c>
      <c r="K16" s="23"/>
      <c r="L16" s="21">
        <v>3340</v>
      </c>
      <c r="M16" s="21">
        <v>2842</v>
      </c>
      <c r="N16" s="21">
        <v>2842</v>
      </c>
      <c r="O16" s="21">
        <v>2019</v>
      </c>
      <c r="P16" s="21">
        <f t="shared" si="2"/>
        <v>471</v>
      </c>
      <c r="Q16" s="21">
        <f>+N16-O16</f>
        <v>823</v>
      </c>
    </row>
    <row r="17" spans="1:17" ht="13.8" x14ac:dyDescent="0.25">
      <c r="A17" s="50" t="s">
        <v>367</v>
      </c>
      <c r="B17" s="19" t="s">
        <v>43</v>
      </c>
      <c r="C17" s="20" t="s">
        <v>44</v>
      </c>
      <c r="D17" s="21">
        <v>0</v>
      </c>
      <c r="E17" s="21">
        <v>0</v>
      </c>
      <c r="F17" s="21">
        <v>0</v>
      </c>
      <c r="G17" s="21">
        <v>0</v>
      </c>
      <c r="H17" s="21">
        <v>0</v>
      </c>
      <c r="I17" s="21">
        <v>0</v>
      </c>
      <c r="J17" s="21">
        <v>0</v>
      </c>
      <c r="K17" s="23"/>
      <c r="L17" s="21">
        <v>23090</v>
      </c>
      <c r="M17" s="21">
        <v>23090</v>
      </c>
      <c r="N17" s="21">
        <v>23090</v>
      </c>
      <c r="O17" s="21">
        <v>0</v>
      </c>
      <c r="P17" s="21">
        <f t="shared" si="2"/>
        <v>23090</v>
      </c>
      <c r="Q17" s="21">
        <f>+N17-O17</f>
        <v>23090</v>
      </c>
    </row>
    <row r="18" spans="1:17" ht="13.8" x14ac:dyDescent="0.25">
      <c r="A18" s="50" t="s">
        <v>367</v>
      </c>
      <c r="B18" s="19" t="s">
        <v>19</v>
      </c>
      <c r="C18" s="33" t="s">
        <v>20</v>
      </c>
      <c r="D18" s="21">
        <v>1440</v>
      </c>
      <c r="E18" s="21">
        <v>1373.14</v>
      </c>
      <c r="F18" s="21">
        <v>1524</v>
      </c>
      <c r="G18" s="21">
        <v>1625.54</v>
      </c>
      <c r="H18" s="21">
        <v>1822</v>
      </c>
      <c r="I18" s="21">
        <v>1821.63</v>
      </c>
      <c r="J18" s="21">
        <v>2152</v>
      </c>
      <c r="K18" s="23"/>
      <c r="L18" s="21">
        <v>2120</v>
      </c>
      <c r="M18" s="21">
        <v>2120</v>
      </c>
      <c r="N18" s="21">
        <v>2120</v>
      </c>
      <c r="O18" s="21">
        <v>2120</v>
      </c>
      <c r="P18" s="21">
        <f t="shared" si="2"/>
        <v>-32</v>
      </c>
      <c r="Q18" s="21">
        <f>+N18-O18</f>
        <v>0</v>
      </c>
    </row>
    <row r="19" spans="1:17" ht="13.8" x14ac:dyDescent="0.25">
      <c r="A19" s="177" t="s">
        <v>75</v>
      </c>
      <c r="B19" s="177"/>
      <c r="C19" s="177"/>
      <c r="D19" s="24">
        <f>SUM(D14:D18)</f>
        <v>8318</v>
      </c>
      <c r="E19" s="24">
        <f t="shared" ref="E19:J19" si="3">SUM(E14:E18)</f>
        <v>7627.5900000000011</v>
      </c>
      <c r="F19" s="24">
        <f t="shared" si="3"/>
        <v>8726</v>
      </c>
      <c r="G19" s="24">
        <f t="shared" si="3"/>
        <v>10997.96</v>
      </c>
      <c r="H19" s="24">
        <f t="shared" si="3"/>
        <v>13093</v>
      </c>
      <c r="I19" s="24">
        <f t="shared" si="3"/>
        <v>12969</v>
      </c>
      <c r="J19" s="24">
        <f t="shared" si="3"/>
        <v>14652</v>
      </c>
      <c r="K19" s="26"/>
      <c r="L19" s="24">
        <f>SUM(L14:L18)</f>
        <v>44102</v>
      </c>
      <c r="M19" s="24">
        <f>SUM(M14:M18)</f>
        <v>41472</v>
      </c>
      <c r="N19" s="24">
        <f t="shared" ref="N19:Q19" si="4">SUM(N14:N18)</f>
        <v>41472</v>
      </c>
      <c r="O19" s="24">
        <f t="shared" si="4"/>
        <v>12769</v>
      </c>
      <c r="P19" s="24">
        <f t="shared" si="4"/>
        <v>26820</v>
      </c>
      <c r="Q19" s="24">
        <f t="shared" si="4"/>
        <v>28703</v>
      </c>
    </row>
    <row r="20" spans="1:17" ht="13.8" x14ac:dyDescent="0.25">
      <c r="A20" s="175" t="s">
        <v>133</v>
      </c>
      <c r="B20" s="175"/>
      <c r="C20" s="175"/>
      <c r="D20" s="30"/>
      <c r="E20" s="30"/>
      <c r="F20" s="27"/>
      <c r="G20" s="27"/>
      <c r="H20" s="27"/>
      <c r="I20" s="27"/>
      <c r="J20" s="27"/>
      <c r="K20" s="29"/>
      <c r="L20" s="27"/>
      <c r="M20" s="27"/>
      <c r="N20" s="27"/>
      <c r="O20" s="27"/>
      <c r="P20" s="30"/>
      <c r="Q20" s="30"/>
    </row>
    <row r="21" spans="1:17" ht="13.8" x14ac:dyDescent="0.25">
      <c r="A21" s="50" t="s">
        <v>367</v>
      </c>
      <c r="B21" s="19" t="s">
        <v>160</v>
      </c>
      <c r="C21" s="20" t="s">
        <v>161</v>
      </c>
      <c r="D21" s="21">
        <v>10000</v>
      </c>
      <c r="E21" s="21">
        <v>12577.49</v>
      </c>
      <c r="F21" s="21">
        <v>10000</v>
      </c>
      <c r="G21" s="21">
        <v>12518.28</v>
      </c>
      <c r="H21" s="21">
        <v>11500</v>
      </c>
      <c r="I21" s="21">
        <v>14991.05</v>
      </c>
      <c r="J21" s="21">
        <v>13643</v>
      </c>
      <c r="K21" s="23"/>
      <c r="L21" s="21">
        <v>14100</v>
      </c>
      <c r="M21" s="21">
        <v>14100</v>
      </c>
      <c r="N21" s="21">
        <v>14100</v>
      </c>
      <c r="O21" s="21">
        <f>11500+2143</f>
        <v>13643</v>
      </c>
      <c r="P21" s="21">
        <f t="shared" ref="P21:P23" si="5">+N21-J21</f>
        <v>457</v>
      </c>
      <c r="Q21" s="21">
        <f>+N21-O21</f>
        <v>457</v>
      </c>
    </row>
    <row r="22" spans="1:17" ht="13.8" x14ac:dyDescent="0.25">
      <c r="A22" s="50" t="s">
        <v>367</v>
      </c>
      <c r="B22" s="19" t="s">
        <v>162</v>
      </c>
      <c r="C22" s="20" t="s">
        <v>163</v>
      </c>
      <c r="D22" s="21">
        <v>200</v>
      </c>
      <c r="E22" s="21">
        <v>184.12</v>
      </c>
      <c r="F22" s="21">
        <v>200</v>
      </c>
      <c r="G22" s="21">
        <v>209.43</v>
      </c>
      <c r="H22" s="21">
        <v>300</v>
      </c>
      <c r="I22" s="21">
        <v>232.85</v>
      </c>
      <c r="J22" s="21">
        <v>323</v>
      </c>
      <c r="K22" s="23"/>
      <c r="L22" s="21">
        <v>323</v>
      </c>
      <c r="M22" s="21">
        <v>323</v>
      </c>
      <c r="N22" s="21">
        <v>323</v>
      </c>
      <c r="O22" s="21">
        <f>300+23</f>
        <v>323</v>
      </c>
      <c r="P22" s="21">
        <f t="shared" si="5"/>
        <v>0</v>
      </c>
      <c r="Q22" s="21">
        <f>+N22-O22</f>
        <v>0</v>
      </c>
    </row>
    <row r="23" spans="1:17" ht="13.8" x14ac:dyDescent="0.25">
      <c r="A23" s="50" t="s">
        <v>367</v>
      </c>
      <c r="B23" s="19" t="s">
        <v>164</v>
      </c>
      <c r="C23" s="20" t="s">
        <v>165</v>
      </c>
      <c r="D23" s="21">
        <v>22500</v>
      </c>
      <c r="E23" s="21">
        <v>27032.67</v>
      </c>
      <c r="F23" s="21">
        <v>22500</v>
      </c>
      <c r="G23" s="21">
        <v>4506.76</v>
      </c>
      <c r="H23" s="21">
        <v>22500</v>
      </c>
      <c r="I23" s="21">
        <v>20747.18</v>
      </c>
      <c r="J23" s="21">
        <v>20334</v>
      </c>
      <c r="K23" s="23"/>
      <c r="L23" s="21">
        <v>24907</v>
      </c>
      <c r="M23" s="21">
        <v>24907</v>
      </c>
      <c r="N23" s="21">
        <v>24907</v>
      </c>
      <c r="O23" s="21">
        <f>22500-2143-23</f>
        <v>20334</v>
      </c>
      <c r="P23" s="21">
        <f t="shared" si="5"/>
        <v>4573</v>
      </c>
      <c r="Q23" s="21">
        <f>+N23-O23</f>
        <v>4573</v>
      </c>
    </row>
    <row r="24" spans="1:17" ht="13.8" x14ac:dyDescent="0.25">
      <c r="A24" s="177" t="s">
        <v>136</v>
      </c>
      <c r="B24" s="177"/>
      <c r="C24" s="177"/>
      <c r="D24" s="24">
        <f t="shared" ref="D24:J24" si="6">SUM(D21:D23)</f>
        <v>32700</v>
      </c>
      <c r="E24" s="24">
        <f t="shared" si="6"/>
        <v>39794.28</v>
      </c>
      <c r="F24" s="24">
        <f t="shared" si="6"/>
        <v>32700</v>
      </c>
      <c r="G24" s="24">
        <f t="shared" si="6"/>
        <v>17234.47</v>
      </c>
      <c r="H24" s="24">
        <f t="shared" si="6"/>
        <v>34300</v>
      </c>
      <c r="I24" s="24">
        <f t="shared" si="6"/>
        <v>35971.08</v>
      </c>
      <c r="J24" s="24">
        <f t="shared" si="6"/>
        <v>34300</v>
      </c>
      <c r="K24" s="26"/>
      <c r="L24" s="24">
        <f t="shared" ref="L24:Q24" si="7">SUM(L21:L23)</f>
        <v>39330</v>
      </c>
      <c r="M24" s="24">
        <f t="shared" si="7"/>
        <v>39330</v>
      </c>
      <c r="N24" s="24">
        <f t="shared" si="7"/>
        <v>39330</v>
      </c>
      <c r="O24" s="24">
        <f t="shared" si="7"/>
        <v>34300</v>
      </c>
      <c r="P24" s="24">
        <f t="shared" si="7"/>
        <v>5030</v>
      </c>
      <c r="Q24" s="24">
        <f t="shared" si="7"/>
        <v>5030</v>
      </c>
    </row>
    <row r="25" spans="1:17" ht="13.8" x14ac:dyDescent="0.25">
      <c r="A25" s="175" t="s">
        <v>45</v>
      </c>
      <c r="B25" s="175"/>
      <c r="C25" s="175"/>
      <c r="D25" s="30"/>
      <c r="E25" s="30"/>
      <c r="F25" s="27"/>
      <c r="G25" s="27"/>
      <c r="H25" s="27"/>
      <c r="I25" s="27"/>
      <c r="J25" s="27"/>
      <c r="K25" s="29"/>
      <c r="L25" s="27"/>
      <c r="M25" s="27"/>
      <c r="N25" s="27"/>
      <c r="O25" s="27"/>
      <c r="P25" s="30"/>
      <c r="Q25" s="30"/>
    </row>
    <row r="26" spans="1:17" ht="13.8" x14ac:dyDescent="0.25">
      <c r="A26" s="50" t="s">
        <v>367</v>
      </c>
      <c r="B26" s="19" t="s">
        <v>46</v>
      </c>
      <c r="C26" s="20" t="s">
        <v>47</v>
      </c>
      <c r="D26" s="21">
        <v>500</v>
      </c>
      <c r="E26" s="21">
        <v>0</v>
      </c>
      <c r="F26" s="21">
        <v>500</v>
      </c>
      <c r="G26" s="21">
        <v>460.84</v>
      </c>
      <c r="H26" s="21">
        <v>500</v>
      </c>
      <c r="I26" s="21">
        <v>225</v>
      </c>
      <c r="J26" s="21">
        <v>500</v>
      </c>
      <c r="K26" s="23"/>
      <c r="L26" s="21">
        <v>500</v>
      </c>
      <c r="M26" s="21">
        <v>500</v>
      </c>
      <c r="N26" s="21">
        <v>500</v>
      </c>
      <c r="O26" s="21">
        <v>500</v>
      </c>
      <c r="P26" s="21">
        <f t="shared" ref="P26:P28" si="8">+N26-J26</f>
        <v>0</v>
      </c>
      <c r="Q26" s="21">
        <f>+N26-O26</f>
        <v>0</v>
      </c>
    </row>
    <row r="27" spans="1:17" ht="13.8" x14ac:dyDescent="0.25">
      <c r="A27" s="50" t="s">
        <v>367</v>
      </c>
      <c r="B27" s="19" t="s">
        <v>24</v>
      </c>
      <c r="C27" s="20" t="s">
        <v>25</v>
      </c>
      <c r="D27" s="21">
        <v>0</v>
      </c>
      <c r="E27" s="21">
        <v>0</v>
      </c>
      <c r="F27" s="21">
        <v>0</v>
      </c>
      <c r="G27" s="21">
        <v>0</v>
      </c>
      <c r="H27" s="21">
        <v>830</v>
      </c>
      <c r="I27" s="21">
        <v>735</v>
      </c>
      <c r="J27" s="21">
        <v>900</v>
      </c>
      <c r="K27" s="23"/>
      <c r="L27" s="21">
        <v>1500</v>
      </c>
      <c r="M27" s="21">
        <v>1500</v>
      </c>
      <c r="N27" s="21">
        <v>1500</v>
      </c>
      <c r="O27" s="21">
        <f>830+70</f>
        <v>900</v>
      </c>
      <c r="P27" s="21">
        <f t="shared" si="8"/>
        <v>600</v>
      </c>
      <c r="Q27" s="21">
        <f>+N27-O27</f>
        <v>600</v>
      </c>
    </row>
    <row r="28" spans="1:17" ht="13.8" x14ac:dyDescent="0.25">
      <c r="A28" s="50" t="s">
        <v>367</v>
      </c>
      <c r="B28" s="19" t="s">
        <v>26</v>
      </c>
      <c r="C28" s="20" t="s">
        <v>27</v>
      </c>
      <c r="D28" s="21">
        <v>400</v>
      </c>
      <c r="E28" s="21">
        <v>0</v>
      </c>
      <c r="F28" s="21">
        <v>400</v>
      </c>
      <c r="G28" s="21">
        <v>986.43</v>
      </c>
      <c r="H28" s="21">
        <v>1500</v>
      </c>
      <c r="I28" s="21">
        <v>1635.49</v>
      </c>
      <c r="J28" s="21">
        <v>1800</v>
      </c>
      <c r="K28" s="23"/>
      <c r="L28" s="21">
        <v>2900</v>
      </c>
      <c r="M28" s="21">
        <v>2900</v>
      </c>
      <c r="N28" s="21">
        <v>2900</v>
      </c>
      <c r="O28" s="21">
        <f>1500+300</f>
        <v>1800</v>
      </c>
      <c r="P28" s="21">
        <f t="shared" si="8"/>
        <v>1100</v>
      </c>
      <c r="Q28" s="21">
        <f>+N28-O28</f>
        <v>1100</v>
      </c>
    </row>
    <row r="29" spans="1:17" ht="13.8" x14ac:dyDescent="0.25">
      <c r="A29" s="177" t="s">
        <v>85</v>
      </c>
      <c r="B29" s="177"/>
      <c r="C29" s="177"/>
      <c r="D29" s="24">
        <f t="shared" ref="D29:J29" si="9">SUM(D26:D28)</f>
        <v>900</v>
      </c>
      <c r="E29" s="24">
        <f t="shared" si="9"/>
        <v>0</v>
      </c>
      <c r="F29" s="24">
        <f t="shared" si="9"/>
        <v>900</v>
      </c>
      <c r="G29" s="24">
        <f t="shared" si="9"/>
        <v>1447.27</v>
      </c>
      <c r="H29" s="24">
        <f t="shared" si="9"/>
        <v>2830</v>
      </c>
      <c r="I29" s="24">
        <f t="shared" si="9"/>
        <v>2595.4899999999998</v>
      </c>
      <c r="J29" s="24">
        <f t="shared" si="9"/>
        <v>3200</v>
      </c>
      <c r="K29" s="26"/>
      <c r="L29" s="24">
        <f t="shared" ref="L29:Q29" si="10">SUM(L26:L28)</f>
        <v>4900</v>
      </c>
      <c r="M29" s="24">
        <f t="shared" si="10"/>
        <v>4900</v>
      </c>
      <c r="N29" s="24">
        <f t="shared" si="10"/>
        <v>4900</v>
      </c>
      <c r="O29" s="24">
        <f t="shared" si="10"/>
        <v>3200</v>
      </c>
      <c r="P29" s="24">
        <f t="shared" si="10"/>
        <v>1700</v>
      </c>
      <c r="Q29" s="24">
        <f t="shared" si="10"/>
        <v>1700</v>
      </c>
    </row>
    <row r="30" spans="1:17" ht="13.8" x14ac:dyDescent="0.25">
      <c r="A30" s="175" t="s">
        <v>30</v>
      </c>
      <c r="B30" s="175"/>
      <c r="C30" s="175"/>
      <c r="D30" s="30"/>
      <c r="E30" s="30"/>
      <c r="F30" s="27"/>
      <c r="G30" s="27"/>
      <c r="H30" s="27"/>
      <c r="I30" s="27"/>
      <c r="J30" s="27"/>
      <c r="K30" s="29"/>
      <c r="L30" s="27"/>
      <c r="M30" s="27"/>
      <c r="N30" s="27"/>
      <c r="O30" s="27"/>
      <c r="P30" s="30"/>
      <c r="Q30" s="30"/>
    </row>
    <row r="31" spans="1:17" ht="13.8" x14ac:dyDescent="0.25">
      <c r="A31" s="50" t="s">
        <v>367</v>
      </c>
      <c r="B31" s="19" t="s">
        <v>31</v>
      </c>
      <c r="C31" s="20" t="s">
        <v>32</v>
      </c>
      <c r="D31" s="21">
        <v>27514</v>
      </c>
      <c r="E31" s="21">
        <v>27968.15</v>
      </c>
      <c r="F31" s="21">
        <v>27514</v>
      </c>
      <c r="G31" s="21">
        <v>28570.5</v>
      </c>
      <c r="H31" s="21">
        <v>27514</v>
      </c>
      <c r="I31" s="21">
        <v>20133.580000000002</v>
      </c>
      <c r="J31" s="21">
        <v>27514</v>
      </c>
      <c r="K31" s="23"/>
      <c r="L31" s="21">
        <v>28000</v>
      </c>
      <c r="M31" s="21">
        <v>28000</v>
      </c>
      <c r="N31" s="21">
        <v>28000</v>
      </c>
      <c r="O31" s="21">
        <v>27514</v>
      </c>
      <c r="P31" s="21">
        <f t="shared" ref="P31:P33" si="11">+N31-J31</f>
        <v>486</v>
      </c>
      <c r="Q31" s="21">
        <f>+N31-O31</f>
        <v>486</v>
      </c>
    </row>
    <row r="32" spans="1:17" ht="13.8" x14ac:dyDescent="0.25">
      <c r="A32" s="50" t="s">
        <v>367</v>
      </c>
      <c r="B32" s="19" t="s">
        <v>137</v>
      </c>
      <c r="C32" s="20" t="s">
        <v>138</v>
      </c>
      <c r="D32" s="21">
        <v>9000</v>
      </c>
      <c r="E32" s="21">
        <v>9363.33</v>
      </c>
      <c r="F32" s="21">
        <v>9000</v>
      </c>
      <c r="G32" s="21">
        <v>17677.669999999998</v>
      </c>
      <c r="H32" s="21">
        <v>10000</v>
      </c>
      <c r="I32" s="21">
        <v>21706.18</v>
      </c>
      <c r="J32" s="21">
        <v>15000</v>
      </c>
      <c r="K32" s="23"/>
      <c r="L32" s="21">
        <v>17000</v>
      </c>
      <c r="M32" s="21">
        <v>17000</v>
      </c>
      <c r="N32" s="21">
        <v>17000</v>
      </c>
      <c r="O32" s="21">
        <f>10000+5000</f>
        <v>15000</v>
      </c>
      <c r="P32" s="21">
        <f t="shared" si="11"/>
        <v>2000</v>
      </c>
      <c r="Q32" s="21">
        <f>+N32-O32</f>
        <v>2000</v>
      </c>
    </row>
    <row r="33" spans="1:17" ht="13.8" x14ac:dyDescent="0.25">
      <c r="A33" s="50" t="s">
        <v>367</v>
      </c>
      <c r="B33" s="19" t="s">
        <v>170</v>
      </c>
      <c r="C33" s="20" t="s">
        <v>171</v>
      </c>
      <c r="D33" s="21">
        <v>0</v>
      </c>
      <c r="E33" s="21">
        <v>0</v>
      </c>
      <c r="F33" s="21">
        <v>0</v>
      </c>
      <c r="G33" s="21">
        <v>0</v>
      </c>
      <c r="H33" s="21">
        <v>0</v>
      </c>
      <c r="I33" s="21">
        <v>0</v>
      </c>
      <c r="J33" s="21">
        <v>2000</v>
      </c>
      <c r="K33" s="23"/>
      <c r="L33" s="21">
        <v>2000</v>
      </c>
      <c r="M33" s="21">
        <v>2000</v>
      </c>
      <c r="N33" s="21">
        <v>2000</v>
      </c>
      <c r="O33" s="21">
        <v>2000</v>
      </c>
      <c r="P33" s="21">
        <f t="shared" si="11"/>
        <v>0</v>
      </c>
      <c r="Q33" s="21">
        <f>+N33-O33</f>
        <v>0</v>
      </c>
    </row>
    <row r="34" spans="1:17" ht="13.8" x14ac:dyDescent="0.25">
      <c r="A34" s="177" t="s">
        <v>77</v>
      </c>
      <c r="B34" s="177"/>
      <c r="C34" s="177"/>
      <c r="D34" s="24">
        <f t="shared" ref="D34:J34" si="12">SUM(D31:D33)</f>
        <v>36514</v>
      </c>
      <c r="E34" s="24">
        <f t="shared" si="12"/>
        <v>37331.480000000003</v>
      </c>
      <c r="F34" s="24">
        <f t="shared" si="12"/>
        <v>36514</v>
      </c>
      <c r="G34" s="24">
        <f t="shared" si="12"/>
        <v>46248.17</v>
      </c>
      <c r="H34" s="24">
        <f t="shared" si="12"/>
        <v>37514</v>
      </c>
      <c r="I34" s="24">
        <f t="shared" si="12"/>
        <v>41839.760000000002</v>
      </c>
      <c r="J34" s="24">
        <f t="shared" si="12"/>
        <v>44514</v>
      </c>
      <c r="K34" s="26"/>
      <c r="L34" s="24">
        <f t="shared" ref="L34:Q34" si="13">SUM(L31:L33)</f>
        <v>47000</v>
      </c>
      <c r="M34" s="24">
        <f t="shared" si="13"/>
        <v>47000</v>
      </c>
      <c r="N34" s="24">
        <f t="shared" si="13"/>
        <v>47000</v>
      </c>
      <c r="O34" s="24">
        <f t="shared" si="13"/>
        <v>44514</v>
      </c>
      <c r="P34" s="24">
        <f t="shared" si="13"/>
        <v>2486</v>
      </c>
      <c r="Q34" s="24">
        <f t="shared" si="13"/>
        <v>2486</v>
      </c>
    </row>
    <row r="35" spans="1:17" ht="13.8" x14ac:dyDescent="0.25">
      <c r="A35" s="169" t="s">
        <v>54</v>
      </c>
      <c r="B35" s="169"/>
      <c r="C35" s="169"/>
      <c r="D35" s="30"/>
      <c r="E35" s="30"/>
      <c r="F35" s="27"/>
      <c r="G35" s="27"/>
      <c r="H35" s="27"/>
      <c r="I35" s="27"/>
      <c r="J35" s="27"/>
      <c r="K35" s="29"/>
      <c r="L35" s="27"/>
      <c r="M35" s="27"/>
      <c r="N35" s="27"/>
      <c r="O35" s="27"/>
      <c r="P35" s="30"/>
      <c r="Q35" s="30"/>
    </row>
    <row r="36" spans="1:17" ht="13.8" x14ac:dyDescent="0.25">
      <c r="A36" s="52" t="s">
        <v>367</v>
      </c>
      <c r="B36" s="19" t="s">
        <v>114</v>
      </c>
      <c r="C36" s="20" t="s">
        <v>115</v>
      </c>
      <c r="D36" s="21">
        <v>5000</v>
      </c>
      <c r="E36" s="21">
        <v>21515.71</v>
      </c>
      <c r="F36" s="21">
        <v>5000</v>
      </c>
      <c r="G36" s="21">
        <v>6603.4</v>
      </c>
      <c r="H36" s="21">
        <v>5000</v>
      </c>
      <c r="I36" s="21">
        <v>3916.81</v>
      </c>
      <c r="J36" s="21">
        <v>5000</v>
      </c>
      <c r="K36" s="23"/>
      <c r="L36" s="21">
        <v>16000</v>
      </c>
      <c r="M36" s="21">
        <v>16000</v>
      </c>
      <c r="N36" s="21">
        <v>16000</v>
      </c>
      <c r="O36" s="21">
        <v>5000</v>
      </c>
      <c r="P36" s="21">
        <f t="shared" ref="P36:P37" si="14">+N36-J36</f>
        <v>11000</v>
      </c>
      <c r="Q36" s="21">
        <f>+N36-O36</f>
        <v>11000</v>
      </c>
    </row>
    <row r="37" spans="1:17" ht="13.8" x14ac:dyDescent="0.25">
      <c r="A37" s="50" t="s">
        <v>367</v>
      </c>
      <c r="B37" s="19" t="s">
        <v>368</v>
      </c>
      <c r="C37" s="20" t="s">
        <v>369</v>
      </c>
      <c r="D37" s="21">
        <v>0</v>
      </c>
      <c r="E37" s="21">
        <v>0</v>
      </c>
      <c r="F37" s="21">
        <v>0</v>
      </c>
      <c r="G37" s="21">
        <v>0</v>
      </c>
      <c r="H37" s="21">
        <v>0</v>
      </c>
      <c r="I37" s="21">
        <v>0</v>
      </c>
      <c r="J37" s="21">
        <v>8500</v>
      </c>
      <c r="K37" s="23"/>
      <c r="L37" s="21">
        <v>7000</v>
      </c>
      <c r="M37" s="21">
        <v>7000</v>
      </c>
      <c r="N37" s="21">
        <v>7000</v>
      </c>
      <c r="O37" s="21">
        <f>10000-1500</f>
        <v>8500</v>
      </c>
      <c r="P37" s="21">
        <f t="shared" si="14"/>
        <v>-1500</v>
      </c>
      <c r="Q37" s="21">
        <f>+N37-O37</f>
        <v>-1500</v>
      </c>
    </row>
    <row r="38" spans="1:17" ht="13.8" x14ac:dyDescent="0.25">
      <c r="A38" s="177" t="s">
        <v>86</v>
      </c>
      <c r="B38" s="177"/>
      <c r="C38" s="177"/>
      <c r="D38" s="24">
        <f t="shared" ref="D38:J38" si="15">SUM(D36:D37)</f>
        <v>5000</v>
      </c>
      <c r="E38" s="24">
        <f t="shared" si="15"/>
        <v>21515.71</v>
      </c>
      <c r="F38" s="24">
        <f t="shared" si="15"/>
        <v>5000</v>
      </c>
      <c r="G38" s="24">
        <f t="shared" si="15"/>
        <v>6603.4</v>
      </c>
      <c r="H38" s="24">
        <f t="shared" si="15"/>
        <v>5000</v>
      </c>
      <c r="I38" s="24">
        <f t="shared" si="15"/>
        <v>3916.81</v>
      </c>
      <c r="J38" s="24">
        <f t="shared" si="15"/>
        <v>13500</v>
      </c>
      <c r="K38" s="26"/>
      <c r="L38" s="24">
        <f t="shared" ref="L38:Q38" si="16">SUM(L36:L37)</f>
        <v>23000</v>
      </c>
      <c r="M38" s="24">
        <f t="shared" si="16"/>
        <v>23000</v>
      </c>
      <c r="N38" s="24">
        <f t="shared" si="16"/>
        <v>23000</v>
      </c>
      <c r="O38" s="24">
        <f t="shared" si="16"/>
        <v>13500</v>
      </c>
      <c r="P38" s="24">
        <f t="shared" si="16"/>
        <v>9500</v>
      </c>
      <c r="Q38" s="24">
        <f t="shared" si="16"/>
        <v>9500</v>
      </c>
    </row>
    <row r="39" spans="1:17" ht="13.8" x14ac:dyDescent="0.25">
      <c r="A39" s="169" t="s">
        <v>172</v>
      </c>
      <c r="B39" s="169"/>
      <c r="C39" s="169"/>
      <c r="D39" s="30"/>
      <c r="E39" s="30"/>
      <c r="F39" s="27"/>
      <c r="G39" s="27"/>
      <c r="H39" s="27"/>
      <c r="I39" s="27"/>
      <c r="J39" s="27"/>
      <c r="K39" s="29"/>
      <c r="L39" s="27"/>
      <c r="M39" s="27"/>
      <c r="N39" s="27"/>
      <c r="O39" s="27"/>
      <c r="P39" s="30"/>
      <c r="Q39" s="30"/>
    </row>
    <row r="40" spans="1:17" ht="13.8" x14ac:dyDescent="0.25">
      <c r="A40" s="50" t="s">
        <v>367</v>
      </c>
      <c r="B40" s="19" t="s">
        <v>370</v>
      </c>
      <c r="C40" s="20" t="s">
        <v>371</v>
      </c>
      <c r="D40" s="21">
        <v>600</v>
      </c>
      <c r="E40" s="21">
        <v>206.91</v>
      </c>
      <c r="F40" s="21">
        <v>600</v>
      </c>
      <c r="G40" s="21">
        <v>0</v>
      </c>
      <c r="H40" s="21">
        <v>600</v>
      </c>
      <c r="I40" s="21">
        <v>0</v>
      </c>
      <c r="J40" s="21">
        <v>600</v>
      </c>
      <c r="K40" s="23"/>
      <c r="L40" s="21">
        <v>0</v>
      </c>
      <c r="M40" s="21">
        <v>0</v>
      </c>
      <c r="N40" s="21">
        <v>0</v>
      </c>
      <c r="O40" s="21">
        <v>600</v>
      </c>
      <c r="P40" s="21">
        <f t="shared" ref="P40:P42" si="17">+N40-J40</f>
        <v>-600</v>
      </c>
      <c r="Q40" s="21">
        <f>+N40-O40</f>
        <v>-600</v>
      </c>
    </row>
    <row r="41" spans="1:17" ht="13.8" x14ac:dyDescent="0.25">
      <c r="A41" s="50" t="s">
        <v>367</v>
      </c>
      <c r="B41" s="19" t="s">
        <v>372</v>
      </c>
      <c r="C41" s="20" t="s">
        <v>373</v>
      </c>
      <c r="D41" s="21">
        <v>1000</v>
      </c>
      <c r="E41" s="21">
        <v>451.05</v>
      </c>
      <c r="F41" s="21">
        <v>1000</v>
      </c>
      <c r="G41" s="21">
        <v>712.81</v>
      </c>
      <c r="H41" s="21">
        <v>1500</v>
      </c>
      <c r="I41" s="21">
        <v>159.26</v>
      </c>
      <c r="J41" s="21">
        <v>1500</v>
      </c>
      <c r="K41" s="23"/>
      <c r="L41" s="21">
        <v>0</v>
      </c>
      <c r="M41" s="21">
        <v>0</v>
      </c>
      <c r="N41" s="21">
        <v>0</v>
      </c>
      <c r="O41" s="21">
        <v>1500</v>
      </c>
      <c r="P41" s="21">
        <f t="shared" si="17"/>
        <v>-1500</v>
      </c>
      <c r="Q41" s="21">
        <f>+N41-O41</f>
        <v>-1500</v>
      </c>
    </row>
    <row r="42" spans="1:17" ht="13.8" x14ac:dyDescent="0.25">
      <c r="A42" s="50" t="s">
        <v>367</v>
      </c>
      <c r="B42" s="19" t="s">
        <v>362</v>
      </c>
      <c r="C42" s="20" t="s">
        <v>363</v>
      </c>
      <c r="D42" s="21">
        <v>0</v>
      </c>
      <c r="E42" s="27">
        <v>0</v>
      </c>
      <c r="F42" s="21">
        <v>0</v>
      </c>
      <c r="G42" s="21">
        <v>0</v>
      </c>
      <c r="H42" s="21">
        <v>500</v>
      </c>
      <c r="I42" s="21">
        <v>0</v>
      </c>
      <c r="J42" s="21">
        <v>500</v>
      </c>
      <c r="K42" s="23"/>
      <c r="L42" s="21">
        <v>0</v>
      </c>
      <c r="M42" s="21">
        <v>0</v>
      </c>
      <c r="N42" s="21">
        <v>0</v>
      </c>
      <c r="O42" s="21">
        <v>500</v>
      </c>
      <c r="P42" s="21">
        <f t="shared" si="17"/>
        <v>-500</v>
      </c>
      <c r="Q42" s="21">
        <f>+N42-O42</f>
        <v>-500</v>
      </c>
    </row>
    <row r="43" spans="1:17" ht="13.8" x14ac:dyDescent="0.25">
      <c r="A43" s="177" t="s">
        <v>177</v>
      </c>
      <c r="B43" s="177"/>
      <c r="C43" s="177"/>
      <c r="D43" s="24">
        <f t="shared" ref="D43:J43" si="18">SUM(D40:D42)</f>
        <v>1600</v>
      </c>
      <c r="E43" s="24">
        <f t="shared" si="18"/>
        <v>657.96</v>
      </c>
      <c r="F43" s="24">
        <f t="shared" si="18"/>
        <v>1600</v>
      </c>
      <c r="G43" s="24">
        <f t="shared" si="18"/>
        <v>712.81</v>
      </c>
      <c r="H43" s="24">
        <f t="shared" si="18"/>
        <v>2600</v>
      </c>
      <c r="I43" s="24">
        <f t="shared" si="18"/>
        <v>159.26</v>
      </c>
      <c r="J43" s="24">
        <f t="shared" si="18"/>
        <v>2600</v>
      </c>
      <c r="K43" s="26"/>
      <c r="L43" s="24">
        <f t="shared" ref="L43:Q43" si="19">SUM(L40:L42)</f>
        <v>0</v>
      </c>
      <c r="M43" s="24">
        <f t="shared" si="19"/>
        <v>0</v>
      </c>
      <c r="N43" s="24">
        <f t="shared" si="19"/>
        <v>0</v>
      </c>
      <c r="O43" s="24">
        <f t="shared" si="19"/>
        <v>2600</v>
      </c>
      <c r="P43" s="24">
        <f t="shared" si="19"/>
        <v>-2600</v>
      </c>
      <c r="Q43" s="24">
        <f t="shared" si="19"/>
        <v>-2600</v>
      </c>
    </row>
    <row r="44" spans="1:17" ht="13.8" x14ac:dyDescent="0.25">
      <c r="A44" s="178" t="s">
        <v>78</v>
      </c>
      <c r="B44" s="178"/>
      <c r="C44" s="178"/>
      <c r="D44" s="40">
        <f t="shared" ref="D44:J44" si="20">D12+D19+D24+D29+D34+D38+D43</f>
        <v>177864</v>
      </c>
      <c r="E44" s="40">
        <f t="shared" si="20"/>
        <v>189467.56</v>
      </c>
      <c r="F44" s="40">
        <f t="shared" si="20"/>
        <v>179578</v>
      </c>
      <c r="G44" s="40">
        <f t="shared" si="20"/>
        <v>206955.9</v>
      </c>
      <c r="H44" s="40">
        <f t="shared" si="20"/>
        <v>239653</v>
      </c>
      <c r="I44" s="40">
        <f t="shared" si="20"/>
        <v>247458.75</v>
      </c>
      <c r="J44" s="40">
        <f t="shared" si="20"/>
        <v>276119</v>
      </c>
      <c r="K44" s="26"/>
      <c r="L44" s="40">
        <f>L12+L19+L24+L29+L34+L38+L43</f>
        <v>388677</v>
      </c>
      <c r="M44" s="40">
        <f t="shared" ref="M44:Q44" si="21">M12+M19+M24+M29+M34+M38+M43</f>
        <v>351663</v>
      </c>
      <c r="N44" s="40">
        <f t="shared" si="21"/>
        <v>351663</v>
      </c>
      <c r="O44" s="40">
        <f t="shared" si="21"/>
        <v>250070</v>
      </c>
      <c r="P44" s="40">
        <f t="shared" si="21"/>
        <v>75544</v>
      </c>
      <c r="Q44" s="40">
        <f t="shared" si="21"/>
        <v>101593</v>
      </c>
    </row>
    <row r="45" spans="1:17" ht="13.8" x14ac:dyDescent="0.25">
      <c r="A45" s="178" t="s">
        <v>374</v>
      </c>
      <c r="B45" s="178"/>
      <c r="C45" s="178"/>
      <c r="D45" s="40">
        <f t="shared" ref="D45:J46" si="22">D44</f>
        <v>177864</v>
      </c>
      <c r="E45" s="40">
        <f t="shared" si="22"/>
        <v>189467.56</v>
      </c>
      <c r="F45" s="40">
        <f t="shared" si="22"/>
        <v>179578</v>
      </c>
      <c r="G45" s="40">
        <f t="shared" si="22"/>
        <v>206955.9</v>
      </c>
      <c r="H45" s="40">
        <f t="shared" si="22"/>
        <v>239653</v>
      </c>
      <c r="I45" s="40">
        <f t="shared" si="22"/>
        <v>247458.75</v>
      </c>
      <c r="J45" s="40">
        <f t="shared" si="22"/>
        <v>276119</v>
      </c>
      <c r="K45" s="26"/>
      <c r="L45" s="40">
        <f>L44</f>
        <v>388677</v>
      </c>
      <c r="M45" s="40">
        <f t="shared" ref="M45:Q46" si="23">M44</f>
        <v>351663</v>
      </c>
      <c r="N45" s="40">
        <f t="shared" si="23"/>
        <v>351663</v>
      </c>
      <c r="O45" s="40">
        <f t="shared" si="23"/>
        <v>250070</v>
      </c>
      <c r="P45" s="40">
        <f t="shared" si="23"/>
        <v>75544</v>
      </c>
      <c r="Q45" s="40">
        <f t="shared" si="23"/>
        <v>101593</v>
      </c>
    </row>
    <row r="46" spans="1:17" ht="13.8" x14ac:dyDescent="0.25">
      <c r="A46" s="181" t="s">
        <v>80</v>
      </c>
      <c r="B46" s="185"/>
      <c r="C46" s="185"/>
      <c r="D46" s="41">
        <f t="shared" si="22"/>
        <v>177864</v>
      </c>
      <c r="E46" s="41">
        <f t="shared" si="22"/>
        <v>189467.56</v>
      </c>
      <c r="F46" s="41">
        <f t="shared" si="22"/>
        <v>179578</v>
      </c>
      <c r="G46" s="41">
        <f t="shared" si="22"/>
        <v>206955.9</v>
      </c>
      <c r="H46" s="41">
        <f t="shared" si="22"/>
        <v>239653</v>
      </c>
      <c r="I46" s="41">
        <f t="shared" si="22"/>
        <v>247458.75</v>
      </c>
      <c r="J46" s="41">
        <f t="shared" si="22"/>
        <v>276119</v>
      </c>
      <c r="K46" s="26"/>
      <c r="L46" s="41">
        <f>L45</f>
        <v>388677</v>
      </c>
      <c r="M46" s="41">
        <f t="shared" si="23"/>
        <v>351663</v>
      </c>
      <c r="N46" s="41">
        <f t="shared" si="23"/>
        <v>351663</v>
      </c>
      <c r="O46" s="41">
        <f t="shared" si="23"/>
        <v>250070</v>
      </c>
      <c r="P46" s="41">
        <f t="shared" si="23"/>
        <v>75544</v>
      </c>
      <c r="Q46" s="41">
        <f t="shared" si="23"/>
        <v>101593</v>
      </c>
    </row>
    <row r="47" spans="1:17" ht="3.75" customHeight="1" x14ac:dyDescent="0.25">
      <c r="D47" s="20"/>
      <c r="E47" s="20"/>
      <c r="F47" s="20"/>
      <c r="G47" s="27"/>
      <c r="H47" s="27"/>
      <c r="I47" s="27"/>
      <c r="J47" s="27"/>
      <c r="K47" s="29"/>
      <c r="L47" s="27"/>
      <c r="M47" s="27"/>
      <c r="N47" s="27"/>
      <c r="O47" s="27"/>
      <c r="P47" s="30"/>
      <c r="Q47" s="30"/>
    </row>
    <row r="48" spans="1:17" ht="13.8" x14ac:dyDescent="0.25">
      <c r="A48" s="185" t="s">
        <v>81</v>
      </c>
      <c r="B48" s="185"/>
      <c r="C48" s="185"/>
      <c r="D48" s="41">
        <f t="shared" ref="D48:J48" si="24">D46</f>
        <v>177864</v>
      </c>
      <c r="E48" s="41">
        <f t="shared" si="24"/>
        <v>189467.56</v>
      </c>
      <c r="F48" s="41">
        <f t="shared" si="24"/>
        <v>179578</v>
      </c>
      <c r="G48" s="41">
        <f t="shared" si="24"/>
        <v>206955.9</v>
      </c>
      <c r="H48" s="41">
        <f t="shared" si="24"/>
        <v>239653</v>
      </c>
      <c r="I48" s="41">
        <f t="shared" si="24"/>
        <v>247458.75</v>
      </c>
      <c r="J48" s="41">
        <f t="shared" si="24"/>
        <v>276119</v>
      </c>
      <c r="K48" s="26"/>
      <c r="L48" s="41">
        <f>L46</f>
        <v>388677</v>
      </c>
      <c r="M48" s="41">
        <f t="shared" ref="M48:P48" si="25">M46</f>
        <v>351663</v>
      </c>
      <c r="N48" s="41">
        <f t="shared" si="25"/>
        <v>351663</v>
      </c>
      <c r="O48" s="41">
        <f t="shared" si="25"/>
        <v>250070</v>
      </c>
      <c r="P48" s="41">
        <f t="shared" si="25"/>
        <v>75544</v>
      </c>
      <c r="Q48" s="41">
        <f>Q46</f>
        <v>101593</v>
      </c>
    </row>
    <row r="49" spans="12:15" x14ac:dyDescent="0.3">
      <c r="L49" s="30"/>
      <c r="M49" s="30"/>
      <c r="N49" s="30"/>
      <c r="O49" s="30"/>
    </row>
    <row r="50" spans="12:15" x14ac:dyDescent="0.3">
      <c r="L50" s="97"/>
    </row>
    <row r="51" spans="12:15" x14ac:dyDescent="0.3">
      <c r="N51" s="97"/>
    </row>
  </sheetData>
  <mergeCells count="23">
    <mergeCell ref="A43:C43"/>
    <mergeCell ref="A44:C44"/>
    <mergeCell ref="A45:C45"/>
    <mergeCell ref="A46:C46"/>
    <mergeCell ref="A48:C48"/>
    <mergeCell ref="A39:C39"/>
    <mergeCell ref="A12:C12"/>
    <mergeCell ref="A13:C13"/>
    <mergeCell ref="A19:C19"/>
    <mergeCell ref="A20:C20"/>
    <mergeCell ref="A24:C24"/>
    <mergeCell ref="A25:C25"/>
    <mergeCell ref="A29:C29"/>
    <mergeCell ref="A30:C30"/>
    <mergeCell ref="A34:C34"/>
    <mergeCell ref="A35:C35"/>
    <mergeCell ref="A38:C38"/>
    <mergeCell ref="A9:C9"/>
    <mergeCell ref="A1:Q1"/>
    <mergeCell ref="A5:C5"/>
    <mergeCell ref="A6:C6"/>
    <mergeCell ref="A7:C7"/>
    <mergeCell ref="A8:C8"/>
  </mergeCells>
  <printOptions horizontalCentered="1" verticalCentered="1"/>
  <pageMargins left="0.7" right="0.7" top="0.75" bottom="0.75" header="0.3" footer="0.3"/>
  <pageSetup scale="58" fitToHeight="0" orientation="landscape" r:id="rId1"/>
  <headerFooter>
    <oddFooter>&amp;RBudget Kick Off - 11.01.25</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E701F-20C2-481D-9C3C-ABDEE9D12947}">
  <sheetPr codeName="Sheet27">
    <tabColor theme="4" tint="0.39997558519241921"/>
    <pageSetUpPr fitToPage="1"/>
  </sheetPr>
  <dimension ref="A1:Q65"/>
  <sheetViews>
    <sheetView zoomScale="90" zoomScaleNormal="90" zoomScalePageLayoutView="90" workbookViewId="0">
      <selection activeCell="C14" sqref="C14"/>
    </sheetView>
  </sheetViews>
  <sheetFormatPr defaultColWidth="9.109375" defaultRowHeight="14.4" x14ac:dyDescent="0.3"/>
  <cols>
    <col min="1" max="1" width="9.5546875" style="4" bestFit="1" customWidth="1"/>
    <col min="2" max="2" width="13.5546875" style="5" bestFit="1" customWidth="1"/>
    <col min="3" max="3" width="34.33203125" style="4" bestFit="1" customWidth="1"/>
    <col min="4" max="8" width="12" style="4" customWidth="1"/>
    <col min="9" max="10" width="12.6640625" style="4" bestFit="1" customWidth="1"/>
    <col min="11" max="11" width="1.6640625" style="4" customWidth="1"/>
    <col min="12" max="12" width="17.33203125" style="4" bestFit="1" customWidth="1"/>
    <col min="13" max="13" width="16.6640625" style="4" bestFit="1" customWidth="1"/>
    <col min="14" max="14" width="16.5546875" style="4" bestFit="1" customWidth="1"/>
    <col min="15" max="15" width="13" style="4" bestFit="1" customWidth="1"/>
    <col min="16" max="16" width="13.109375" bestFit="1" customWidth="1"/>
    <col min="17" max="17" width="14.109375" customWidth="1"/>
    <col min="18" max="16384" width="9.109375" style="4"/>
  </cols>
  <sheetData>
    <row r="1" spans="1:17" s="118" customFormat="1" ht="75" customHeight="1" x14ac:dyDescent="0.25">
      <c r="A1" s="170" t="s">
        <v>375</v>
      </c>
      <c r="B1" s="170"/>
      <c r="C1" s="170"/>
      <c r="D1" s="170"/>
      <c r="E1" s="170"/>
      <c r="F1" s="170"/>
      <c r="G1" s="170"/>
      <c r="H1" s="170"/>
      <c r="I1" s="170"/>
      <c r="J1" s="170"/>
      <c r="K1" s="170"/>
      <c r="L1" s="170"/>
      <c r="M1" s="170"/>
      <c r="N1" s="170"/>
      <c r="O1" s="170"/>
      <c r="P1" s="170"/>
      <c r="Q1" s="170"/>
    </row>
    <row r="2" spans="1:17" s="118" customFormat="1" ht="6" customHeight="1" x14ac:dyDescent="0.25">
      <c r="A2" s="131"/>
      <c r="B2" s="132"/>
    </row>
    <row r="3" spans="1:17" s="129" customFormat="1" ht="39.6" x14ac:dyDescent="0.3">
      <c r="A3" s="7"/>
      <c r="B3" s="7" t="s">
        <v>0</v>
      </c>
      <c r="C3" s="7" t="s">
        <v>1</v>
      </c>
      <c r="D3" s="7" t="s">
        <v>3</v>
      </c>
      <c r="E3" s="7" t="s">
        <v>2</v>
      </c>
      <c r="F3" s="7" t="s">
        <v>4</v>
      </c>
      <c r="G3" s="7" t="s">
        <v>5</v>
      </c>
      <c r="H3" s="7" t="s">
        <v>6</v>
      </c>
      <c r="I3" s="7" t="s">
        <v>7</v>
      </c>
      <c r="J3" s="7" t="s">
        <v>8</v>
      </c>
      <c r="K3" s="8"/>
      <c r="L3" s="7" t="s">
        <v>214</v>
      </c>
      <c r="M3" s="7" t="s">
        <v>215</v>
      </c>
      <c r="N3" s="7" t="s">
        <v>376</v>
      </c>
      <c r="O3" s="7" t="s">
        <v>217</v>
      </c>
      <c r="P3" s="7" t="s">
        <v>218</v>
      </c>
      <c r="Q3" s="7" t="s">
        <v>68</v>
      </c>
    </row>
    <row r="4" spans="1:17" ht="6" customHeight="1" x14ac:dyDescent="0.3">
      <c r="K4" s="133"/>
    </row>
    <row r="5" spans="1:17" x14ac:dyDescent="0.3">
      <c r="A5" s="171" t="s">
        <v>69</v>
      </c>
      <c r="B5" s="171"/>
      <c r="C5" s="171"/>
      <c r="D5" s="12"/>
      <c r="E5" s="12"/>
      <c r="F5" s="12"/>
      <c r="G5" s="12"/>
      <c r="H5" s="12"/>
      <c r="I5" s="12"/>
      <c r="K5" s="133"/>
    </row>
    <row r="6" spans="1:17" x14ac:dyDescent="0.3">
      <c r="A6" s="184" t="s">
        <v>70</v>
      </c>
      <c r="B6" s="184"/>
      <c r="C6" s="184"/>
      <c r="D6" s="55"/>
      <c r="E6" s="55"/>
      <c r="F6" s="55"/>
      <c r="G6" s="55"/>
      <c r="H6" s="55"/>
      <c r="I6" s="55"/>
      <c r="K6" s="133"/>
    </row>
    <row r="7" spans="1:17" x14ac:dyDescent="0.3">
      <c r="A7" s="173" t="s">
        <v>377</v>
      </c>
      <c r="B7" s="173"/>
      <c r="C7" s="173"/>
      <c r="D7" s="15"/>
      <c r="E7" s="15"/>
      <c r="F7" s="15"/>
      <c r="G7" s="15"/>
      <c r="H7" s="15"/>
      <c r="I7" s="15"/>
      <c r="K7" s="133"/>
    </row>
    <row r="8" spans="1:17" x14ac:dyDescent="0.3">
      <c r="A8" s="174" t="s">
        <v>72</v>
      </c>
      <c r="B8" s="174"/>
      <c r="C8" s="174"/>
      <c r="D8" s="16"/>
      <c r="E8" s="16"/>
      <c r="F8" s="16"/>
      <c r="G8" s="16"/>
      <c r="H8" s="16"/>
      <c r="I8" s="16"/>
      <c r="K8" s="133"/>
      <c r="O8" s="134"/>
    </row>
    <row r="9" spans="1:17" ht="16.5" customHeight="1" x14ac:dyDescent="0.3">
      <c r="A9" s="175" t="s">
        <v>11</v>
      </c>
      <c r="B9" s="175"/>
      <c r="C9" s="175"/>
      <c r="D9" s="17"/>
      <c r="E9" s="17"/>
      <c r="F9" s="17"/>
      <c r="G9" s="17"/>
      <c r="H9" s="17"/>
      <c r="I9" s="17"/>
      <c r="K9" s="133"/>
      <c r="O9" s="134"/>
    </row>
    <row r="10" spans="1:17" ht="13.8" x14ac:dyDescent="0.25">
      <c r="A10" s="52" t="s">
        <v>378</v>
      </c>
      <c r="B10" s="32" t="s">
        <v>35</v>
      </c>
      <c r="C10" s="33" t="s">
        <v>36</v>
      </c>
      <c r="D10" s="21">
        <v>574030</v>
      </c>
      <c r="E10" s="21">
        <v>476518.64</v>
      </c>
      <c r="F10" s="21">
        <v>626814</v>
      </c>
      <c r="G10" s="21">
        <v>608825.15</v>
      </c>
      <c r="H10" s="21">
        <v>664129</v>
      </c>
      <c r="I10" s="21">
        <v>651604.89</v>
      </c>
      <c r="J10" s="21">
        <v>685884</v>
      </c>
      <c r="K10" s="23"/>
      <c r="L10" s="21">
        <v>707974</v>
      </c>
      <c r="M10" s="21">
        <v>707974</v>
      </c>
      <c r="N10" s="21">
        <v>707974</v>
      </c>
      <c r="O10" s="21">
        <v>707974</v>
      </c>
      <c r="P10" s="21">
        <f>+N10-J10</f>
        <v>22090</v>
      </c>
      <c r="Q10" s="21">
        <f>+N10-O10</f>
        <v>0</v>
      </c>
    </row>
    <row r="11" spans="1:17" ht="13.8" x14ac:dyDescent="0.25">
      <c r="A11" s="52" t="s">
        <v>378</v>
      </c>
      <c r="B11" s="32" t="s">
        <v>37</v>
      </c>
      <c r="C11" s="33" t="s">
        <v>38</v>
      </c>
      <c r="D11" s="21">
        <v>302606</v>
      </c>
      <c r="E11" s="21">
        <v>321365.69</v>
      </c>
      <c r="F11" s="21">
        <v>334628</v>
      </c>
      <c r="G11" s="21">
        <v>313035.90000000002</v>
      </c>
      <c r="H11" s="21">
        <v>357407</v>
      </c>
      <c r="I11" s="21">
        <v>325174.09000000003</v>
      </c>
      <c r="J11" s="21">
        <v>396250</v>
      </c>
      <c r="K11" s="23"/>
      <c r="L11" s="21">
        <v>406057</v>
      </c>
      <c r="M11" s="21">
        <v>406057</v>
      </c>
      <c r="N11" s="21">
        <v>406057</v>
      </c>
      <c r="O11" s="21">
        <v>406057</v>
      </c>
      <c r="P11" s="21">
        <f>+N11-J11</f>
        <v>9807</v>
      </c>
      <c r="Q11" s="21">
        <f>+N11-O11</f>
        <v>0</v>
      </c>
    </row>
    <row r="12" spans="1:17" ht="13.8" x14ac:dyDescent="0.25">
      <c r="A12" s="177" t="s">
        <v>74</v>
      </c>
      <c r="B12" s="177"/>
      <c r="C12" s="177"/>
      <c r="D12" s="24">
        <f t="shared" ref="D12:H12" si="0">SUM(D10:D11)</f>
        <v>876636</v>
      </c>
      <c r="E12" s="24">
        <f t="shared" si="0"/>
        <v>797884.33000000007</v>
      </c>
      <c r="F12" s="24">
        <f t="shared" si="0"/>
        <v>961442</v>
      </c>
      <c r="G12" s="24">
        <f t="shared" si="0"/>
        <v>921861.05</v>
      </c>
      <c r="H12" s="24">
        <f t="shared" si="0"/>
        <v>1021536</v>
      </c>
      <c r="I12" s="24">
        <f t="shared" ref="I12:J12" si="1">SUM(I10:I11)</f>
        <v>976778.98</v>
      </c>
      <c r="J12" s="24">
        <f t="shared" si="1"/>
        <v>1082134</v>
      </c>
      <c r="K12" s="26"/>
      <c r="L12" s="24">
        <f>SUM(L10:L11)</f>
        <v>1114031</v>
      </c>
      <c r="M12" s="24">
        <f>SUM(M10:M11)</f>
        <v>1114031</v>
      </c>
      <c r="N12" s="24">
        <f>SUM(N10:N11)</f>
        <v>1114031</v>
      </c>
      <c r="O12" s="24">
        <f>SUM(O10:O11)</f>
        <v>1114031</v>
      </c>
      <c r="P12" s="57">
        <f t="shared" ref="P12:Q12" si="2">SUM(P10:P11)</f>
        <v>31897</v>
      </c>
      <c r="Q12" s="57">
        <f t="shared" si="2"/>
        <v>0</v>
      </c>
    </row>
    <row r="13" spans="1:17" ht="13.8" x14ac:dyDescent="0.25">
      <c r="A13" s="175" t="s">
        <v>14</v>
      </c>
      <c r="B13" s="175"/>
      <c r="C13" s="175"/>
      <c r="D13" s="27"/>
      <c r="E13" s="27"/>
      <c r="F13" s="27"/>
      <c r="G13" s="27"/>
      <c r="H13" s="27"/>
      <c r="I13" s="27"/>
      <c r="J13" s="27"/>
      <c r="K13" s="29"/>
      <c r="L13" s="27"/>
      <c r="M13" s="27"/>
      <c r="N13" s="27"/>
      <c r="O13" s="27"/>
      <c r="P13" s="135"/>
      <c r="Q13" s="135"/>
    </row>
    <row r="14" spans="1:17" ht="13.8" x14ac:dyDescent="0.25">
      <c r="A14" s="52" t="s">
        <v>378</v>
      </c>
      <c r="B14" s="32" t="s">
        <v>41</v>
      </c>
      <c r="C14" s="20" t="s">
        <v>42</v>
      </c>
      <c r="D14" s="21">
        <v>7757</v>
      </c>
      <c r="E14" s="21">
        <v>5587.25</v>
      </c>
      <c r="F14" s="21">
        <v>8418</v>
      </c>
      <c r="G14" s="21">
        <v>8098.92</v>
      </c>
      <c r="H14" s="21">
        <v>7787</v>
      </c>
      <c r="I14" s="21">
        <v>6624.28</v>
      </c>
      <c r="J14" s="21">
        <v>5955</v>
      </c>
      <c r="K14" s="23"/>
      <c r="L14" s="21">
        <v>6606</v>
      </c>
      <c r="M14" s="21">
        <v>6606</v>
      </c>
      <c r="N14" s="21">
        <v>6606</v>
      </c>
      <c r="O14" s="21">
        <v>6606</v>
      </c>
      <c r="P14" s="21">
        <f t="shared" ref="P14:P19" si="3">+N14-J14</f>
        <v>651</v>
      </c>
      <c r="Q14" s="21">
        <f t="shared" ref="Q14:Q19" si="4">+N14-O14</f>
        <v>0</v>
      </c>
    </row>
    <row r="15" spans="1:17" ht="13.8" x14ac:dyDescent="0.25">
      <c r="A15" s="52" t="s">
        <v>378</v>
      </c>
      <c r="B15" s="32" t="s">
        <v>15</v>
      </c>
      <c r="C15" s="33" t="s">
        <v>16</v>
      </c>
      <c r="D15" s="21">
        <v>54352</v>
      </c>
      <c r="E15" s="21">
        <v>47766.77</v>
      </c>
      <c r="F15" s="21">
        <v>59610</v>
      </c>
      <c r="G15" s="21">
        <v>55702</v>
      </c>
      <c r="H15" s="21">
        <v>63706</v>
      </c>
      <c r="I15" s="21">
        <v>59110.96</v>
      </c>
      <c r="J15" s="21">
        <v>67093</v>
      </c>
      <c r="K15" s="23"/>
      <c r="L15" s="21">
        <v>69435</v>
      </c>
      <c r="M15" s="21">
        <v>69435</v>
      </c>
      <c r="N15" s="21">
        <v>69435</v>
      </c>
      <c r="O15" s="21">
        <v>69435</v>
      </c>
      <c r="P15" s="21">
        <f t="shared" si="3"/>
        <v>2342</v>
      </c>
      <c r="Q15" s="21">
        <f t="shared" si="4"/>
        <v>0</v>
      </c>
    </row>
    <row r="16" spans="1:17" ht="13.8" x14ac:dyDescent="0.25">
      <c r="A16" s="52" t="s">
        <v>378</v>
      </c>
      <c r="B16" s="32" t="s">
        <v>17</v>
      </c>
      <c r="C16" s="33" t="s">
        <v>18</v>
      </c>
      <c r="D16" s="21">
        <v>12712</v>
      </c>
      <c r="E16" s="21">
        <v>11171.27</v>
      </c>
      <c r="F16" s="21">
        <v>13941</v>
      </c>
      <c r="G16" s="21">
        <v>13027.07</v>
      </c>
      <c r="H16" s="21">
        <v>14899</v>
      </c>
      <c r="I16" s="21">
        <v>13824.34</v>
      </c>
      <c r="J16" s="21">
        <v>15691</v>
      </c>
      <c r="K16" s="23"/>
      <c r="L16" s="21">
        <v>16239</v>
      </c>
      <c r="M16" s="21">
        <v>16239</v>
      </c>
      <c r="N16" s="21">
        <v>16239</v>
      </c>
      <c r="O16" s="21">
        <v>16239</v>
      </c>
      <c r="P16" s="21">
        <f t="shared" si="3"/>
        <v>548</v>
      </c>
      <c r="Q16" s="21">
        <f t="shared" si="4"/>
        <v>0</v>
      </c>
    </row>
    <row r="17" spans="1:17" ht="13.8" x14ac:dyDescent="0.25">
      <c r="A17" s="52" t="s">
        <v>378</v>
      </c>
      <c r="B17" s="32" t="s">
        <v>43</v>
      </c>
      <c r="C17" s="33" t="s">
        <v>44</v>
      </c>
      <c r="D17" s="21">
        <v>80709</v>
      </c>
      <c r="E17" s="21">
        <v>56676.49</v>
      </c>
      <c r="F17" s="21">
        <v>80307</v>
      </c>
      <c r="G17" s="21">
        <v>81400.429999999993</v>
      </c>
      <c r="H17" s="21">
        <v>90666</v>
      </c>
      <c r="I17" s="21">
        <v>84236.72</v>
      </c>
      <c r="J17" s="21">
        <v>87451</v>
      </c>
      <c r="K17" s="23">
        <v>0</v>
      </c>
      <c r="L17" s="21">
        <v>90104</v>
      </c>
      <c r="M17" s="21">
        <v>90104</v>
      </c>
      <c r="N17" s="21">
        <v>90104</v>
      </c>
      <c r="O17" s="21">
        <v>90104</v>
      </c>
      <c r="P17" s="21">
        <f t="shared" si="3"/>
        <v>2653</v>
      </c>
      <c r="Q17" s="21">
        <f t="shared" si="4"/>
        <v>0</v>
      </c>
    </row>
    <row r="18" spans="1:17" ht="13.8" x14ac:dyDescent="0.25">
      <c r="A18" s="52" t="s">
        <v>378</v>
      </c>
      <c r="B18" s="32" t="s">
        <v>59</v>
      </c>
      <c r="C18" s="33" t="s">
        <v>60</v>
      </c>
      <c r="D18" s="21">
        <v>4770</v>
      </c>
      <c r="E18" s="21">
        <v>9627</v>
      </c>
      <c r="F18" s="21">
        <v>4770</v>
      </c>
      <c r="G18" s="21">
        <v>4995</v>
      </c>
      <c r="H18" s="21">
        <v>4770</v>
      </c>
      <c r="I18" s="21">
        <v>4995</v>
      </c>
      <c r="J18" s="21">
        <v>4770</v>
      </c>
      <c r="K18" s="23"/>
      <c r="L18" s="21">
        <v>4770</v>
      </c>
      <c r="M18" s="21">
        <v>4770</v>
      </c>
      <c r="N18" s="21">
        <v>4770</v>
      </c>
      <c r="O18" s="21">
        <v>4770</v>
      </c>
      <c r="P18" s="21">
        <f t="shared" si="3"/>
        <v>0</v>
      </c>
      <c r="Q18" s="21">
        <f t="shared" si="4"/>
        <v>0</v>
      </c>
    </row>
    <row r="19" spans="1:17" ht="13.8" x14ac:dyDescent="0.25">
      <c r="A19" s="52" t="s">
        <v>378</v>
      </c>
      <c r="B19" s="32" t="s">
        <v>19</v>
      </c>
      <c r="C19" s="33" t="s">
        <v>20</v>
      </c>
      <c r="D19" s="21">
        <v>1366</v>
      </c>
      <c r="E19" s="21">
        <v>1301.19</v>
      </c>
      <c r="F19" s="21">
        <v>1447</v>
      </c>
      <c r="G19" s="21">
        <v>1540.37</v>
      </c>
      <c r="H19" s="21">
        <v>1726</v>
      </c>
      <c r="I19" s="21">
        <v>1726.19</v>
      </c>
      <c r="J19" s="21">
        <v>2040</v>
      </c>
      <c r="K19" s="23"/>
      <c r="L19" s="21">
        <v>2009</v>
      </c>
      <c r="M19" s="21">
        <v>2009</v>
      </c>
      <c r="N19" s="21">
        <v>2009</v>
      </c>
      <c r="O19" s="21">
        <v>2009</v>
      </c>
      <c r="P19" s="21">
        <f t="shared" si="3"/>
        <v>-31</v>
      </c>
      <c r="Q19" s="21">
        <f t="shared" si="4"/>
        <v>0</v>
      </c>
    </row>
    <row r="20" spans="1:17" ht="13.8" x14ac:dyDescent="0.25">
      <c r="A20" s="177" t="s">
        <v>75</v>
      </c>
      <c r="B20" s="177"/>
      <c r="C20" s="177"/>
      <c r="D20" s="24">
        <f t="shared" ref="D20:J20" si="5">SUM(D14:D19)</f>
        <v>161666</v>
      </c>
      <c r="E20" s="24">
        <f t="shared" si="5"/>
        <v>132129.97</v>
      </c>
      <c r="F20" s="24">
        <f t="shared" si="5"/>
        <v>168493</v>
      </c>
      <c r="G20" s="24">
        <f t="shared" si="5"/>
        <v>164763.78999999998</v>
      </c>
      <c r="H20" s="24">
        <f t="shared" si="5"/>
        <v>183554</v>
      </c>
      <c r="I20" s="24">
        <f t="shared" si="5"/>
        <v>170517.49</v>
      </c>
      <c r="J20" s="24">
        <f t="shared" si="5"/>
        <v>183000</v>
      </c>
      <c r="K20" s="26"/>
      <c r="L20" s="24">
        <f t="shared" ref="L20:Q20" si="6">SUM(L14:L19)</f>
        <v>189163</v>
      </c>
      <c r="M20" s="24">
        <f t="shared" si="6"/>
        <v>189163</v>
      </c>
      <c r="N20" s="24">
        <f t="shared" si="6"/>
        <v>189163</v>
      </c>
      <c r="O20" s="24">
        <f t="shared" si="6"/>
        <v>189163</v>
      </c>
      <c r="P20" s="24">
        <f t="shared" si="6"/>
        <v>6163</v>
      </c>
      <c r="Q20" s="24">
        <f t="shared" si="6"/>
        <v>0</v>
      </c>
    </row>
    <row r="21" spans="1:17" ht="13.8" x14ac:dyDescent="0.25">
      <c r="A21" s="175" t="s">
        <v>21</v>
      </c>
      <c r="B21" s="175"/>
      <c r="C21" s="175"/>
      <c r="D21" s="27"/>
      <c r="E21" s="27"/>
      <c r="F21" s="27"/>
      <c r="G21" s="27"/>
      <c r="H21" s="27"/>
      <c r="I21" s="27"/>
      <c r="J21" s="27"/>
      <c r="K21" s="29"/>
      <c r="L21" s="27"/>
      <c r="M21" s="27"/>
      <c r="N21" s="27"/>
      <c r="O21" s="27"/>
      <c r="P21" s="135"/>
      <c r="Q21" s="135"/>
    </row>
    <row r="22" spans="1:17" ht="13.8" x14ac:dyDescent="0.25">
      <c r="A22" s="52" t="s">
        <v>378</v>
      </c>
      <c r="B22" s="19" t="s">
        <v>152</v>
      </c>
      <c r="C22" s="20" t="s">
        <v>153</v>
      </c>
      <c r="D22" s="27">
        <v>0</v>
      </c>
      <c r="E22" s="21">
        <v>1392</v>
      </c>
      <c r="F22" s="27">
        <v>0</v>
      </c>
      <c r="G22" s="27">
        <v>0</v>
      </c>
      <c r="H22" s="27">
        <v>0</v>
      </c>
      <c r="I22" s="27">
        <v>0</v>
      </c>
      <c r="J22" s="27">
        <v>0</v>
      </c>
      <c r="K22" s="29"/>
      <c r="L22" s="27">
        <v>7500</v>
      </c>
      <c r="M22" s="27">
        <v>0</v>
      </c>
      <c r="N22" s="27">
        <v>0</v>
      </c>
      <c r="O22" s="27">
        <v>0</v>
      </c>
      <c r="P22" s="21">
        <f t="shared" ref="P22:P24" si="7">+N22-J22</f>
        <v>0</v>
      </c>
      <c r="Q22" s="21">
        <f t="shared" ref="Q22:Q24" si="8">+N22-O22</f>
        <v>0</v>
      </c>
    </row>
    <row r="23" spans="1:17" ht="13.8" x14ac:dyDescent="0.25">
      <c r="A23" s="52" t="s">
        <v>378</v>
      </c>
      <c r="B23" s="32" t="s">
        <v>28</v>
      </c>
      <c r="C23" s="33" t="s">
        <v>29</v>
      </c>
      <c r="D23" s="21">
        <v>15681</v>
      </c>
      <c r="E23" s="21">
        <v>29155.38</v>
      </c>
      <c r="F23" s="21">
        <v>15681</v>
      </c>
      <c r="G23" s="21">
        <v>17811.490000000002</v>
      </c>
      <c r="H23" s="21">
        <v>21481</v>
      </c>
      <c r="I23" s="21">
        <v>24530.92</v>
      </c>
      <c r="J23" s="21">
        <v>21481</v>
      </c>
      <c r="K23" s="23"/>
      <c r="L23" s="21">
        <v>25184</v>
      </c>
      <c r="M23" s="21">
        <v>25184</v>
      </c>
      <c r="N23" s="21">
        <v>25184</v>
      </c>
      <c r="O23" s="21">
        <v>21481</v>
      </c>
      <c r="P23" s="21">
        <f t="shared" si="7"/>
        <v>3703</v>
      </c>
      <c r="Q23" s="21">
        <f t="shared" si="8"/>
        <v>3703</v>
      </c>
    </row>
    <row r="24" spans="1:17" ht="13.8" x14ac:dyDescent="0.25">
      <c r="A24" s="52" t="s">
        <v>378</v>
      </c>
      <c r="B24" s="32" t="s">
        <v>158</v>
      </c>
      <c r="C24" s="33" t="s">
        <v>159</v>
      </c>
      <c r="D24" s="21">
        <v>27540</v>
      </c>
      <c r="E24" s="21">
        <v>29346.14</v>
      </c>
      <c r="F24" s="21">
        <v>27540</v>
      </c>
      <c r="G24" s="21">
        <v>27540</v>
      </c>
      <c r="H24" s="21">
        <v>27540</v>
      </c>
      <c r="I24" s="21">
        <v>27540</v>
      </c>
      <c r="J24" s="21">
        <v>28367</v>
      </c>
      <c r="K24" s="23"/>
      <c r="L24" s="21">
        <v>31201</v>
      </c>
      <c r="M24" s="21">
        <v>31201</v>
      </c>
      <c r="N24" s="21">
        <v>31201</v>
      </c>
      <c r="O24" s="21">
        <v>28367</v>
      </c>
      <c r="P24" s="21">
        <f t="shared" si="7"/>
        <v>2834</v>
      </c>
      <c r="Q24" s="21">
        <f t="shared" si="8"/>
        <v>2834</v>
      </c>
    </row>
    <row r="25" spans="1:17" ht="13.8" x14ac:dyDescent="0.25">
      <c r="A25" s="177" t="s">
        <v>76</v>
      </c>
      <c r="B25" s="177"/>
      <c r="C25" s="177"/>
      <c r="D25" s="24">
        <f t="shared" ref="D25:J25" si="9">SUM(D22:D24)</f>
        <v>43221</v>
      </c>
      <c r="E25" s="24">
        <f t="shared" si="9"/>
        <v>59893.520000000004</v>
      </c>
      <c r="F25" s="24">
        <f t="shared" si="9"/>
        <v>43221</v>
      </c>
      <c r="G25" s="24">
        <f t="shared" si="9"/>
        <v>45351.490000000005</v>
      </c>
      <c r="H25" s="24">
        <f t="shared" si="9"/>
        <v>49021</v>
      </c>
      <c r="I25" s="24">
        <f t="shared" si="9"/>
        <v>52070.92</v>
      </c>
      <c r="J25" s="24">
        <f t="shared" si="9"/>
        <v>49848</v>
      </c>
      <c r="K25" s="26"/>
      <c r="L25" s="24">
        <f t="shared" ref="L25:M25" si="10">SUM(L22:L24)</f>
        <v>63885</v>
      </c>
      <c r="M25" s="24">
        <f t="shared" si="10"/>
        <v>56385</v>
      </c>
      <c r="N25" s="24">
        <f>SUM(N22:N24)</f>
        <v>56385</v>
      </c>
      <c r="O25" s="24">
        <f t="shared" ref="O25" si="11">SUM(O22:O24)</f>
        <v>49848</v>
      </c>
      <c r="P25" s="24">
        <f>SUM(P22:P24)</f>
        <v>6537</v>
      </c>
      <c r="Q25" s="24">
        <f>SUM(Q22:Q24)</f>
        <v>6537</v>
      </c>
    </row>
    <row r="26" spans="1:17" ht="13.8" x14ac:dyDescent="0.25">
      <c r="A26" s="175" t="s">
        <v>133</v>
      </c>
      <c r="B26" s="175"/>
      <c r="C26" s="175"/>
      <c r="D26" s="27"/>
      <c r="E26" s="27"/>
      <c r="F26" s="27"/>
      <c r="G26" s="27"/>
      <c r="H26" s="27"/>
      <c r="I26" s="27"/>
      <c r="J26" s="27"/>
      <c r="K26" s="29"/>
      <c r="L26" s="27"/>
      <c r="M26" s="27"/>
      <c r="N26" s="27"/>
      <c r="O26" s="27"/>
      <c r="P26" s="135"/>
      <c r="Q26" s="135"/>
    </row>
    <row r="27" spans="1:17" ht="13.8" x14ac:dyDescent="0.25">
      <c r="A27" s="52" t="s">
        <v>378</v>
      </c>
      <c r="B27" s="32" t="s">
        <v>160</v>
      </c>
      <c r="C27" s="33" t="s">
        <v>161</v>
      </c>
      <c r="D27" s="21">
        <v>42211</v>
      </c>
      <c r="E27" s="21">
        <v>30515.56</v>
      </c>
      <c r="F27" s="21">
        <v>42211</v>
      </c>
      <c r="G27" s="21">
        <v>38316.75</v>
      </c>
      <c r="H27" s="21">
        <v>42211</v>
      </c>
      <c r="I27" s="21">
        <v>38997.79</v>
      </c>
      <c r="J27" s="21">
        <v>40211</v>
      </c>
      <c r="K27" s="23"/>
      <c r="L27" s="21">
        <v>43000</v>
      </c>
      <c r="M27" s="21">
        <v>43000</v>
      </c>
      <c r="N27" s="21">
        <v>43000</v>
      </c>
      <c r="O27" s="21">
        <v>40211</v>
      </c>
      <c r="P27" s="21">
        <f t="shared" ref="P27:P29" si="12">+N27-J27</f>
        <v>2789</v>
      </c>
      <c r="Q27" s="21">
        <f t="shared" ref="Q27:Q29" si="13">+N27-O27</f>
        <v>2789</v>
      </c>
    </row>
    <row r="28" spans="1:17" ht="13.8" x14ac:dyDescent="0.25">
      <c r="A28" s="52" t="s">
        <v>378</v>
      </c>
      <c r="B28" s="32" t="s">
        <v>162</v>
      </c>
      <c r="C28" s="33" t="s">
        <v>163</v>
      </c>
      <c r="D28" s="21">
        <v>22677</v>
      </c>
      <c r="E28" s="21">
        <v>14204.69</v>
      </c>
      <c r="F28" s="21">
        <v>23131</v>
      </c>
      <c r="G28" s="21">
        <v>13901.91</v>
      </c>
      <c r="H28" s="21">
        <v>23131</v>
      </c>
      <c r="I28" s="21">
        <v>16564.07</v>
      </c>
      <c r="J28" s="21">
        <v>23131</v>
      </c>
      <c r="K28" s="23"/>
      <c r="L28" s="21">
        <v>16680</v>
      </c>
      <c r="M28" s="21">
        <v>16680</v>
      </c>
      <c r="N28" s="21">
        <v>16680</v>
      </c>
      <c r="O28" s="21">
        <v>23131</v>
      </c>
      <c r="P28" s="21">
        <f t="shared" si="12"/>
        <v>-6451</v>
      </c>
      <c r="Q28" s="21">
        <f t="shared" si="13"/>
        <v>-6451</v>
      </c>
    </row>
    <row r="29" spans="1:17" ht="13.8" x14ac:dyDescent="0.25">
      <c r="A29" s="52" t="s">
        <v>378</v>
      </c>
      <c r="B29" s="32" t="s">
        <v>164</v>
      </c>
      <c r="C29" s="33" t="s">
        <v>165</v>
      </c>
      <c r="D29" s="21">
        <v>4182</v>
      </c>
      <c r="E29" s="21">
        <v>3902.11</v>
      </c>
      <c r="F29" s="21">
        <v>4182</v>
      </c>
      <c r="G29" s="21">
        <v>5413.24</v>
      </c>
      <c r="H29" s="21">
        <v>3182</v>
      </c>
      <c r="I29" s="21">
        <v>4346.87</v>
      </c>
      <c r="J29" s="21">
        <v>4182</v>
      </c>
      <c r="K29" s="23"/>
      <c r="L29" s="21">
        <v>4407</v>
      </c>
      <c r="M29" s="21">
        <v>4407</v>
      </c>
      <c r="N29" s="21">
        <v>4407</v>
      </c>
      <c r="O29" s="21">
        <v>4182</v>
      </c>
      <c r="P29" s="21">
        <f t="shared" si="12"/>
        <v>225</v>
      </c>
      <c r="Q29" s="21">
        <f t="shared" si="13"/>
        <v>225</v>
      </c>
    </row>
    <row r="30" spans="1:17" ht="13.8" x14ac:dyDescent="0.25">
      <c r="A30" s="177" t="s">
        <v>136</v>
      </c>
      <c r="B30" s="177"/>
      <c r="C30" s="177"/>
      <c r="D30" s="24">
        <f t="shared" ref="D30:J30" si="14">SUM(D27:D29)</f>
        <v>69070</v>
      </c>
      <c r="E30" s="24">
        <f t="shared" si="14"/>
        <v>48622.36</v>
      </c>
      <c r="F30" s="24">
        <f t="shared" si="14"/>
        <v>69524</v>
      </c>
      <c r="G30" s="24">
        <f t="shared" si="14"/>
        <v>57631.9</v>
      </c>
      <c r="H30" s="24">
        <f t="shared" si="14"/>
        <v>68524</v>
      </c>
      <c r="I30" s="24">
        <f t="shared" si="14"/>
        <v>59908.73</v>
      </c>
      <c r="J30" s="24">
        <f t="shared" si="14"/>
        <v>67524</v>
      </c>
      <c r="K30" s="26"/>
      <c r="L30" s="24">
        <f>SUM(L27:L29)</f>
        <v>64087</v>
      </c>
      <c r="M30" s="24">
        <f>SUM(M27:M29)</f>
        <v>64087</v>
      </c>
      <c r="N30" s="24">
        <f>SUM(N27:N29)</f>
        <v>64087</v>
      </c>
      <c r="O30" s="24">
        <f>SUM(O27:O29)</f>
        <v>67524</v>
      </c>
      <c r="P30" s="57">
        <f t="shared" ref="P30:Q30" si="15">SUM(P27:P29)</f>
        <v>-3437</v>
      </c>
      <c r="Q30" s="57">
        <f t="shared" si="15"/>
        <v>-3437</v>
      </c>
    </row>
    <row r="31" spans="1:17" ht="13.8" x14ac:dyDescent="0.25">
      <c r="A31" s="175" t="s">
        <v>45</v>
      </c>
      <c r="B31" s="175"/>
      <c r="C31" s="175"/>
      <c r="D31" s="27"/>
      <c r="E31" s="27"/>
      <c r="F31" s="27"/>
      <c r="G31" s="27"/>
      <c r="H31" s="27"/>
      <c r="I31" s="27"/>
      <c r="J31" s="27"/>
      <c r="K31" s="29"/>
      <c r="L31" s="27"/>
      <c r="M31" s="27"/>
      <c r="N31" s="27"/>
      <c r="O31" s="27"/>
      <c r="P31" s="135"/>
      <c r="Q31" s="135"/>
    </row>
    <row r="32" spans="1:17" ht="13.8" x14ac:dyDescent="0.25">
      <c r="A32" s="52" t="s">
        <v>378</v>
      </c>
      <c r="B32" s="32" t="s">
        <v>22</v>
      </c>
      <c r="C32" s="33" t="s">
        <v>23</v>
      </c>
      <c r="D32" s="21">
        <v>3500</v>
      </c>
      <c r="E32" s="21">
        <v>269.72000000000003</v>
      </c>
      <c r="F32" s="21">
        <v>3500</v>
      </c>
      <c r="G32" s="21">
        <v>4874.41</v>
      </c>
      <c r="H32" s="21">
        <v>3500</v>
      </c>
      <c r="I32" s="21">
        <v>5502.63</v>
      </c>
      <c r="J32" s="21">
        <v>4500</v>
      </c>
      <c r="K32" s="23"/>
      <c r="L32" s="21">
        <v>5659</v>
      </c>
      <c r="M32" s="21">
        <v>5659</v>
      </c>
      <c r="N32" s="21">
        <v>5659</v>
      </c>
      <c r="O32" s="21">
        <v>4500</v>
      </c>
      <c r="P32" s="21">
        <f t="shared" ref="P32:P36" si="16">+N32-J32</f>
        <v>1159</v>
      </c>
      <c r="Q32" s="21">
        <f t="shared" ref="Q32:Q36" si="17">+N32-O32</f>
        <v>1159</v>
      </c>
    </row>
    <row r="33" spans="1:17" ht="13.8" x14ac:dyDescent="0.25">
      <c r="A33" s="52" t="s">
        <v>378</v>
      </c>
      <c r="B33" s="32" t="s">
        <v>46</v>
      </c>
      <c r="C33" s="33" t="s">
        <v>47</v>
      </c>
      <c r="D33" s="21">
        <v>4445</v>
      </c>
      <c r="E33" s="21">
        <v>4088</v>
      </c>
      <c r="F33" s="21">
        <v>4445</v>
      </c>
      <c r="G33" s="21">
        <v>6304</v>
      </c>
      <c r="H33" s="21">
        <v>30628</v>
      </c>
      <c r="I33" s="21">
        <v>38114</v>
      </c>
      <c r="J33" s="21">
        <v>52262</v>
      </c>
      <c r="K33" s="23"/>
      <c r="L33" s="21">
        <v>56306</v>
      </c>
      <c r="M33" s="21">
        <v>56306</v>
      </c>
      <c r="N33" s="21">
        <v>56306</v>
      </c>
      <c r="O33" s="21">
        <v>52262</v>
      </c>
      <c r="P33" s="21">
        <f t="shared" si="16"/>
        <v>4044</v>
      </c>
      <c r="Q33" s="21">
        <f t="shared" si="17"/>
        <v>4044</v>
      </c>
    </row>
    <row r="34" spans="1:17" ht="13.8" x14ac:dyDescent="0.25">
      <c r="A34" s="52" t="s">
        <v>378</v>
      </c>
      <c r="B34" s="32" t="s">
        <v>379</v>
      </c>
      <c r="C34" s="33" t="s">
        <v>380</v>
      </c>
      <c r="D34" s="34">
        <v>0</v>
      </c>
      <c r="E34" s="34">
        <v>0</v>
      </c>
      <c r="F34" s="34">
        <v>0</v>
      </c>
      <c r="G34" s="34">
        <v>0</v>
      </c>
      <c r="H34" s="34">
        <v>0</v>
      </c>
      <c r="I34" s="34">
        <v>0</v>
      </c>
      <c r="J34" s="34">
        <v>0</v>
      </c>
      <c r="K34" s="136"/>
      <c r="L34" s="34">
        <v>0</v>
      </c>
      <c r="M34" s="34">
        <v>0</v>
      </c>
      <c r="N34" s="34">
        <v>0</v>
      </c>
      <c r="O34" s="34">
        <v>0</v>
      </c>
      <c r="P34" s="21">
        <f t="shared" si="16"/>
        <v>0</v>
      </c>
      <c r="Q34" s="21">
        <f t="shared" si="17"/>
        <v>0</v>
      </c>
    </row>
    <row r="35" spans="1:17" ht="13.8" x14ac:dyDescent="0.25">
      <c r="A35" s="52" t="s">
        <v>378</v>
      </c>
      <c r="B35" s="32" t="s">
        <v>24</v>
      </c>
      <c r="C35" s="33" t="s">
        <v>25</v>
      </c>
      <c r="D35" s="21">
        <v>2000</v>
      </c>
      <c r="E35" s="21">
        <v>2730.81</v>
      </c>
      <c r="F35" s="21">
        <v>2000</v>
      </c>
      <c r="G35" s="21">
        <v>511.82</v>
      </c>
      <c r="H35" s="21">
        <v>2000</v>
      </c>
      <c r="I35" s="21">
        <v>120</v>
      </c>
      <c r="J35" s="21">
        <v>1000</v>
      </c>
      <c r="K35" s="23"/>
      <c r="L35" s="21">
        <v>2000</v>
      </c>
      <c r="M35" s="21">
        <v>2000</v>
      </c>
      <c r="N35" s="21">
        <v>2000</v>
      </c>
      <c r="O35" s="21">
        <v>1000</v>
      </c>
      <c r="P35" s="21">
        <f t="shared" si="16"/>
        <v>1000</v>
      </c>
      <c r="Q35" s="21">
        <f t="shared" si="17"/>
        <v>1000</v>
      </c>
    </row>
    <row r="36" spans="1:17" ht="13.8" x14ac:dyDescent="0.25">
      <c r="A36" s="52" t="s">
        <v>378</v>
      </c>
      <c r="B36" s="19" t="s">
        <v>26</v>
      </c>
      <c r="C36" s="20" t="s">
        <v>27</v>
      </c>
      <c r="D36" s="21">
        <v>0</v>
      </c>
      <c r="E36" s="21">
        <v>0</v>
      </c>
      <c r="F36" s="21">
        <v>0</v>
      </c>
      <c r="G36" s="21">
        <v>0</v>
      </c>
      <c r="H36" s="21">
        <v>0</v>
      </c>
      <c r="I36" s="21">
        <v>159.85</v>
      </c>
      <c r="J36" s="21">
        <v>1000</v>
      </c>
      <c r="K36" s="23"/>
      <c r="L36" s="21">
        <v>1500</v>
      </c>
      <c r="M36" s="21">
        <v>1500</v>
      </c>
      <c r="N36" s="21">
        <v>1500</v>
      </c>
      <c r="O36" s="21">
        <v>1000</v>
      </c>
      <c r="P36" s="21">
        <f t="shared" si="16"/>
        <v>500</v>
      </c>
      <c r="Q36" s="21">
        <f t="shared" si="17"/>
        <v>500</v>
      </c>
    </row>
    <row r="37" spans="1:17" ht="13.8" x14ac:dyDescent="0.25">
      <c r="A37" s="177" t="s">
        <v>85</v>
      </c>
      <c r="B37" s="177"/>
      <c r="C37" s="177"/>
      <c r="D37" s="24">
        <f t="shared" ref="D37:J37" si="18">SUM(D32:D36)</f>
        <v>9945</v>
      </c>
      <c r="E37" s="24">
        <f t="shared" si="18"/>
        <v>7088.5300000000007</v>
      </c>
      <c r="F37" s="24">
        <f t="shared" si="18"/>
        <v>9945</v>
      </c>
      <c r="G37" s="24">
        <f t="shared" si="18"/>
        <v>11690.23</v>
      </c>
      <c r="H37" s="24">
        <f t="shared" si="18"/>
        <v>36128</v>
      </c>
      <c r="I37" s="24">
        <f t="shared" si="18"/>
        <v>43896.479999999996</v>
      </c>
      <c r="J37" s="24">
        <f t="shared" si="18"/>
        <v>58762</v>
      </c>
      <c r="K37" s="26"/>
      <c r="L37" s="24">
        <f t="shared" ref="L37:M37" si="19">SUM(L32:L36)</f>
        <v>65465</v>
      </c>
      <c r="M37" s="24">
        <f t="shared" si="19"/>
        <v>65465</v>
      </c>
      <c r="N37" s="24">
        <f>SUM(N32:N36)</f>
        <v>65465</v>
      </c>
      <c r="O37" s="24">
        <f t="shared" ref="O37:Q37" si="20">SUM(O32:O36)</f>
        <v>58762</v>
      </c>
      <c r="P37" s="24">
        <f t="shared" si="20"/>
        <v>6703</v>
      </c>
      <c r="Q37" s="24">
        <f t="shared" si="20"/>
        <v>6703</v>
      </c>
    </row>
    <row r="38" spans="1:17" ht="13.8" x14ac:dyDescent="0.25">
      <c r="A38" s="175" t="s">
        <v>30</v>
      </c>
      <c r="B38" s="175"/>
      <c r="C38" s="175"/>
      <c r="D38" s="27"/>
      <c r="E38" s="27"/>
      <c r="F38" s="27"/>
      <c r="G38" s="27"/>
      <c r="H38" s="27"/>
      <c r="I38" s="27"/>
      <c r="J38" s="27"/>
      <c r="K38" s="29"/>
      <c r="L38" s="27"/>
      <c r="M38" s="27"/>
      <c r="N38" s="74"/>
      <c r="O38" s="27"/>
      <c r="P38" s="135"/>
      <c r="Q38" s="135"/>
    </row>
    <row r="39" spans="1:17" ht="13.8" x14ac:dyDescent="0.25">
      <c r="A39" s="52" t="s">
        <v>378</v>
      </c>
      <c r="B39" s="32" t="s">
        <v>31</v>
      </c>
      <c r="C39" s="33" t="s">
        <v>32</v>
      </c>
      <c r="D39" s="21">
        <v>14603</v>
      </c>
      <c r="E39" s="21">
        <v>7619.41</v>
      </c>
      <c r="F39" s="21">
        <v>14603</v>
      </c>
      <c r="G39" s="21">
        <v>9809.01</v>
      </c>
      <c r="H39" s="21">
        <v>10000</v>
      </c>
      <c r="I39" s="21">
        <v>4982.7299999999996</v>
      </c>
      <c r="J39" s="21">
        <v>9100</v>
      </c>
      <c r="K39" s="23"/>
      <c r="L39" s="21">
        <v>7500</v>
      </c>
      <c r="M39" s="21">
        <v>7500</v>
      </c>
      <c r="N39" s="21">
        <v>7500</v>
      </c>
      <c r="O39" s="21">
        <v>9100</v>
      </c>
      <c r="P39" s="21">
        <f t="shared" ref="P39:P44" si="21">+N39-J39</f>
        <v>-1600</v>
      </c>
      <c r="Q39" s="21">
        <f t="shared" ref="Q39:Q44" si="22">+N39-O39</f>
        <v>-1600</v>
      </c>
    </row>
    <row r="40" spans="1:17" ht="13.8" x14ac:dyDescent="0.25">
      <c r="A40" s="52" t="s">
        <v>378</v>
      </c>
      <c r="B40" s="32" t="s">
        <v>51</v>
      </c>
      <c r="C40" s="33" t="s">
        <v>48</v>
      </c>
      <c r="D40" s="21">
        <v>19300</v>
      </c>
      <c r="E40" s="21">
        <v>12418.6</v>
      </c>
      <c r="F40" s="21">
        <v>19300</v>
      </c>
      <c r="G40" s="21">
        <v>9528.65</v>
      </c>
      <c r="H40" s="21">
        <v>12000</v>
      </c>
      <c r="I40" s="21">
        <v>10217.1</v>
      </c>
      <c r="J40" s="21">
        <v>11099</v>
      </c>
      <c r="K40" s="23"/>
      <c r="L40" s="21">
        <v>11099</v>
      </c>
      <c r="M40" s="21">
        <v>11099</v>
      </c>
      <c r="N40" s="21">
        <v>11099</v>
      </c>
      <c r="O40" s="21">
        <v>11099</v>
      </c>
      <c r="P40" s="21">
        <f t="shared" si="21"/>
        <v>0</v>
      </c>
      <c r="Q40" s="21">
        <f t="shared" si="22"/>
        <v>0</v>
      </c>
    </row>
    <row r="41" spans="1:17" ht="13.8" x14ac:dyDescent="0.25">
      <c r="A41" s="52" t="s">
        <v>378</v>
      </c>
      <c r="B41" s="32" t="s">
        <v>52</v>
      </c>
      <c r="C41" s="33" t="s">
        <v>49</v>
      </c>
      <c r="D41" s="21">
        <v>2367</v>
      </c>
      <c r="E41" s="21">
        <v>2262.2600000000002</v>
      </c>
      <c r="F41" s="21">
        <v>2367</v>
      </c>
      <c r="G41" s="21">
        <v>612.63</v>
      </c>
      <c r="H41" s="21">
        <v>1367</v>
      </c>
      <c r="I41" s="21">
        <v>3307.9</v>
      </c>
      <c r="J41" s="21">
        <v>1000</v>
      </c>
      <c r="K41" s="23"/>
      <c r="L41" s="21">
        <v>2000</v>
      </c>
      <c r="M41" s="21">
        <v>2000</v>
      </c>
      <c r="N41" s="21">
        <v>2000</v>
      </c>
      <c r="O41" s="21">
        <v>1000</v>
      </c>
      <c r="P41" s="21">
        <f t="shared" si="21"/>
        <v>1000</v>
      </c>
      <c r="Q41" s="21">
        <f t="shared" si="22"/>
        <v>1000</v>
      </c>
    </row>
    <row r="42" spans="1:17" ht="13.8" x14ac:dyDescent="0.25">
      <c r="A42" s="52" t="s">
        <v>378</v>
      </c>
      <c r="B42" s="32" t="s">
        <v>137</v>
      </c>
      <c r="C42" s="33" t="s">
        <v>138</v>
      </c>
      <c r="D42" s="21">
        <v>25000</v>
      </c>
      <c r="E42" s="21">
        <v>41660.29</v>
      </c>
      <c r="F42" s="21">
        <v>25000</v>
      </c>
      <c r="G42" s="21">
        <v>25716.080000000002</v>
      </c>
      <c r="H42" s="21">
        <v>25000</v>
      </c>
      <c r="I42" s="21">
        <v>27910.25</v>
      </c>
      <c r="J42" s="21">
        <v>25000</v>
      </c>
      <c r="K42" s="23"/>
      <c r="L42" s="21">
        <v>25000</v>
      </c>
      <c r="M42" s="21">
        <v>25000</v>
      </c>
      <c r="N42" s="21">
        <v>25000</v>
      </c>
      <c r="O42" s="21">
        <v>25000</v>
      </c>
      <c r="P42" s="21">
        <f t="shared" si="21"/>
        <v>0</v>
      </c>
      <c r="Q42" s="21">
        <f t="shared" si="22"/>
        <v>0</v>
      </c>
    </row>
    <row r="43" spans="1:17" ht="13.8" x14ac:dyDescent="0.25">
      <c r="A43" s="52" t="s">
        <v>378</v>
      </c>
      <c r="B43" s="32" t="s">
        <v>53</v>
      </c>
      <c r="C43" s="33" t="s">
        <v>50</v>
      </c>
      <c r="D43" s="21">
        <v>95000</v>
      </c>
      <c r="E43" s="21">
        <v>190507.44</v>
      </c>
      <c r="F43" s="21">
        <v>100000</v>
      </c>
      <c r="G43" s="21">
        <v>160035.01</v>
      </c>
      <c r="H43" s="21">
        <v>90000</v>
      </c>
      <c r="I43" s="21">
        <v>103146.16</v>
      </c>
      <c r="J43" s="21">
        <v>100000</v>
      </c>
      <c r="K43" s="23"/>
      <c r="L43" s="21">
        <v>141000</v>
      </c>
      <c r="M43" s="21">
        <v>141000</v>
      </c>
      <c r="N43" s="21">
        <v>141000</v>
      </c>
      <c r="O43" s="21">
        <v>100000</v>
      </c>
      <c r="P43" s="21">
        <f t="shared" si="21"/>
        <v>41000</v>
      </c>
      <c r="Q43" s="21">
        <f t="shared" si="22"/>
        <v>41000</v>
      </c>
    </row>
    <row r="44" spans="1:17" ht="13.8" x14ac:dyDescent="0.25">
      <c r="A44" s="52" t="s">
        <v>378</v>
      </c>
      <c r="B44" s="32" t="s">
        <v>381</v>
      </c>
      <c r="C44" s="33" t="s">
        <v>382</v>
      </c>
      <c r="D44" s="34">
        <v>0</v>
      </c>
      <c r="E44" s="34">
        <v>0</v>
      </c>
      <c r="F44" s="34">
        <v>0</v>
      </c>
      <c r="G44" s="34">
        <v>0</v>
      </c>
      <c r="H44" s="34">
        <v>0</v>
      </c>
      <c r="I44" s="34">
        <v>0</v>
      </c>
      <c r="J44" s="34">
        <v>0</v>
      </c>
      <c r="K44" s="23"/>
      <c r="L44" s="34">
        <v>0</v>
      </c>
      <c r="M44" s="34">
        <v>0</v>
      </c>
      <c r="N44" s="34">
        <v>0</v>
      </c>
      <c r="O44" s="34">
        <v>0</v>
      </c>
      <c r="P44" s="21">
        <f t="shared" si="21"/>
        <v>0</v>
      </c>
      <c r="Q44" s="21">
        <f t="shared" si="22"/>
        <v>0</v>
      </c>
    </row>
    <row r="45" spans="1:17" ht="13.8" x14ac:dyDescent="0.25">
      <c r="A45" s="177" t="s">
        <v>77</v>
      </c>
      <c r="B45" s="177"/>
      <c r="C45" s="177"/>
      <c r="D45" s="24">
        <f>SUM(D39:D44)</f>
        <v>156270</v>
      </c>
      <c r="E45" s="24">
        <f t="shared" ref="E45" si="23">SUM(E39:E44)</f>
        <v>254468</v>
      </c>
      <c r="F45" s="24">
        <f>SUM(F39:F44)</f>
        <v>161270</v>
      </c>
      <c r="G45" s="24">
        <f>SUM(G39:G44)</f>
        <v>205701.38</v>
      </c>
      <c r="H45" s="24">
        <f>SUM(H39:H44)</f>
        <v>138367</v>
      </c>
      <c r="I45" s="24">
        <f>SUM(I39:I44)</f>
        <v>149564.14000000001</v>
      </c>
      <c r="J45" s="24">
        <f>SUM(J39:J44)</f>
        <v>146199</v>
      </c>
      <c r="K45" s="23"/>
      <c r="L45" s="24">
        <f>SUM(L39:L44)</f>
        <v>186599</v>
      </c>
      <c r="M45" s="24">
        <f>SUM(M39:M44)</f>
        <v>186599</v>
      </c>
      <c r="N45" s="24">
        <f>SUM(N39:N44)</f>
        <v>186599</v>
      </c>
      <c r="O45" s="24">
        <f>SUM(O39:O44)</f>
        <v>146199</v>
      </c>
      <c r="P45" s="57">
        <f t="shared" ref="P45" si="24">SUM(P39:P44)</f>
        <v>40400</v>
      </c>
      <c r="Q45" s="57">
        <f>SUM(Q39:Q44)</f>
        <v>40400</v>
      </c>
    </row>
    <row r="46" spans="1:17" ht="13.8" x14ac:dyDescent="0.25">
      <c r="A46" s="175" t="s">
        <v>54</v>
      </c>
      <c r="B46" s="175"/>
      <c r="C46" s="175"/>
      <c r="D46" s="27"/>
      <c r="E46" s="27"/>
      <c r="F46" s="27"/>
      <c r="G46" s="27"/>
      <c r="H46" s="27"/>
      <c r="I46" s="27"/>
      <c r="J46" s="27"/>
      <c r="K46" s="23"/>
      <c r="L46" s="27"/>
      <c r="M46" s="30"/>
      <c r="N46" s="30"/>
      <c r="O46" s="27"/>
      <c r="P46" s="135"/>
      <c r="Q46" s="135"/>
    </row>
    <row r="47" spans="1:17" ht="13.8" x14ac:dyDescent="0.25">
      <c r="A47" s="52" t="s">
        <v>378</v>
      </c>
      <c r="B47" s="32" t="s">
        <v>114</v>
      </c>
      <c r="C47" s="33" t="s">
        <v>115</v>
      </c>
      <c r="D47" s="21">
        <v>0</v>
      </c>
      <c r="E47" s="21">
        <v>1989.63</v>
      </c>
      <c r="F47" s="21">
        <v>0</v>
      </c>
      <c r="G47" s="21">
        <v>3013.78</v>
      </c>
      <c r="H47" s="21">
        <v>0</v>
      </c>
      <c r="I47" s="21">
        <v>3963.03</v>
      </c>
      <c r="J47" s="21">
        <v>0</v>
      </c>
      <c r="K47" s="23"/>
      <c r="L47" s="21">
        <v>1000</v>
      </c>
      <c r="M47" s="21">
        <v>1000</v>
      </c>
      <c r="N47" s="21">
        <v>1000</v>
      </c>
      <c r="O47" s="21">
        <v>0</v>
      </c>
      <c r="P47" s="21">
        <f t="shared" ref="P47:P48" si="25">+N47-J47</f>
        <v>1000</v>
      </c>
      <c r="Q47" s="21">
        <f t="shared" ref="Q47:Q48" si="26">+N47-O47</f>
        <v>1000</v>
      </c>
    </row>
    <row r="48" spans="1:17" ht="13.8" x14ac:dyDescent="0.25">
      <c r="A48" s="52" t="s">
        <v>378</v>
      </c>
      <c r="B48" s="32" t="s">
        <v>55</v>
      </c>
      <c r="C48" s="33" t="s">
        <v>56</v>
      </c>
      <c r="D48" s="21">
        <v>0</v>
      </c>
      <c r="E48" s="21">
        <v>9666.34</v>
      </c>
      <c r="F48" s="21">
        <v>0</v>
      </c>
      <c r="G48" s="21">
        <v>1711.75</v>
      </c>
      <c r="H48" s="21">
        <v>0</v>
      </c>
      <c r="I48" s="21">
        <v>0</v>
      </c>
      <c r="J48" s="21">
        <v>2500</v>
      </c>
      <c r="K48" s="23"/>
      <c r="L48" s="21">
        <v>2500</v>
      </c>
      <c r="M48" s="21">
        <v>2500</v>
      </c>
      <c r="N48" s="21">
        <v>2500</v>
      </c>
      <c r="O48" s="21">
        <v>2500</v>
      </c>
      <c r="P48" s="21">
        <f t="shared" si="25"/>
        <v>0</v>
      </c>
      <c r="Q48" s="21">
        <f t="shared" si="26"/>
        <v>0</v>
      </c>
    </row>
    <row r="49" spans="1:17" ht="13.8" x14ac:dyDescent="0.25">
      <c r="A49" s="177" t="s">
        <v>86</v>
      </c>
      <c r="B49" s="177"/>
      <c r="C49" s="177"/>
      <c r="D49" s="24">
        <f>SUM(D47:D48)</f>
        <v>0</v>
      </c>
      <c r="E49" s="24">
        <f t="shared" ref="E49" si="27">SUM(E47:E48)</f>
        <v>11655.970000000001</v>
      </c>
      <c r="F49" s="24">
        <f>SUM(F47:F48)</f>
        <v>0</v>
      </c>
      <c r="G49" s="24">
        <f>SUM(G47:G48)</f>
        <v>4725.5300000000007</v>
      </c>
      <c r="H49" s="24">
        <f>SUM(H47:H48)</f>
        <v>0</v>
      </c>
      <c r="I49" s="24">
        <f>SUM(I47:I48)</f>
        <v>3963.03</v>
      </c>
      <c r="J49" s="24">
        <f>SUM(J47:J48)</f>
        <v>2500</v>
      </c>
      <c r="K49" s="26"/>
      <c r="L49" s="24">
        <f>SUM(L47:L48)</f>
        <v>3500</v>
      </c>
      <c r="M49" s="57">
        <f t="shared" ref="M49:N49" si="28">SUM(M47:M48)</f>
        <v>3500</v>
      </c>
      <c r="N49" s="57">
        <f t="shared" si="28"/>
        <v>3500</v>
      </c>
      <c r="O49" s="24">
        <f>SUM(O47:O48)</f>
        <v>2500</v>
      </c>
      <c r="P49" s="57">
        <f t="shared" ref="P49:Q49" si="29">SUM(P47:P48)</f>
        <v>1000</v>
      </c>
      <c r="Q49" s="57">
        <f t="shared" si="29"/>
        <v>1000</v>
      </c>
    </row>
    <row r="50" spans="1:17" s="3" customFormat="1" ht="13.8" x14ac:dyDescent="0.25">
      <c r="A50" s="169" t="s">
        <v>172</v>
      </c>
      <c r="B50" s="169"/>
      <c r="C50" s="169"/>
      <c r="D50" s="27"/>
      <c r="E50" s="27"/>
      <c r="F50" s="27"/>
      <c r="G50" s="27"/>
      <c r="H50" s="27"/>
      <c r="I50" s="27"/>
      <c r="K50" s="29"/>
      <c r="M50" s="27"/>
      <c r="N50" s="27"/>
      <c r="P50" s="30"/>
    </row>
    <row r="51" spans="1:17" s="3" customFormat="1" ht="13.8" x14ac:dyDescent="0.25">
      <c r="A51" s="52" t="s">
        <v>378</v>
      </c>
      <c r="B51" s="32" t="s">
        <v>370</v>
      </c>
      <c r="C51" s="33" t="s">
        <v>371</v>
      </c>
      <c r="D51" s="34">
        <v>0</v>
      </c>
      <c r="E51" s="34">
        <v>0</v>
      </c>
      <c r="F51" s="34">
        <v>0</v>
      </c>
      <c r="G51" s="34">
        <v>0</v>
      </c>
      <c r="H51" s="34">
        <v>0</v>
      </c>
      <c r="I51" s="34">
        <v>0</v>
      </c>
      <c r="J51" s="34">
        <v>0</v>
      </c>
      <c r="K51" s="29"/>
      <c r="L51" s="34">
        <v>0</v>
      </c>
      <c r="M51" s="34">
        <v>0</v>
      </c>
      <c r="N51" s="34">
        <v>0</v>
      </c>
      <c r="O51" s="34">
        <v>0</v>
      </c>
      <c r="P51" s="21">
        <f t="shared" ref="P51:P54" si="30">+N51-J51</f>
        <v>0</v>
      </c>
      <c r="Q51" s="21">
        <f t="shared" ref="Q51:Q54" si="31">+N51-O51</f>
        <v>0</v>
      </c>
    </row>
    <row r="52" spans="1:17" s="3" customFormat="1" ht="13.8" x14ac:dyDescent="0.25">
      <c r="A52" s="52" t="s">
        <v>378</v>
      </c>
      <c r="B52" s="32" t="s">
        <v>383</v>
      </c>
      <c r="C52" s="33" t="s">
        <v>384</v>
      </c>
      <c r="D52" s="34">
        <v>0</v>
      </c>
      <c r="E52" s="34">
        <v>0</v>
      </c>
      <c r="F52" s="34">
        <v>0</v>
      </c>
      <c r="G52" s="34">
        <v>0</v>
      </c>
      <c r="H52" s="34">
        <v>0</v>
      </c>
      <c r="I52" s="34">
        <v>0</v>
      </c>
      <c r="J52" s="34">
        <v>0</v>
      </c>
      <c r="K52" s="29"/>
      <c r="L52" s="34">
        <v>0</v>
      </c>
      <c r="M52" s="34">
        <v>0</v>
      </c>
      <c r="N52" s="34">
        <v>0</v>
      </c>
      <c r="O52" s="34">
        <v>0</v>
      </c>
      <c r="P52" s="21">
        <f t="shared" si="30"/>
        <v>0</v>
      </c>
      <c r="Q52" s="21">
        <f t="shared" si="31"/>
        <v>0</v>
      </c>
    </row>
    <row r="53" spans="1:17" s="3" customFormat="1" ht="13.8" x14ac:dyDescent="0.25">
      <c r="A53" s="52" t="s">
        <v>378</v>
      </c>
      <c r="B53" s="32" t="s">
        <v>362</v>
      </c>
      <c r="C53" s="33" t="s">
        <v>363</v>
      </c>
      <c r="D53" s="34">
        <v>0</v>
      </c>
      <c r="E53" s="34">
        <v>0</v>
      </c>
      <c r="F53" s="34">
        <v>0</v>
      </c>
      <c r="G53" s="34">
        <v>0</v>
      </c>
      <c r="H53" s="34">
        <v>0</v>
      </c>
      <c r="I53" s="34">
        <v>0</v>
      </c>
      <c r="J53" s="34">
        <v>0</v>
      </c>
      <c r="K53" s="29"/>
      <c r="L53" s="34">
        <v>0</v>
      </c>
      <c r="M53" s="34">
        <v>0</v>
      </c>
      <c r="N53" s="34">
        <v>0</v>
      </c>
      <c r="O53" s="34">
        <v>0</v>
      </c>
      <c r="P53" s="21">
        <f t="shared" si="30"/>
        <v>0</v>
      </c>
      <c r="Q53" s="21">
        <f t="shared" si="31"/>
        <v>0</v>
      </c>
    </row>
    <row r="54" spans="1:17" s="3" customFormat="1" ht="13.8" x14ac:dyDescent="0.25">
      <c r="A54" s="52" t="s">
        <v>378</v>
      </c>
      <c r="B54" s="32" t="s">
        <v>385</v>
      </c>
      <c r="C54" s="33" t="s">
        <v>386</v>
      </c>
      <c r="D54" s="34">
        <v>0</v>
      </c>
      <c r="E54" s="34">
        <v>0</v>
      </c>
      <c r="F54" s="34">
        <v>0</v>
      </c>
      <c r="G54" s="34">
        <v>0</v>
      </c>
      <c r="H54" s="34">
        <v>0</v>
      </c>
      <c r="I54" s="34">
        <v>0</v>
      </c>
      <c r="J54" s="34">
        <v>0</v>
      </c>
      <c r="K54" s="29"/>
      <c r="L54" s="34">
        <v>0</v>
      </c>
      <c r="M54" s="34">
        <v>0</v>
      </c>
      <c r="N54" s="34">
        <v>0</v>
      </c>
      <c r="O54" s="34">
        <v>0</v>
      </c>
      <c r="P54" s="21">
        <f t="shared" si="30"/>
        <v>0</v>
      </c>
      <c r="Q54" s="21">
        <f t="shared" si="31"/>
        <v>0</v>
      </c>
    </row>
    <row r="55" spans="1:17" s="3" customFormat="1" ht="13.8" x14ac:dyDescent="0.25">
      <c r="A55" s="177" t="s">
        <v>177</v>
      </c>
      <c r="B55" s="177"/>
      <c r="C55" s="177"/>
      <c r="D55" s="24">
        <f t="shared" ref="D55:J55" si="32">SUM(D51:D54)</f>
        <v>0</v>
      </c>
      <c r="E55" s="24">
        <f t="shared" si="32"/>
        <v>0</v>
      </c>
      <c r="F55" s="24">
        <f t="shared" si="32"/>
        <v>0</v>
      </c>
      <c r="G55" s="24">
        <f t="shared" si="32"/>
        <v>0</v>
      </c>
      <c r="H55" s="24">
        <f t="shared" si="32"/>
        <v>0</v>
      </c>
      <c r="I55" s="24">
        <f t="shared" si="32"/>
        <v>0</v>
      </c>
      <c r="J55" s="24">
        <f t="shared" si="32"/>
        <v>0</v>
      </c>
      <c r="K55" s="29"/>
      <c r="L55" s="24">
        <f>SUM(L51:L54)</f>
        <v>0</v>
      </c>
      <c r="M55" s="24">
        <f>SUM(M51:M54)</f>
        <v>0</v>
      </c>
      <c r="N55" s="24">
        <f>SUM(N51:N54)</f>
        <v>0</v>
      </c>
      <c r="O55" s="24">
        <f t="shared" ref="O55:Q55" si="33">SUM(O51:O54)</f>
        <v>0</v>
      </c>
      <c r="P55" s="24">
        <f t="shared" si="33"/>
        <v>0</v>
      </c>
      <c r="Q55" s="24">
        <f t="shared" si="33"/>
        <v>0</v>
      </c>
    </row>
    <row r="56" spans="1:17" ht="13.8" x14ac:dyDescent="0.25">
      <c r="A56" s="178" t="s">
        <v>78</v>
      </c>
      <c r="B56" s="178"/>
      <c r="C56" s="178"/>
      <c r="D56" s="40">
        <f t="shared" ref="D56:J56" si="34">D12+D20+D25+D30+D37+D45+D49+D55</f>
        <v>1316808</v>
      </c>
      <c r="E56" s="40">
        <f t="shared" si="34"/>
        <v>1311742.68</v>
      </c>
      <c r="F56" s="40">
        <f t="shared" si="34"/>
        <v>1413895</v>
      </c>
      <c r="G56" s="40">
        <f t="shared" si="34"/>
        <v>1411725.3699999999</v>
      </c>
      <c r="H56" s="40">
        <f t="shared" si="34"/>
        <v>1497130</v>
      </c>
      <c r="I56" s="40">
        <f t="shared" si="34"/>
        <v>1456699.7699999998</v>
      </c>
      <c r="J56" s="40">
        <f t="shared" si="34"/>
        <v>1589967</v>
      </c>
      <c r="K56" s="29"/>
      <c r="L56" s="40">
        <f t="shared" ref="L56:Q56" si="35">L12+L20+L25+L30+L37+L45+L49+L55</f>
        <v>1686730</v>
      </c>
      <c r="M56" s="40">
        <f t="shared" si="35"/>
        <v>1679230</v>
      </c>
      <c r="N56" s="40">
        <f t="shared" si="35"/>
        <v>1679230</v>
      </c>
      <c r="O56" s="40">
        <f t="shared" si="35"/>
        <v>1628027</v>
      </c>
      <c r="P56" s="40">
        <f t="shared" si="35"/>
        <v>89263</v>
      </c>
      <c r="Q56" s="40">
        <f t="shared" si="35"/>
        <v>51203</v>
      </c>
    </row>
    <row r="57" spans="1:17" ht="13.8" x14ac:dyDescent="0.25">
      <c r="A57" s="178" t="s">
        <v>387</v>
      </c>
      <c r="B57" s="178"/>
      <c r="C57" s="178"/>
      <c r="D57" s="40">
        <f t="shared" ref="D57:D58" si="36">D56</f>
        <v>1316808</v>
      </c>
      <c r="E57" s="40">
        <f>E56</f>
        <v>1311742.68</v>
      </c>
      <c r="F57" s="40">
        <f t="shared" ref="F57:J58" si="37">F56</f>
        <v>1413895</v>
      </c>
      <c r="G57" s="40">
        <f t="shared" si="37"/>
        <v>1411725.3699999999</v>
      </c>
      <c r="H57" s="40">
        <f t="shared" si="37"/>
        <v>1497130</v>
      </c>
      <c r="I57" s="40">
        <f t="shared" si="37"/>
        <v>1456699.7699999998</v>
      </c>
      <c r="J57" s="40">
        <f t="shared" si="37"/>
        <v>1589967</v>
      </c>
      <c r="K57" s="26"/>
      <c r="L57" s="40">
        <f t="shared" ref="L57:Q58" si="38">L56</f>
        <v>1686730</v>
      </c>
      <c r="M57" s="40">
        <f t="shared" si="38"/>
        <v>1679230</v>
      </c>
      <c r="N57" s="40">
        <f t="shared" si="38"/>
        <v>1679230</v>
      </c>
      <c r="O57" s="40">
        <f t="shared" si="38"/>
        <v>1628027</v>
      </c>
      <c r="P57" s="61">
        <f t="shared" si="38"/>
        <v>89263</v>
      </c>
      <c r="Q57" s="61">
        <f t="shared" si="38"/>
        <v>51203</v>
      </c>
    </row>
    <row r="58" spans="1:17" ht="13.8" x14ac:dyDescent="0.25">
      <c r="A58" s="185" t="s">
        <v>80</v>
      </c>
      <c r="B58" s="185"/>
      <c r="C58" s="185"/>
      <c r="D58" s="41">
        <f t="shared" si="36"/>
        <v>1316808</v>
      </c>
      <c r="E58" s="41">
        <f>E57</f>
        <v>1311742.68</v>
      </c>
      <c r="F58" s="41">
        <f t="shared" si="37"/>
        <v>1413895</v>
      </c>
      <c r="G58" s="41">
        <f t="shared" si="37"/>
        <v>1411725.3699999999</v>
      </c>
      <c r="H58" s="41">
        <f t="shared" si="37"/>
        <v>1497130</v>
      </c>
      <c r="I58" s="41">
        <f t="shared" si="37"/>
        <v>1456699.7699999998</v>
      </c>
      <c r="J58" s="41">
        <f t="shared" si="37"/>
        <v>1589967</v>
      </c>
      <c r="K58" s="26"/>
      <c r="L58" s="41">
        <f t="shared" si="38"/>
        <v>1686730</v>
      </c>
      <c r="M58" s="41">
        <f t="shared" si="38"/>
        <v>1679230</v>
      </c>
      <c r="N58" s="41">
        <f t="shared" si="38"/>
        <v>1679230</v>
      </c>
      <c r="O58" s="41">
        <f t="shared" si="38"/>
        <v>1628027</v>
      </c>
      <c r="P58" s="63">
        <f t="shared" si="38"/>
        <v>89263</v>
      </c>
      <c r="Q58" s="63">
        <f t="shared" si="38"/>
        <v>51203</v>
      </c>
    </row>
    <row r="59" spans="1:17" ht="13.8" x14ac:dyDescent="0.25">
      <c r="D59" s="27"/>
      <c r="E59" s="27"/>
      <c r="F59" s="27"/>
      <c r="G59" s="27"/>
      <c r="H59" s="27"/>
      <c r="I59" s="135"/>
      <c r="J59" s="135"/>
      <c r="K59" s="137"/>
      <c r="L59" s="27"/>
      <c r="M59" s="27"/>
      <c r="N59" s="27"/>
      <c r="O59" s="27"/>
      <c r="P59" s="135"/>
      <c r="Q59" s="135"/>
    </row>
    <row r="60" spans="1:17" ht="13.8" x14ac:dyDescent="0.25">
      <c r="A60" s="185" t="s">
        <v>81</v>
      </c>
      <c r="B60" s="185"/>
      <c r="C60" s="185"/>
      <c r="D60" s="41">
        <f t="shared" ref="D60:J60" si="39">D58</f>
        <v>1316808</v>
      </c>
      <c r="E60" s="41">
        <f t="shared" si="39"/>
        <v>1311742.68</v>
      </c>
      <c r="F60" s="41">
        <f t="shared" si="39"/>
        <v>1413895</v>
      </c>
      <c r="G60" s="41">
        <f t="shared" si="39"/>
        <v>1411725.3699999999</v>
      </c>
      <c r="H60" s="41">
        <f t="shared" si="39"/>
        <v>1497130</v>
      </c>
      <c r="I60" s="63">
        <f t="shared" si="39"/>
        <v>1456699.7699999998</v>
      </c>
      <c r="J60" s="63">
        <f t="shared" si="39"/>
        <v>1589967</v>
      </c>
      <c r="K60" s="58"/>
      <c r="L60" s="41">
        <f>L58</f>
        <v>1686730</v>
      </c>
      <c r="M60" s="41">
        <f>M58</f>
        <v>1679230</v>
      </c>
      <c r="N60" s="41">
        <f>N58</f>
        <v>1679230</v>
      </c>
      <c r="O60" s="41">
        <f>O58</f>
        <v>1628027</v>
      </c>
      <c r="P60" s="63">
        <f t="shared" ref="P60:Q60" si="40">P58</f>
        <v>89263</v>
      </c>
      <c r="Q60" s="63">
        <f t="shared" si="40"/>
        <v>51203</v>
      </c>
    </row>
    <row r="61" spans="1:17" x14ac:dyDescent="0.3">
      <c r="L61" s="135"/>
      <c r="M61" s="135"/>
      <c r="N61" s="135"/>
      <c r="O61" s="135"/>
    </row>
    <row r="62" spans="1:17" x14ac:dyDescent="0.3">
      <c r="O62" s="134"/>
    </row>
    <row r="63" spans="1:17" x14ac:dyDescent="0.3">
      <c r="L63" s="134"/>
      <c r="M63" s="134"/>
      <c r="N63" s="134"/>
    </row>
    <row r="64" spans="1:17" x14ac:dyDescent="0.3">
      <c r="M64" s="134"/>
      <c r="N64" s="134"/>
    </row>
    <row r="65" spans="13:15" x14ac:dyDescent="0.3">
      <c r="M65" s="154"/>
      <c r="N65" s="154"/>
      <c r="O65" s="134"/>
    </row>
  </sheetData>
  <mergeCells count="25">
    <mergeCell ref="A60:C60"/>
    <mergeCell ref="A49:C49"/>
    <mergeCell ref="A50:C50"/>
    <mergeCell ref="A55:C55"/>
    <mergeCell ref="A56:C56"/>
    <mergeCell ref="A57:C57"/>
    <mergeCell ref="A58:C58"/>
    <mergeCell ref="A46:C46"/>
    <mergeCell ref="A12:C12"/>
    <mergeCell ref="A13:C13"/>
    <mergeCell ref="A20:C20"/>
    <mergeCell ref="A21:C21"/>
    <mergeCell ref="A25:C25"/>
    <mergeCell ref="A26:C26"/>
    <mergeCell ref="A30:C30"/>
    <mergeCell ref="A31:C31"/>
    <mergeCell ref="A37:C37"/>
    <mergeCell ref="A38:C38"/>
    <mergeCell ref="A45:C45"/>
    <mergeCell ref="A9:C9"/>
    <mergeCell ref="A1:Q1"/>
    <mergeCell ref="A5:C5"/>
    <mergeCell ref="A6:C6"/>
    <mergeCell ref="A7:C7"/>
    <mergeCell ref="A8:C8"/>
  </mergeCells>
  <printOptions horizontalCentered="1" verticalCentered="1"/>
  <pageMargins left="0.7" right="0.7" top="0.75" bottom="0.75" header="0.3" footer="0.3"/>
  <pageSetup scale="34" fitToHeight="0" orientation="landscape" r:id="rId1"/>
  <headerFooter>
    <oddFooter>&amp;RBudget Kick Off - 11.01.25</oddFooter>
  </headerFooter>
  <rowBreaks count="1" manualBreakCount="1">
    <brk id="37" max="18"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EF883-642F-441A-AB23-D66FEB065DFB}">
  <sheetPr codeName="Sheet28">
    <tabColor theme="4" tint="0.39997558519241921"/>
    <pageSetUpPr fitToPage="1"/>
  </sheetPr>
  <dimension ref="A1:Q38"/>
  <sheetViews>
    <sheetView zoomScaleNormal="100" zoomScalePageLayoutView="90" workbookViewId="0">
      <selection activeCell="C29" sqref="C29"/>
    </sheetView>
  </sheetViews>
  <sheetFormatPr defaultColWidth="9.109375" defaultRowHeight="14.4" x14ac:dyDescent="0.3"/>
  <cols>
    <col min="1" max="1" width="9.5546875" style="3" bestFit="1" customWidth="1"/>
    <col min="2" max="2" width="14.33203125" style="10" bestFit="1" customWidth="1"/>
    <col min="3" max="3" width="34.33203125" style="3" bestFit="1" customWidth="1"/>
    <col min="4" max="9" width="11.44140625" style="3" customWidth="1"/>
    <col min="10" max="10" width="12.5546875" style="3" customWidth="1"/>
    <col min="11" max="11" width="2.33203125" style="3" customWidth="1"/>
    <col min="12" max="12" width="11" style="3" bestFit="1" customWidth="1"/>
    <col min="13" max="13" width="11" style="3" customWidth="1"/>
    <col min="14" max="14" width="12.5546875" style="3" bestFit="1" customWidth="1"/>
    <col min="15" max="15" width="11.109375" style="3" customWidth="1"/>
    <col min="16" max="16" width="13.109375" customWidth="1"/>
    <col min="17" max="17" width="16.33203125" customWidth="1"/>
    <col min="18" max="16384" width="9.109375" style="3"/>
  </cols>
  <sheetData>
    <row r="1" spans="1:17" ht="75" customHeight="1" x14ac:dyDescent="0.25">
      <c r="A1" s="170" t="s">
        <v>388</v>
      </c>
      <c r="B1" s="170"/>
      <c r="C1" s="170"/>
      <c r="D1" s="170"/>
      <c r="E1" s="170"/>
      <c r="F1" s="170"/>
      <c r="G1" s="170"/>
      <c r="H1" s="170"/>
      <c r="I1" s="170"/>
      <c r="J1" s="170"/>
      <c r="K1" s="170"/>
      <c r="L1" s="170"/>
      <c r="M1" s="170"/>
      <c r="N1" s="170"/>
      <c r="O1" s="170"/>
      <c r="P1" s="170"/>
      <c r="Q1" s="170"/>
    </row>
    <row r="2" spans="1:17" ht="6" customHeight="1" x14ac:dyDescent="0.3"/>
    <row r="3" spans="1:17" s="49" customFormat="1" ht="39.6" x14ac:dyDescent="0.3">
      <c r="A3" s="7"/>
      <c r="B3" s="7" t="s">
        <v>0</v>
      </c>
      <c r="C3" s="7" t="s">
        <v>1</v>
      </c>
      <c r="D3" s="7" t="s">
        <v>3</v>
      </c>
      <c r="E3" s="7" t="s">
        <v>2</v>
      </c>
      <c r="F3" s="7" t="s">
        <v>4</v>
      </c>
      <c r="G3" s="7" t="s">
        <v>5</v>
      </c>
      <c r="H3" s="7" t="s">
        <v>6</v>
      </c>
      <c r="I3" s="7" t="s">
        <v>7</v>
      </c>
      <c r="J3" s="7" t="s">
        <v>8</v>
      </c>
      <c r="K3" s="8"/>
      <c r="L3" s="7" t="s">
        <v>214</v>
      </c>
      <c r="M3" s="7" t="s">
        <v>10</v>
      </c>
      <c r="N3" s="7" t="s">
        <v>376</v>
      </c>
      <c r="O3" s="7" t="s">
        <v>217</v>
      </c>
      <c r="P3" s="7" t="s">
        <v>218</v>
      </c>
      <c r="Q3" s="7" t="s">
        <v>68</v>
      </c>
    </row>
    <row r="4" spans="1:17" ht="6" customHeight="1" x14ac:dyDescent="0.3">
      <c r="K4" s="11"/>
    </row>
    <row r="5" spans="1:17" x14ac:dyDescent="0.3">
      <c r="A5" s="171" t="s">
        <v>69</v>
      </c>
      <c r="B5" s="171"/>
      <c r="C5" s="171"/>
      <c r="D5" s="12"/>
      <c r="E5" s="12"/>
      <c r="F5" s="12"/>
      <c r="G5" s="12"/>
      <c r="K5" s="11"/>
    </row>
    <row r="6" spans="1:17" x14ac:dyDescent="0.3">
      <c r="A6" s="172" t="s">
        <v>70</v>
      </c>
      <c r="B6" s="172"/>
      <c r="C6" s="172"/>
      <c r="D6" s="14"/>
      <c r="E6" s="14"/>
      <c r="F6" s="14"/>
      <c r="G6" s="14"/>
      <c r="K6" s="11"/>
    </row>
    <row r="7" spans="1:17" x14ac:dyDescent="0.3">
      <c r="A7" s="173" t="s">
        <v>389</v>
      </c>
      <c r="B7" s="173"/>
      <c r="C7" s="173"/>
      <c r="D7" s="15"/>
      <c r="E7" s="15"/>
      <c r="F7" s="15"/>
      <c r="G7" s="15"/>
      <c r="K7" s="11"/>
    </row>
    <row r="8" spans="1:17" x14ac:dyDescent="0.3">
      <c r="A8" s="174" t="s">
        <v>72</v>
      </c>
      <c r="B8" s="174"/>
      <c r="C8" s="174"/>
      <c r="D8" s="16"/>
      <c r="E8" s="16"/>
      <c r="F8" s="16"/>
      <c r="G8" s="16"/>
      <c r="K8" s="11"/>
    </row>
    <row r="9" spans="1:17" x14ac:dyDescent="0.3">
      <c r="A9" s="175" t="s">
        <v>11</v>
      </c>
      <c r="B9" s="175"/>
      <c r="C9" s="175"/>
      <c r="D9" s="17"/>
      <c r="E9" s="17"/>
      <c r="F9" s="17"/>
      <c r="G9" s="17"/>
      <c r="K9" s="11"/>
    </row>
    <row r="10" spans="1:17" ht="13.8" x14ac:dyDescent="0.25">
      <c r="A10" s="50" t="s">
        <v>390</v>
      </c>
      <c r="B10" s="19" t="s">
        <v>35</v>
      </c>
      <c r="C10" s="20" t="s">
        <v>36</v>
      </c>
      <c r="D10" s="21">
        <v>51757</v>
      </c>
      <c r="E10" s="21">
        <v>51570.13</v>
      </c>
      <c r="F10" s="21">
        <v>49390</v>
      </c>
      <c r="G10" s="21">
        <v>51325.68</v>
      </c>
      <c r="H10" s="21">
        <v>52920</v>
      </c>
      <c r="I10" s="21">
        <v>54139.91</v>
      </c>
      <c r="J10" s="21">
        <v>56476</v>
      </c>
      <c r="K10" s="23"/>
      <c r="L10" s="21">
        <v>60186</v>
      </c>
      <c r="M10" s="21">
        <v>60186</v>
      </c>
      <c r="N10" s="21">
        <v>60186</v>
      </c>
      <c r="O10" s="21">
        <v>60186</v>
      </c>
      <c r="P10" s="21">
        <f>+N10-J10</f>
        <v>3710</v>
      </c>
      <c r="Q10" s="21">
        <f>+N10-O10</f>
        <v>0</v>
      </c>
    </row>
    <row r="11" spans="1:17" ht="13.8" x14ac:dyDescent="0.25">
      <c r="A11" s="50" t="s">
        <v>390</v>
      </c>
      <c r="B11" s="19" t="s">
        <v>37</v>
      </c>
      <c r="C11" s="20" t="s">
        <v>38</v>
      </c>
      <c r="D11" s="21">
        <v>0</v>
      </c>
      <c r="E11" s="21">
        <v>0</v>
      </c>
      <c r="F11" s="21">
        <v>0</v>
      </c>
      <c r="G11" s="21">
        <v>0</v>
      </c>
      <c r="H11" s="21">
        <v>0</v>
      </c>
      <c r="I11" s="21">
        <v>0</v>
      </c>
      <c r="J11" s="21">
        <v>0</v>
      </c>
      <c r="K11" s="23"/>
      <c r="L11" s="21">
        <v>0</v>
      </c>
      <c r="M11" s="21">
        <v>0</v>
      </c>
      <c r="N11" s="21">
        <v>0</v>
      </c>
      <c r="O11" s="21">
        <f>+L11-M11</f>
        <v>0</v>
      </c>
      <c r="P11" s="21">
        <f>+N11-J11</f>
        <v>0</v>
      </c>
      <c r="Q11" s="21">
        <f>+N11-O11</f>
        <v>0</v>
      </c>
    </row>
    <row r="12" spans="1:17" ht="13.8" x14ac:dyDescent="0.25">
      <c r="A12" s="177" t="s">
        <v>74</v>
      </c>
      <c r="B12" s="177"/>
      <c r="C12" s="177"/>
      <c r="D12" s="24">
        <f t="shared" ref="D12" si="0">SUM(D10:D11)</f>
        <v>51757</v>
      </c>
      <c r="E12" s="24">
        <f>SUM(E10:E10)</f>
        <v>51570.13</v>
      </c>
      <c r="F12" s="24">
        <f t="shared" ref="F12:G12" si="1">SUM(F10:F11)</f>
        <v>49390</v>
      </c>
      <c r="G12" s="24">
        <f t="shared" si="1"/>
        <v>51325.68</v>
      </c>
      <c r="H12" s="24">
        <f>SUM(H10:H11)</f>
        <v>52920</v>
      </c>
      <c r="I12" s="24">
        <f>SUM(I10:I11)</f>
        <v>54139.91</v>
      </c>
      <c r="J12" s="24">
        <f>SUM(J10:J11)</f>
        <v>56476</v>
      </c>
      <c r="K12" s="26"/>
      <c r="L12" s="24">
        <f>SUM(L10:L10)</f>
        <v>60186</v>
      </c>
      <c r="M12" s="24">
        <f t="shared" ref="M12:N12" si="2">SUM(M10:M10)</f>
        <v>60186</v>
      </c>
      <c r="N12" s="24">
        <f t="shared" si="2"/>
        <v>60186</v>
      </c>
      <c r="O12" s="24">
        <f>SUM(O10:O10)</f>
        <v>60186</v>
      </c>
      <c r="P12" s="24">
        <f>SUM(P10:P11)</f>
        <v>3710</v>
      </c>
      <c r="Q12" s="24">
        <f>SUM(Q10:Q11)</f>
        <v>0</v>
      </c>
    </row>
    <row r="13" spans="1:17" ht="13.8" x14ac:dyDescent="0.25">
      <c r="A13" s="175" t="s">
        <v>14</v>
      </c>
      <c r="B13" s="175"/>
      <c r="C13" s="175"/>
      <c r="D13" s="27"/>
      <c r="E13" s="27"/>
      <c r="F13" s="27"/>
      <c r="G13" s="27"/>
      <c r="H13" s="27"/>
      <c r="I13" s="27"/>
      <c r="J13" s="27"/>
      <c r="K13" s="29"/>
      <c r="L13" s="27"/>
      <c r="M13" s="27"/>
      <c r="N13" s="27"/>
      <c r="O13" s="27"/>
      <c r="P13" s="30"/>
      <c r="Q13" s="30"/>
    </row>
    <row r="14" spans="1:17" ht="13.8" x14ac:dyDescent="0.25">
      <c r="A14" s="17"/>
      <c r="B14" s="17"/>
      <c r="C14" s="17"/>
      <c r="D14" s="27"/>
      <c r="E14" s="27"/>
      <c r="F14" s="27"/>
      <c r="G14" s="27"/>
      <c r="H14" s="27"/>
      <c r="I14" s="27"/>
      <c r="J14" s="27"/>
      <c r="K14" s="29"/>
      <c r="L14" s="27"/>
      <c r="M14" s="27"/>
      <c r="N14" s="27"/>
      <c r="O14" s="27"/>
      <c r="P14" s="30"/>
      <c r="Q14" s="30"/>
    </row>
    <row r="15" spans="1:17" ht="13.8" x14ac:dyDescent="0.25">
      <c r="A15" s="50" t="s">
        <v>390</v>
      </c>
      <c r="B15" s="19" t="s">
        <v>15</v>
      </c>
      <c r="C15" s="20" t="s">
        <v>16</v>
      </c>
      <c r="D15" s="21">
        <v>3209</v>
      </c>
      <c r="E15" s="21">
        <v>2999.51</v>
      </c>
      <c r="F15" s="21">
        <v>3063</v>
      </c>
      <c r="G15" s="21">
        <v>3179.32</v>
      </c>
      <c r="H15" s="21">
        <v>3281</v>
      </c>
      <c r="I15" s="21">
        <v>3341.9</v>
      </c>
      <c r="J15" s="21">
        <v>3502</v>
      </c>
      <c r="K15" s="23"/>
      <c r="L15" s="21">
        <v>3732</v>
      </c>
      <c r="M15" s="21">
        <v>3732</v>
      </c>
      <c r="N15" s="21">
        <v>3732</v>
      </c>
      <c r="O15" s="21">
        <v>3732</v>
      </c>
      <c r="P15" s="21">
        <f>+N15-J15</f>
        <v>230</v>
      </c>
      <c r="Q15" s="21">
        <f>+N15-O15</f>
        <v>0</v>
      </c>
    </row>
    <row r="16" spans="1:17" ht="13.8" x14ac:dyDescent="0.25">
      <c r="A16" s="50" t="s">
        <v>390</v>
      </c>
      <c r="B16" s="19" t="s">
        <v>17</v>
      </c>
      <c r="C16" s="20" t="s">
        <v>18</v>
      </c>
      <c r="D16" s="21">
        <v>751</v>
      </c>
      <c r="E16" s="21">
        <v>701.5</v>
      </c>
      <c r="F16" s="21">
        <v>717</v>
      </c>
      <c r="G16" s="21">
        <v>743.56</v>
      </c>
      <c r="H16" s="21">
        <v>768</v>
      </c>
      <c r="I16" s="21">
        <v>781.57</v>
      </c>
      <c r="J16" s="21">
        <v>820</v>
      </c>
      <c r="K16" s="23"/>
      <c r="L16" s="21">
        <v>873</v>
      </c>
      <c r="M16" s="21">
        <v>873</v>
      </c>
      <c r="N16" s="21">
        <v>873</v>
      </c>
      <c r="O16" s="21">
        <v>873</v>
      </c>
      <c r="P16" s="21">
        <f>+N16-J16</f>
        <v>53</v>
      </c>
      <c r="Q16" s="21">
        <f>+N16-O16</f>
        <v>0</v>
      </c>
    </row>
    <row r="17" spans="1:17" ht="13.8" x14ac:dyDescent="0.25">
      <c r="A17" s="50" t="s">
        <v>390</v>
      </c>
      <c r="B17" s="19" t="s">
        <v>19</v>
      </c>
      <c r="C17" s="20" t="s">
        <v>20</v>
      </c>
      <c r="D17" s="21">
        <v>71</v>
      </c>
      <c r="E17" s="21">
        <v>67.81</v>
      </c>
      <c r="F17" s="21">
        <v>77</v>
      </c>
      <c r="G17" s="21">
        <v>81.459999999999994</v>
      </c>
      <c r="H17" s="21">
        <v>91</v>
      </c>
      <c r="I17" s="21">
        <v>91.29</v>
      </c>
      <c r="J17" s="21">
        <v>108</v>
      </c>
      <c r="K17" s="23"/>
      <c r="L17" s="21">
        <v>106</v>
      </c>
      <c r="M17" s="21">
        <v>106</v>
      </c>
      <c r="N17" s="21">
        <v>106</v>
      </c>
      <c r="O17" s="21">
        <v>106</v>
      </c>
      <c r="P17" s="21">
        <f>+N17-J17</f>
        <v>-2</v>
      </c>
      <c r="Q17" s="21">
        <f>+N17-O17</f>
        <v>0</v>
      </c>
    </row>
    <row r="18" spans="1:17" ht="13.8" x14ac:dyDescent="0.25">
      <c r="A18" s="177" t="s">
        <v>75</v>
      </c>
      <c r="B18" s="177"/>
      <c r="C18" s="177"/>
      <c r="D18" s="24">
        <f t="shared" ref="D18:I18" si="3">SUM(D15:D17)</f>
        <v>4031</v>
      </c>
      <c r="E18" s="24">
        <f t="shared" si="3"/>
        <v>3768.82</v>
      </c>
      <c r="F18" s="24">
        <f t="shared" si="3"/>
        <v>3857</v>
      </c>
      <c r="G18" s="24">
        <f t="shared" si="3"/>
        <v>4004.34</v>
      </c>
      <c r="H18" s="24">
        <f t="shared" si="3"/>
        <v>4140</v>
      </c>
      <c r="I18" s="24">
        <f t="shared" si="3"/>
        <v>4214.76</v>
      </c>
      <c r="J18" s="24">
        <f>SUM(J14:J17)</f>
        <v>4430</v>
      </c>
      <c r="K18" s="26"/>
      <c r="L18" s="24">
        <f t="shared" ref="L18:Q18" si="4">SUM(L15:L17)</f>
        <v>4711</v>
      </c>
      <c r="M18" s="24">
        <f t="shared" si="4"/>
        <v>4711</v>
      </c>
      <c r="N18" s="24">
        <f t="shared" si="4"/>
        <v>4711</v>
      </c>
      <c r="O18" s="24">
        <f t="shared" si="4"/>
        <v>4711</v>
      </c>
      <c r="P18" s="24">
        <f t="shared" si="4"/>
        <v>281</v>
      </c>
      <c r="Q18" s="24">
        <f t="shared" si="4"/>
        <v>0</v>
      </c>
    </row>
    <row r="19" spans="1:17" ht="13.8" x14ac:dyDescent="0.25">
      <c r="A19" s="175" t="s">
        <v>45</v>
      </c>
      <c r="B19" s="175"/>
      <c r="C19" s="175"/>
      <c r="D19" s="27"/>
      <c r="E19" s="27"/>
      <c r="F19" s="27"/>
      <c r="G19" s="27"/>
      <c r="H19" s="27"/>
      <c r="I19" s="27"/>
      <c r="J19" s="27"/>
      <c r="K19" s="29"/>
      <c r="L19" s="27"/>
      <c r="M19" s="27"/>
      <c r="N19" s="27"/>
      <c r="O19" s="27"/>
      <c r="P19" s="30"/>
      <c r="Q19" s="30"/>
    </row>
    <row r="20" spans="1:17" ht="13.8" x14ac:dyDescent="0.25">
      <c r="A20" s="50" t="s">
        <v>390</v>
      </c>
      <c r="B20" s="19" t="s">
        <v>391</v>
      </c>
      <c r="C20" s="20" t="s">
        <v>392</v>
      </c>
      <c r="D20" s="21">
        <v>18200</v>
      </c>
      <c r="E20" s="21">
        <v>5000</v>
      </c>
      <c r="F20" s="21">
        <v>18200</v>
      </c>
      <c r="G20" s="21">
        <v>5000</v>
      </c>
      <c r="H20" s="21">
        <v>15700</v>
      </c>
      <c r="I20" s="21">
        <v>5000</v>
      </c>
      <c r="J20" s="21">
        <v>14700</v>
      </c>
      <c r="K20" s="23"/>
      <c r="L20" s="21">
        <v>14700</v>
      </c>
      <c r="M20" s="21">
        <v>5000</v>
      </c>
      <c r="N20" s="21">
        <v>5000</v>
      </c>
      <c r="O20" s="21">
        <v>14700</v>
      </c>
      <c r="P20" s="21">
        <f>+N20-J20</f>
        <v>-9700</v>
      </c>
      <c r="Q20" s="21">
        <f>+N20-O20</f>
        <v>-9700</v>
      </c>
    </row>
    <row r="21" spans="1:17" ht="13.8" x14ac:dyDescent="0.25">
      <c r="A21" s="177" t="s">
        <v>85</v>
      </c>
      <c r="B21" s="177"/>
      <c r="C21" s="177"/>
      <c r="D21" s="24">
        <f t="shared" ref="D21:J21" si="5">SUM(D20:D20)</f>
        <v>18200</v>
      </c>
      <c r="E21" s="24">
        <f t="shared" si="5"/>
        <v>5000</v>
      </c>
      <c r="F21" s="24">
        <f t="shared" si="5"/>
        <v>18200</v>
      </c>
      <c r="G21" s="24">
        <f t="shared" si="5"/>
        <v>5000</v>
      </c>
      <c r="H21" s="24">
        <f t="shared" si="5"/>
        <v>15700</v>
      </c>
      <c r="I21" s="24">
        <f t="shared" si="5"/>
        <v>5000</v>
      </c>
      <c r="J21" s="24">
        <f t="shared" si="5"/>
        <v>14700</v>
      </c>
      <c r="K21" s="26"/>
      <c r="L21" s="24">
        <f>SUM(L20:L20)</f>
        <v>14700</v>
      </c>
      <c r="M21" s="24">
        <f t="shared" ref="M21:O21" si="6">SUM(M20:M20)</f>
        <v>5000</v>
      </c>
      <c r="N21" s="24">
        <f t="shared" si="6"/>
        <v>5000</v>
      </c>
      <c r="O21" s="24">
        <f t="shared" si="6"/>
        <v>14700</v>
      </c>
      <c r="P21" s="24">
        <f>SUM(P20:P20)</f>
        <v>-9700</v>
      </c>
      <c r="Q21" s="24">
        <f>SUM(Q20:Q20)</f>
        <v>-9700</v>
      </c>
    </row>
    <row r="22" spans="1:17" ht="13.8" x14ac:dyDescent="0.25">
      <c r="A22" s="175" t="s">
        <v>30</v>
      </c>
      <c r="B22" s="175"/>
      <c r="C22" s="175"/>
      <c r="D22" s="27"/>
      <c r="E22" s="27"/>
      <c r="F22" s="27"/>
      <c r="G22" s="27"/>
      <c r="H22" s="27"/>
      <c r="I22" s="27"/>
      <c r="J22" s="27"/>
      <c r="K22" s="29"/>
      <c r="L22" s="27"/>
      <c r="M22" s="27"/>
      <c r="N22" s="27"/>
      <c r="O22" s="27"/>
      <c r="P22" s="30"/>
      <c r="Q22" s="30"/>
    </row>
    <row r="23" spans="1:17" ht="13.8" x14ac:dyDescent="0.25">
      <c r="A23" s="50" t="s">
        <v>390</v>
      </c>
      <c r="B23" s="19" t="s">
        <v>31</v>
      </c>
      <c r="C23" s="20" t="s">
        <v>32</v>
      </c>
      <c r="D23" s="21">
        <v>1300</v>
      </c>
      <c r="E23" s="21">
        <v>2675.28</v>
      </c>
      <c r="F23" s="21">
        <v>1300</v>
      </c>
      <c r="G23" s="21">
        <v>2439.86</v>
      </c>
      <c r="H23" s="21">
        <v>1300</v>
      </c>
      <c r="I23" s="21">
        <v>1230.22</v>
      </c>
      <c r="J23" s="21">
        <v>2000</v>
      </c>
      <c r="K23" s="23"/>
      <c r="L23" s="21">
        <v>2000</v>
      </c>
      <c r="M23" s="21">
        <v>2000</v>
      </c>
      <c r="N23" s="21">
        <v>2000</v>
      </c>
      <c r="O23" s="21">
        <v>2000</v>
      </c>
      <c r="P23" s="21">
        <f>+N23-J23</f>
        <v>0</v>
      </c>
      <c r="Q23" s="21">
        <f>+N23-O23</f>
        <v>0</v>
      </c>
    </row>
    <row r="24" spans="1:17" ht="13.8" x14ac:dyDescent="0.25">
      <c r="A24" s="50" t="s">
        <v>390</v>
      </c>
      <c r="B24" s="19" t="s">
        <v>52</v>
      </c>
      <c r="C24" s="20" t="s">
        <v>49</v>
      </c>
      <c r="D24" s="21">
        <v>200</v>
      </c>
      <c r="E24" s="21">
        <v>332.22</v>
      </c>
      <c r="F24" s="21">
        <v>200</v>
      </c>
      <c r="G24" s="21">
        <v>121.4</v>
      </c>
      <c r="H24" s="21">
        <v>200</v>
      </c>
      <c r="I24" s="21">
        <v>219</v>
      </c>
      <c r="J24" s="21">
        <v>200</v>
      </c>
      <c r="K24" s="23"/>
      <c r="L24" s="21">
        <v>250</v>
      </c>
      <c r="M24" s="21">
        <v>250</v>
      </c>
      <c r="N24" s="21">
        <v>250</v>
      </c>
      <c r="O24" s="21">
        <v>200</v>
      </c>
      <c r="P24" s="21">
        <f>+N24-J24</f>
        <v>50</v>
      </c>
      <c r="Q24" s="21">
        <f>+N24-O24</f>
        <v>50</v>
      </c>
    </row>
    <row r="25" spans="1:17" ht="13.8" x14ac:dyDescent="0.25">
      <c r="A25" s="177" t="s">
        <v>77</v>
      </c>
      <c r="B25" s="177"/>
      <c r="C25" s="177"/>
      <c r="D25" s="24">
        <f t="shared" ref="D25:J25" si="7">SUM(D23:D24)</f>
        <v>1500</v>
      </c>
      <c r="E25" s="24">
        <f t="shared" si="7"/>
        <v>3007.5</v>
      </c>
      <c r="F25" s="24">
        <f t="shared" si="7"/>
        <v>1500</v>
      </c>
      <c r="G25" s="24">
        <f t="shared" si="7"/>
        <v>2561.2600000000002</v>
      </c>
      <c r="H25" s="24">
        <f t="shared" si="7"/>
        <v>1500</v>
      </c>
      <c r="I25" s="24">
        <f t="shared" si="7"/>
        <v>1449.22</v>
      </c>
      <c r="J25" s="24">
        <f t="shared" si="7"/>
        <v>2200</v>
      </c>
      <c r="K25" s="26"/>
      <c r="L25" s="24">
        <f>SUM(L23:L24)</f>
        <v>2250</v>
      </c>
      <c r="M25" s="24">
        <f t="shared" ref="M25:N25" si="8">SUM(M23:M24)</f>
        <v>2250</v>
      </c>
      <c r="N25" s="24">
        <f t="shared" si="8"/>
        <v>2250</v>
      </c>
      <c r="O25" s="24">
        <f>SUM(O23:O24)</f>
        <v>2200</v>
      </c>
      <c r="P25" s="24">
        <f t="shared" ref="P25:Q25" si="9">SUM(P23:P24)</f>
        <v>50</v>
      </c>
      <c r="Q25" s="24">
        <f t="shared" si="9"/>
        <v>50</v>
      </c>
    </row>
    <row r="26" spans="1:17" ht="13.8" x14ac:dyDescent="0.25">
      <c r="A26" s="175" t="s">
        <v>172</v>
      </c>
      <c r="B26" s="175"/>
      <c r="C26" s="175"/>
      <c r="D26" s="27"/>
      <c r="E26" s="27"/>
      <c r="F26" s="27"/>
      <c r="G26" s="27"/>
      <c r="H26" s="27"/>
      <c r="I26" s="27"/>
      <c r="J26" s="27"/>
      <c r="K26" s="29"/>
      <c r="L26" s="27"/>
      <c r="M26" s="27"/>
      <c r="N26" s="27"/>
      <c r="O26" s="27"/>
      <c r="P26" s="30"/>
      <c r="Q26" s="30"/>
    </row>
    <row r="27" spans="1:17" ht="13.8" x14ac:dyDescent="0.25">
      <c r="A27" s="50" t="s">
        <v>390</v>
      </c>
      <c r="B27" s="19" t="s">
        <v>393</v>
      </c>
      <c r="C27" s="20" t="s">
        <v>394</v>
      </c>
      <c r="D27" s="21">
        <v>12364</v>
      </c>
      <c r="E27" s="21">
        <v>14289.6</v>
      </c>
      <c r="F27" s="21">
        <v>12364</v>
      </c>
      <c r="G27" s="21">
        <v>14363.44</v>
      </c>
      <c r="H27" s="21">
        <v>12364</v>
      </c>
      <c r="I27" s="21">
        <v>16261.18</v>
      </c>
      <c r="J27" s="21">
        <v>12364</v>
      </c>
      <c r="K27" s="23"/>
      <c r="L27" s="21">
        <v>13000</v>
      </c>
      <c r="M27" s="21">
        <v>13000</v>
      </c>
      <c r="N27" s="21">
        <v>13000</v>
      </c>
      <c r="O27" s="21">
        <v>12364</v>
      </c>
      <c r="P27" s="21">
        <f>+N27-J27</f>
        <v>636</v>
      </c>
      <c r="Q27" s="21">
        <f>+N27-O27</f>
        <v>636</v>
      </c>
    </row>
    <row r="28" spans="1:17" ht="13.8" x14ac:dyDescent="0.25">
      <c r="A28" s="50" t="s">
        <v>390</v>
      </c>
      <c r="B28" s="19" t="s">
        <v>362</v>
      </c>
      <c r="C28" s="20" t="s">
        <v>363</v>
      </c>
      <c r="D28" s="21">
        <v>0</v>
      </c>
      <c r="E28" s="21">
        <v>0</v>
      </c>
      <c r="F28" s="21">
        <v>0</v>
      </c>
      <c r="G28" s="21">
        <v>0</v>
      </c>
      <c r="H28" s="21">
        <v>2500</v>
      </c>
      <c r="I28" s="21">
        <v>0</v>
      </c>
      <c r="J28" s="21">
        <v>2600</v>
      </c>
      <c r="K28" s="23"/>
      <c r="L28" s="21">
        <v>2600</v>
      </c>
      <c r="M28" s="21">
        <v>2600</v>
      </c>
      <c r="N28" s="21">
        <v>2600</v>
      </c>
      <c r="O28" s="21">
        <v>2600</v>
      </c>
      <c r="P28" s="21">
        <f>+N28-J28</f>
        <v>0</v>
      </c>
      <c r="Q28" s="21">
        <f>+N28-O28</f>
        <v>0</v>
      </c>
    </row>
    <row r="29" spans="1:17" ht="13.8" x14ac:dyDescent="0.25">
      <c r="A29" s="50" t="s">
        <v>390</v>
      </c>
      <c r="B29" s="19" t="s">
        <v>175</v>
      </c>
      <c r="C29" s="20" t="s">
        <v>176</v>
      </c>
      <c r="D29" s="21">
        <v>0</v>
      </c>
      <c r="E29" s="21">
        <v>0</v>
      </c>
      <c r="F29" s="21">
        <v>27188</v>
      </c>
      <c r="G29" s="21">
        <v>27187.88</v>
      </c>
      <c r="H29" s="21">
        <v>27188</v>
      </c>
      <c r="I29" s="21">
        <v>27187.88</v>
      </c>
      <c r="J29" s="21">
        <v>27188</v>
      </c>
      <c r="K29" s="23"/>
      <c r="L29" s="34">
        <v>27188</v>
      </c>
      <c r="M29" s="34">
        <v>37000</v>
      </c>
      <c r="N29" s="34">
        <v>37000</v>
      </c>
      <c r="O29" s="34">
        <v>27188</v>
      </c>
      <c r="P29" s="34">
        <f>+N29-J29</f>
        <v>9812</v>
      </c>
      <c r="Q29" s="34">
        <f>+N29-O29</f>
        <v>9812</v>
      </c>
    </row>
    <row r="30" spans="1:17" ht="13.8" x14ac:dyDescent="0.25">
      <c r="A30" s="177" t="s">
        <v>177</v>
      </c>
      <c r="B30" s="177"/>
      <c r="C30" s="177"/>
      <c r="D30" s="24">
        <f>SUM(D27:D29)</f>
        <v>12364</v>
      </c>
      <c r="E30" s="24">
        <f t="shared" ref="E30" si="10">SUM(E27:E29)</f>
        <v>14289.6</v>
      </c>
      <c r="F30" s="24">
        <f>SUM(F27:F29)</f>
        <v>39552</v>
      </c>
      <c r="G30" s="24">
        <f>SUM(G27:G29)</f>
        <v>41551.32</v>
      </c>
      <c r="H30" s="24">
        <f>SUM(H27:H29)</f>
        <v>42052</v>
      </c>
      <c r="I30" s="24">
        <f>SUM(I27:I29)</f>
        <v>43449.06</v>
      </c>
      <c r="J30" s="24">
        <f>SUM(J27:J29)</f>
        <v>42152</v>
      </c>
      <c r="K30" s="26"/>
      <c r="L30" s="24">
        <f>SUM(L27:L29)</f>
        <v>42788</v>
      </c>
      <c r="M30" s="24">
        <f t="shared" ref="M30:Q30" si="11">SUM(M27:M29)</f>
        <v>52600</v>
      </c>
      <c r="N30" s="24">
        <f t="shared" si="11"/>
        <v>52600</v>
      </c>
      <c r="O30" s="24">
        <f t="shared" si="11"/>
        <v>42152</v>
      </c>
      <c r="P30" s="24">
        <f t="shared" si="11"/>
        <v>10448</v>
      </c>
      <c r="Q30" s="24">
        <f t="shared" si="11"/>
        <v>10448</v>
      </c>
    </row>
    <row r="31" spans="1:17" ht="13.8" x14ac:dyDescent="0.25">
      <c r="A31" s="178" t="s">
        <v>78</v>
      </c>
      <c r="B31" s="178"/>
      <c r="C31" s="178"/>
      <c r="D31" s="40">
        <f t="shared" ref="D31:J31" si="12">D12+D18+D21+D25+D30</f>
        <v>87852</v>
      </c>
      <c r="E31" s="40">
        <f t="shared" si="12"/>
        <v>77636.05</v>
      </c>
      <c r="F31" s="40">
        <f t="shared" si="12"/>
        <v>112499</v>
      </c>
      <c r="G31" s="40">
        <f t="shared" si="12"/>
        <v>104442.6</v>
      </c>
      <c r="H31" s="40">
        <f t="shared" si="12"/>
        <v>116312</v>
      </c>
      <c r="I31" s="40">
        <f t="shared" si="12"/>
        <v>108252.95000000001</v>
      </c>
      <c r="J31" s="40">
        <f t="shared" si="12"/>
        <v>119958</v>
      </c>
      <c r="K31" s="26"/>
      <c r="L31" s="40">
        <f t="shared" ref="L31:Q31" si="13">L12+L18+L21+L25+L30</f>
        <v>124635</v>
      </c>
      <c r="M31" s="40">
        <f t="shared" si="13"/>
        <v>124747</v>
      </c>
      <c r="N31" s="40">
        <f t="shared" si="13"/>
        <v>124747</v>
      </c>
      <c r="O31" s="40">
        <f t="shared" si="13"/>
        <v>123949</v>
      </c>
      <c r="P31" s="40">
        <f t="shared" si="13"/>
        <v>4789</v>
      </c>
      <c r="Q31" s="40">
        <f t="shared" si="13"/>
        <v>798</v>
      </c>
    </row>
    <row r="32" spans="1:17" ht="13.8" x14ac:dyDescent="0.25">
      <c r="A32" s="178" t="s">
        <v>395</v>
      </c>
      <c r="B32" s="178"/>
      <c r="C32" s="178"/>
      <c r="D32" s="40">
        <f t="shared" ref="D32:P33" si="14">D31</f>
        <v>87852</v>
      </c>
      <c r="E32" s="40">
        <f t="shared" si="14"/>
        <v>77636.05</v>
      </c>
      <c r="F32" s="40">
        <f t="shared" si="14"/>
        <v>112499</v>
      </c>
      <c r="G32" s="40">
        <f t="shared" si="14"/>
        <v>104442.6</v>
      </c>
      <c r="H32" s="40">
        <f t="shared" si="14"/>
        <v>116312</v>
      </c>
      <c r="I32" s="40">
        <f t="shared" si="14"/>
        <v>108252.95000000001</v>
      </c>
      <c r="J32" s="40">
        <f t="shared" si="14"/>
        <v>119958</v>
      </c>
      <c r="K32" s="26"/>
      <c r="L32" s="40">
        <f>L31</f>
        <v>124635</v>
      </c>
      <c r="M32" s="40">
        <f t="shared" ref="M32:O33" si="15">M31</f>
        <v>124747</v>
      </c>
      <c r="N32" s="40">
        <f t="shared" si="15"/>
        <v>124747</v>
      </c>
      <c r="O32" s="40">
        <f t="shared" si="15"/>
        <v>123949</v>
      </c>
      <c r="P32" s="40">
        <f t="shared" si="14"/>
        <v>4789</v>
      </c>
      <c r="Q32" s="40">
        <f>Q31</f>
        <v>798</v>
      </c>
    </row>
    <row r="33" spans="1:17" ht="13.8" x14ac:dyDescent="0.25">
      <c r="A33" s="179" t="s">
        <v>80</v>
      </c>
      <c r="B33" s="179"/>
      <c r="C33" s="179"/>
      <c r="D33" s="41">
        <f t="shared" si="14"/>
        <v>87852</v>
      </c>
      <c r="E33" s="41">
        <f t="shared" si="14"/>
        <v>77636.05</v>
      </c>
      <c r="F33" s="41">
        <f t="shared" si="14"/>
        <v>112499</v>
      </c>
      <c r="G33" s="41">
        <f t="shared" si="14"/>
        <v>104442.6</v>
      </c>
      <c r="H33" s="41">
        <f t="shared" si="14"/>
        <v>116312</v>
      </c>
      <c r="I33" s="41">
        <f t="shared" si="14"/>
        <v>108252.95000000001</v>
      </c>
      <c r="J33" s="41">
        <f t="shared" si="14"/>
        <v>119958</v>
      </c>
      <c r="K33" s="26"/>
      <c r="L33" s="41">
        <f>L32</f>
        <v>124635</v>
      </c>
      <c r="M33" s="41">
        <f t="shared" si="15"/>
        <v>124747</v>
      </c>
      <c r="N33" s="41">
        <f t="shared" si="15"/>
        <v>124747</v>
      </c>
      <c r="O33" s="41">
        <f t="shared" si="15"/>
        <v>123949</v>
      </c>
      <c r="P33" s="41">
        <f t="shared" si="14"/>
        <v>4789</v>
      </c>
      <c r="Q33" s="41">
        <f>Q32</f>
        <v>798</v>
      </c>
    </row>
    <row r="34" spans="1:17" ht="13.8" x14ac:dyDescent="0.25">
      <c r="D34" s="27"/>
      <c r="E34" s="27"/>
      <c r="F34" s="27"/>
      <c r="G34" s="27"/>
      <c r="H34" s="27"/>
      <c r="I34" s="27"/>
      <c r="J34" s="27"/>
      <c r="K34" s="29"/>
      <c r="L34" s="27"/>
      <c r="M34" s="27"/>
      <c r="N34" s="27"/>
      <c r="O34" s="27"/>
      <c r="P34" s="30"/>
      <c r="Q34" s="30"/>
    </row>
    <row r="35" spans="1:17" ht="13.8" x14ac:dyDescent="0.25">
      <c r="A35" s="181" t="s">
        <v>81</v>
      </c>
      <c r="B35" s="179"/>
      <c r="C35" s="179"/>
      <c r="D35" s="41">
        <f t="shared" ref="D35:J35" si="16">D33</f>
        <v>87852</v>
      </c>
      <c r="E35" s="41">
        <f t="shared" si="16"/>
        <v>77636.05</v>
      </c>
      <c r="F35" s="41">
        <f t="shared" si="16"/>
        <v>112499</v>
      </c>
      <c r="G35" s="41">
        <f t="shared" si="16"/>
        <v>104442.6</v>
      </c>
      <c r="H35" s="41">
        <f t="shared" si="16"/>
        <v>116312</v>
      </c>
      <c r="I35" s="41">
        <f t="shared" si="16"/>
        <v>108252.95000000001</v>
      </c>
      <c r="J35" s="41">
        <f t="shared" si="16"/>
        <v>119958</v>
      </c>
      <c r="K35" s="26"/>
      <c r="L35" s="41">
        <f>L33</f>
        <v>124635</v>
      </c>
      <c r="M35" s="41">
        <f t="shared" ref="M35:O35" si="17">M33</f>
        <v>124747</v>
      </c>
      <c r="N35" s="41">
        <f t="shared" si="17"/>
        <v>124747</v>
      </c>
      <c r="O35" s="41">
        <f t="shared" si="17"/>
        <v>123949</v>
      </c>
      <c r="P35" s="41">
        <f>P33</f>
        <v>4789</v>
      </c>
      <c r="Q35" s="41">
        <f>Q33</f>
        <v>798</v>
      </c>
    </row>
    <row r="36" spans="1:17" x14ac:dyDescent="0.3">
      <c r="L36" s="30"/>
      <c r="M36" s="30"/>
      <c r="N36" s="30"/>
      <c r="O36" s="30"/>
    </row>
    <row r="37" spans="1:17" x14ac:dyDescent="0.3">
      <c r="L37" s="97"/>
      <c r="M37" s="97"/>
      <c r="N37" s="97"/>
    </row>
    <row r="38" spans="1:17" x14ac:dyDescent="0.3">
      <c r="L38" s="97"/>
      <c r="M38" s="97"/>
      <c r="N38" s="97"/>
    </row>
  </sheetData>
  <mergeCells count="19">
    <mergeCell ref="A35:C35"/>
    <mergeCell ref="A25:C25"/>
    <mergeCell ref="A26:C26"/>
    <mergeCell ref="A30:C30"/>
    <mergeCell ref="A31:C31"/>
    <mergeCell ref="A32:C32"/>
    <mergeCell ref="A33:C33"/>
    <mergeCell ref="A22:C22"/>
    <mergeCell ref="A1:Q1"/>
    <mergeCell ref="A5:C5"/>
    <mergeCell ref="A6:C6"/>
    <mergeCell ref="A7:C7"/>
    <mergeCell ref="A8:C8"/>
    <mergeCell ref="A9:C9"/>
    <mergeCell ref="A12:C12"/>
    <mergeCell ref="A13:C13"/>
    <mergeCell ref="A18:C18"/>
    <mergeCell ref="A19:C19"/>
    <mergeCell ref="A21:C21"/>
  </mergeCells>
  <printOptions horizontalCentered="1" verticalCentered="1"/>
  <pageMargins left="0.7" right="0.7" top="0.75" bottom="0.75" header="0.3" footer="0.3"/>
  <pageSetup scale="56" fitToHeight="0" orientation="landscape" r:id="rId1"/>
  <headerFooter>
    <oddFooter>&amp;RBudget Kick Off - 11.01.25</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A2588-3FD5-4121-95B4-7F6707B92595}">
  <sheetPr codeName="Sheet29">
    <tabColor theme="4" tint="0.39997558519241921"/>
    <pageSetUpPr fitToPage="1"/>
  </sheetPr>
  <dimension ref="A1:Q46"/>
  <sheetViews>
    <sheetView zoomScaleNormal="100" zoomScaleSheetLayoutView="70" zoomScalePageLayoutView="70" workbookViewId="0">
      <selection activeCell="C15" sqref="C15"/>
    </sheetView>
  </sheetViews>
  <sheetFormatPr defaultColWidth="9.109375" defaultRowHeight="14.4" x14ac:dyDescent="0.3"/>
  <cols>
    <col min="1" max="1" width="9.5546875" style="3" bestFit="1" customWidth="1"/>
    <col min="2" max="2" width="15.33203125" style="10" bestFit="1" customWidth="1"/>
    <col min="3" max="3" width="34.33203125" style="3" bestFit="1" customWidth="1"/>
    <col min="4" max="4" width="11" style="3" customWidth="1"/>
    <col min="5" max="5" width="11.44140625" style="3" customWidth="1"/>
    <col min="6" max="6" width="11" style="3" customWidth="1"/>
    <col min="7" max="7" width="11.44140625" style="3" customWidth="1"/>
    <col min="8" max="8" width="11" style="3" bestFit="1" customWidth="1"/>
    <col min="9" max="9" width="11.44140625" style="3" customWidth="1"/>
    <col min="10" max="10" width="13.33203125" style="3" bestFit="1" customWidth="1"/>
    <col min="11" max="11" width="1.44140625" style="3" customWidth="1"/>
    <col min="12" max="13" width="10.6640625" style="3" bestFit="1" customWidth="1"/>
    <col min="14" max="14" width="13.6640625" style="3" bestFit="1" customWidth="1"/>
    <col min="15" max="15" width="11.109375" style="3" customWidth="1"/>
    <col min="16" max="16" width="11.33203125" bestFit="1" customWidth="1"/>
    <col min="17" max="17" width="12.44140625" bestFit="1" customWidth="1"/>
    <col min="18" max="16384" width="9.109375" style="3"/>
  </cols>
  <sheetData>
    <row r="1" spans="1:17" ht="75" customHeight="1" x14ac:dyDescent="0.25">
      <c r="A1" s="170" t="s">
        <v>396</v>
      </c>
      <c r="B1" s="170"/>
      <c r="C1" s="170"/>
      <c r="D1" s="170"/>
      <c r="E1" s="170"/>
      <c r="F1" s="170"/>
      <c r="G1" s="170"/>
      <c r="H1" s="170"/>
      <c r="I1" s="170"/>
      <c r="J1" s="170"/>
      <c r="K1" s="170"/>
      <c r="L1" s="170"/>
      <c r="M1" s="170"/>
      <c r="N1" s="170"/>
      <c r="O1" s="170"/>
      <c r="P1" s="170"/>
      <c r="Q1" s="170"/>
    </row>
    <row r="2" spans="1:17" ht="6" customHeight="1" x14ac:dyDescent="0.3">
      <c r="A2" s="5"/>
      <c r="B2" s="5"/>
      <c r="C2" s="5"/>
      <c r="D2" s="5"/>
      <c r="E2" s="5"/>
      <c r="F2" s="5"/>
      <c r="G2" s="5"/>
      <c r="H2" s="5"/>
      <c r="I2" s="5"/>
      <c r="J2" s="5"/>
      <c r="K2" s="5"/>
      <c r="L2" s="5"/>
      <c r="M2" s="5"/>
      <c r="N2" s="5"/>
      <c r="O2" s="5"/>
    </row>
    <row r="3" spans="1:17" s="138" customFormat="1" ht="39.6" x14ac:dyDescent="0.25">
      <c r="A3" s="7"/>
      <c r="B3" s="7" t="s">
        <v>0</v>
      </c>
      <c r="C3" s="7" t="s">
        <v>1</v>
      </c>
      <c r="D3" s="7" t="s">
        <v>3</v>
      </c>
      <c r="E3" s="7" t="s">
        <v>2</v>
      </c>
      <c r="F3" s="7" t="s">
        <v>4</v>
      </c>
      <c r="G3" s="7" t="s">
        <v>5</v>
      </c>
      <c r="H3" s="7" t="s">
        <v>6</v>
      </c>
      <c r="I3" s="7" t="s">
        <v>7</v>
      </c>
      <c r="J3" s="7" t="s">
        <v>8</v>
      </c>
      <c r="K3" s="8"/>
      <c r="L3" s="7" t="s">
        <v>214</v>
      </c>
      <c r="M3" s="7" t="s">
        <v>10</v>
      </c>
      <c r="N3" s="7" t="s">
        <v>376</v>
      </c>
      <c r="O3" s="7" t="s">
        <v>217</v>
      </c>
      <c r="P3" s="7" t="s">
        <v>218</v>
      </c>
      <c r="Q3" s="7" t="s">
        <v>68</v>
      </c>
    </row>
    <row r="4" spans="1:17" ht="6" customHeight="1" x14ac:dyDescent="0.3">
      <c r="K4" s="11"/>
    </row>
    <row r="5" spans="1:17" x14ac:dyDescent="0.3">
      <c r="A5" s="171" t="s">
        <v>69</v>
      </c>
      <c r="B5" s="171"/>
      <c r="C5" s="171"/>
      <c r="D5" s="12"/>
      <c r="E5" s="12"/>
      <c r="F5" s="12"/>
      <c r="G5" s="12"/>
      <c r="H5" s="12"/>
      <c r="I5" s="12"/>
      <c r="K5" s="11"/>
    </row>
    <row r="6" spans="1:17" x14ac:dyDescent="0.3">
      <c r="A6" s="172" t="s">
        <v>70</v>
      </c>
      <c r="B6" s="172"/>
      <c r="C6" s="172"/>
      <c r="D6" s="14"/>
      <c r="E6" s="14"/>
      <c r="F6" s="14"/>
      <c r="G6" s="14"/>
      <c r="H6" s="14"/>
      <c r="I6" s="14"/>
      <c r="K6" s="11"/>
    </row>
    <row r="7" spans="1:17" x14ac:dyDescent="0.3">
      <c r="A7" s="173" t="s">
        <v>397</v>
      </c>
      <c r="B7" s="173"/>
      <c r="C7" s="173"/>
      <c r="D7" s="15"/>
      <c r="E7" s="15"/>
      <c r="F7" s="15"/>
      <c r="G7" s="15"/>
      <c r="H7" s="15"/>
      <c r="I7" s="15"/>
      <c r="K7" s="11"/>
    </row>
    <row r="8" spans="1:17" x14ac:dyDescent="0.3">
      <c r="A8" s="174" t="s">
        <v>72</v>
      </c>
      <c r="B8" s="174"/>
      <c r="C8" s="174"/>
      <c r="D8" s="16"/>
      <c r="E8" s="16"/>
      <c r="F8" s="16"/>
      <c r="G8" s="16"/>
      <c r="H8" s="16"/>
      <c r="I8" s="16"/>
      <c r="K8" s="11"/>
    </row>
    <row r="9" spans="1:17" x14ac:dyDescent="0.3">
      <c r="A9" s="175" t="s">
        <v>11</v>
      </c>
      <c r="B9" s="175"/>
      <c r="C9" s="175"/>
      <c r="D9" s="17"/>
      <c r="E9" s="17"/>
      <c r="F9" s="17"/>
      <c r="G9" s="17"/>
      <c r="H9" s="17"/>
      <c r="I9" s="17"/>
      <c r="K9" s="11"/>
    </row>
    <row r="10" spans="1:17" ht="13.8" x14ac:dyDescent="0.25">
      <c r="A10" s="50" t="s">
        <v>398</v>
      </c>
      <c r="B10" s="19" t="s">
        <v>35</v>
      </c>
      <c r="C10" s="20" t="s">
        <v>36</v>
      </c>
      <c r="D10" s="21">
        <v>275860</v>
      </c>
      <c r="E10" s="21">
        <v>211015.43</v>
      </c>
      <c r="F10" s="21">
        <v>192039</v>
      </c>
      <c r="G10" s="21">
        <v>154751.19</v>
      </c>
      <c r="H10" s="21">
        <v>198544</v>
      </c>
      <c r="I10" s="21">
        <v>167563.32999999999</v>
      </c>
      <c r="J10" s="21">
        <v>258075</v>
      </c>
      <c r="K10" s="23"/>
      <c r="L10" s="21">
        <v>281697</v>
      </c>
      <c r="M10" s="21">
        <v>281697</v>
      </c>
      <c r="N10" s="21">
        <v>281697</v>
      </c>
      <c r="O10" s="21">
        <v>281697</v>
      </c>
      <c r="P10" s="21">
        <f>+N10-J10</f>
        <v>23622</v>
      </c>
      <c r="Q10" s="21">
        <f>+N10-O10</f>
        <v>0</v>
      </c>
    </row>
    <row r="11" spans="1:17" ht="13.8" x14ac:dyDescent="0.25">
      <c r="A11" s="50" t="s">
        <v>398</v>
      </c>
      <c r="B11" s="19" t="s">
        <v>37</v>
      </c>
      <c r="C11" s="20" t="s">
        <v>38</v>
      </c>
      <c r="D11" s="21">
        <v>46892</v>
      </c>
      <c r="E11" s="21">
        <v>32108.5</v>
      </c>
      <c r="F11" s="21">
        <v>49544</v>
      </c>
      <c r="G11" s="21">
        <v>26136.31</v>
      </c>
      <c r="H11" s="21">
        <v>46024</v>
      </c>
      <c r="I11" s="21">
        <v>16357.58</v>
      </c>
      <c r="J11" s="21">
        <v>11801</v>
      </c>
      <c r="K11" s="23"/>
      <c r="L11" s="21">
        <v>16068</v>
      </c>
      <c r="M11" s="21">
        <v>16068</v>
      </c>
      <c r="N11" s="21">
        <v>16068</v>
      </c>
      <c r="O11" s="21">
        <v>16068</v>
      </c>
      <c r="P11" s="21">
        <f t="shared" ref="P11:P12" si="0">+N11-J11</f>
        <v>4267</v>
      </c>
      <c r="Q11" s="21">
        <f>+N11-O11</f>
        <v>0</v>
      </c>
    </row>
    <row r="12" spans="1:17" ht="13.8" x14ac:dyDescent="0.25">
      <c r="A12" s="50" t="s">
        <v>398</v>
      </c>
      <c r="B12" s="19" t="s">
        <v>39</v>
      </c>
      <c r="C12" s="20" t="s">
        <v>40</v>
      </c>
      <c r="D12" s="21">
        <v>5500</v>
      </c>
      <c r="E12" s="21">
        <v>4522.67</v>
      </c>
      <c r="F12" s="21">
        <v>1</v>
      </c>
      <c r="G12" s="21">
        <v>0</v>
      </c>
      <c r="H12" s="21">
        <v>1</v>
      </c>
      <c r="I12" s="21">
        <v>941.46</v>
      </c>
      <c r="J12" s="21">
        <v>1</v>
      </c>
      <c r="K12" s="23"/>
      <c r="L12" s="21">
        <v>1000</v>
      </c>
      <c r="M12" s="21">
        <v>1000</v>
      </c>
      <c r="N12" s="21">
        <v>1000</v>
      </c>
      <c r="O12" s="21">
        <v>1</v>
      </c>
      <c r="P12" s="21">
        <f t="shared" si="0"/>
        <v>999</v>
      </c>
      <c r="Q12" s="21">
        <f>+N12-O12</f>
        <v>999</v>
      </c>
    </row>
    <row r="13" spans="1:17" ht="13.8" x14ac:dyDescent="0.25">
      <c r="A13" s="177" t="s">
        <v>74</v>
      </c>
      <c r="B13" s="177"/>
      <c r="C13" s="177"/>
      <c r="D13" s="24">
        <f t="shared" ref="D13" si="1">SUM(D10:D12)</f>
        <v>328252</v>
      </c>
      <c r="E13" s="24">
        <f t="shared" ref="E13:Q13" si="2">SUM(E10:E12)</f>
        <v>247646.6</v>
      </c>
      <c r="F13" s="24">
        <f t="shared" si="2"/>
        <v>241584</v>
      </c>
      <c r="G13" s="24">
        <f>SUM(G10:G12)</f>
        <v>180887.5</v>
      </c>
      <c r="H13" s="24">
        <f t="shared" ref="H13:J13" si="3">SUM(H10:H12)</f>
        <v>244569</v>
      </c>
      <c r="I13" s="24">
        <f t="shared" si="3"/>
        <v>184862.36999999997</v>
      </c>
      <c r="J13" s="24">
        <f t="shared" si="3"/>
        <v>269877</v>
      </c>
      <c r="K13" s="26"/>
      <c r="L13" s="24">
        <f t="shared" ref="L13:O13" si="4">SUM(L10:L12)</f>
        <v>298765</v>
      </c>
      <c r="M13" s="24">
        <f t="shared" si="4"/>
        <v>298765</v>
      </c>
      <c r="N13" s="24">
        <f t="shared" si="4"/>
        <v>298765</v>
      </c>
      <c r="O13" s="24">
        <f t="shared" si="4"/>
        <v>297766</v>
      </c>
      <c r="P13" s="24">
        <f t="shared" si="2"/>
        <v>28888</v>
      </c>
      <c r="Q13" s="24">
        <f t="shared" si="2"/>
        <v>999</v>
      </c>
    </row>
    <row r="14" spans="1:17" ht="13.8" x14ac:dyDescent="0.25">
      <c r="A14" s="175" t="s">
        <v>14</v>
      </c>
      <c r="B14" s="175"/>
      <c r="C14" s="175"/>
      <c r="D14" s="27"/>
      <c r="E14" s="30"/>
      <c r="F14" s="27"/>
      <c r="G14" s="27"/>
      <c r="H14" s="27"/>
      <c r="I14" s="27"/>
      <c r="J14" s="27"/>
      <c r="K14" s="29"/>
      <c r="L14" s="27"/>
      <c r="M14" s="27"/>
      <c r="N14" s="27"/>
      <c r="O14" s="27"/>
      <c r="P14" s="30"/>
      <c r="Q14" s="30"/>
    </row>
    <row r="15" spans="1:17" ht="13.8" x14ac:dyDescent="0.25">
      <c r="A15" s="50" t="s">
        <v>398</v>
      </c>
      <c r="B15" s="19" t="s">
        <v>41</v>
      </c>
      <c r="C15" s="20" t="s">
        <v>42</v>
      </c>
      <c r="D15" s="21">
        <v>2823</v>
      </c>
      <c r="E15" s="21">
        <v>2606.11</v>
      </c>
      <c r="F15" s="21">
        <v>3022</v>
      </c>
      <c r="G15" s="21">
        <v>2566.46</v>
      </c>
      <c r="H15" s="21">
        <v>2173</v>
      </c>
      <c r="I15" s="21">
        <v>2374.16</v>
      </c>
      <c r="J15" s="21">
        <v>1600</v>
      </c>
      <c r="K15" s="23"/>
      <c r="L15" s="21">
        <v>1919</v>
      </c>
      <c r="M15" s="21">
        <v>1919</v>
      </c>
      <c r="N15" s="21">
        <v>1919</v>
      </c>
      <c r="O15" s="21">
        <v>1919</v>
      </c>
      <c r="P15" s="21">
        <f t="shared" ref="P15:P19" si="5">+N15-J15</f>
        <v>319</v>
      </c>
      <c r="Q15" s="21">
        <f>+N15-O15</f>
        <v>0</v>
      </c>
    </row>
    <row r="16" spans="1:17" ht="13.8" x14ac:dyDescent="0.25">
      <c r="A16" s="50" t="s">
        <v>398</v>
      </c>
      <c r="B16" s="19" t="s">
        <v>15</v>
      </c>
      <c r="C16" s="20" t="s">
        <v>16</v>
      </c>
      <c r="D16" s="21">
        <v>19609</v>
      </c>
      <c r="E16" s="21">
        <v>18527.59</v>
      </c>
      <c r="F16" s="21">
        <v>20352</v>
      </c>
      <c r="G16" s="21">
        <v>14078.64</v>
      </c>
      <c r="H16" s="21">
        <v>15164</v>
      </c>
      <c r="I16" s="21">
        <v>11453.02</v>
      </c>
      <c r="J16" s="21">
        <v>16734</v>
      </c>
      <c r="K16" s="23"/>
      <c r="L16" s="21">
        <v>18524</v>
      </c>
      <c r="M16" s="21">
        <v>18524</v>
      </c>
      <c r="N16" s="21">
        <v>18524</v>
      </c>
      <c r="O16" s="21">
        <v>18462</v>
      </c>
      <c r="P16" s="21">
        <f t="shared" si="5"/>
        <v>1790</v>
      </c>
      <c r="Q16" s="21">
        <f>+N16-O16</f>
        <v>62</v>
      </c>
    </row>
    <row r="17" spans="1:17" ht="13.8" x14ac:dyDescent="0.25">
      <c r="A17" s="50" t="s">
        <v>398</v>
      </c>
      <c r="B17" s="19" t="s">
        <v>17</v>
      </c>
      <c r="C17" s="20" t="s">
        <v>18</v>
      </c>
      <c r="D17" s="21">
        <v>4586</v>
      </c>
      <c r="E17" s="21">
        <v>4333.09</v>
      </c>
      <c r="F17" s="21">
        <v>4760</v>
      </c>
      <c r="G17" s="21">
        <v>3292.59</v>
      </c>
      <c r="H17" s="21">
        <v>3547</v>
      </c>
      <c r="I17" s="21">
        <v>2678.53</v>
      </c>
      <c r="J17" s="21">
        <v>3914</v>
      </c>
      <c r="K17" s="23"/>
      <c r="L17" s="21">
        <v>4333</v>
      </c>
      <c r="M17" s="21">
        <v>4333</v>
      </c>
      <c r="N17" s="21">
        <v>4333</v>
      </c>
      <c r="O17" s="21">
        <v>4318</v>
      </c>
      <c r="P17" s="21">
        <f t="shared" si="5"/>
        <v>419</v>
      </c>
      <c r="Q17" s="21">
        <f>+N17-O17</f>
        <v>15</v>
      </c>
    </row>
    <row r="18" spans="1:17" ht="13.8" x14ac:dyDescent="0.25">
      <c r="A18" s="50" t="s">
        <v>398</v>
      </c>
      <c r="B18" s="19" t="s">
        <v>43</v>
      </c>
      <c r="C18" s="20" t="s">
        <v>44</v>
      </c>
      <c r="D18" s="21">
        <v>38301</v>
      </c>
      <c r="E18" s="21">
        <v>35749.800000000003</v>
      </c>
      <c r="F18" s="21">
        <v>39560</v>
      </c>
      <c r="G18" s="21">
        <v>24629.63</v>
      </c>
      <c r="H18" s="21">
        <v>26864</v>
      </c>
      <c r="I18" s="21">
        <v>22998.63</v>
      </c>
      <c r="J18" s="21">
        <v>32906</v>
      </c>
      <c r="K18" s="23"/>
      <c r="L18" s="21">
        <v>36052</v>
      </c>
      <c r="M18" s="21">
        <v>36052</v>
      </c>
      <c r="N18" s="21">
        <v>36052</v>
      </c>
      <c r="O18" s="21">
        <v>35917</v>
      </c>
      <c r="P18" s="21">
        <f t="shared" si="5"/>
        <v>3146</v>
      </c>
      <c r="Q18" s="21">
        <f>+N18-O18</f>
        <v>135</v>
      </c>
    </row>
    <row r="19" spans="1:17" ht="13.8" x14ac:dyDescent="0.25">
      <c r="A19" s="50" t="s">
        <v>398</v>
      </c>
      <c r="B19" s="19" t="s">
        <v>19</v>
      </c>
      <c r="C19" s="20" t="s">
        <v>20</v>
      </c>
      <c r="D19" s="21">
        <v>578</v>
      </c>
      <c r="E19" s="21">
        <v>394.18</v>
      </c>
      <c r="F19" s="21">
        <v>602</v>
      </c>
      <c r="G19" s="21">
        <v>572.4</v>
      </c>
      <c r="H19" s="21">
        <v>759</v>
      </c>
      <c r="I19" s="21">
        <v>759.36</v>
      </c>
      <c r="J19" s="21">
        <v>897</v>
      </c>
      <c r="K19" s="23"/>
      <c r="L19" s="21">
        <v>884</v>
      </c>
      <c r="M19" s="21">
        <v>884</v>
      </c>
      <c r="N19" s="21">
        <v>884</v>
      </c>
      <c r="O19" s="21">
        <v>884</v>
      </c>
      <c r="P19" s="21">
        <f t="shared" si="5"/>
        <v>-13</v>
      </c>
      <c r="Q19" s="21">
        <f>+N19-O19</f>
        <v>0</v>
      </c>
    </row>
    <row r="20" spans="1:17" ht="13.8" x14ac:dyDescent="0.25">
      <c r="A20" s="177" t="s">
        <v>75</v>
      </c>
      <c r="B20" s="177"/>
      <c r="C20" s="177"/>
      <c r="D20" s="24">
        <f t="shared" ref="D20:J20" si="6">SUM(D15:D19)</f>
        <v>65897</v>
      </c>
      <c r="E20" s="24">
        <f t="shared" si="6"/>
        <v>61610.770000000004</v>
      </c>
      <c r="F20" s="24">
        <f t="shared" si="6"/>
        <v>68296</v>
      </c>
      <c r="G20" s="24">
        <f t="shared" si="6"/>
        <v>45139.72</v>
      </c>
      <c r="H20" s="24">
        <f t="shared" si="6"/>
        <v>48507</v>
      </c>
      <c r="I20" s="24">
        <f t="shared" si="6"/>
        <v>40263.699999999997</v>
      </c>
      <c r="J20" s="24">
        <f t="shared" si="6"/>
        <v>56051</v>
      </c>
      <c r="K20" s="26"/>
      <c r="L20" s="24">
        <f t="shared" ref="L20:Q20" si="7">SUM(L15:L19)</f>
        <v>61712</v>
      </c>
      <c r="M20" s="24">
        <f t="shared" si="7"/>
        <v>61712</v>
      </c>
      <c r="N20" s="24">
        <f t="shared" si="7"/>
        <v>61712</v>
      </c>
      <c r="O20" s="24">
        <f t="shared" si="7"/>
        <v>61500</v>
      </c>
      <c r="P20" s="24">
        <f t="shared" si="7"/>
        <v>5661</v>
      </c>
      <c r="Q20" s="24">
        <f t="shared" si="7"/>
        <v>212</v>
      </c>
    </row>
    <row r="21" spans="1:17" ht="13.8" x14ac:dyDescent="0.25">
      <c r="A21" s="175" t="s">
        <v>21</v>
      </c>
      <c r="B21" s="175"/>
      <c r="C21" s="175"/>
      <c r="D21" s="27"/>
      <c r="E21" s="30"/>
      <c r="F21" s="27"/>
      <c r="G21" s="27"/>
      <c r="H21" s="27"/>
      <c r="I21" s="27"/>
      <c r="J21" s="27"/>
      <c r="K21" s="29"/>
      <c r="L21" s="27"/>
      <c r="M21" s="27"/>
      <c r="N21" s="27"/>
      <c r="O21" s="27"/>
      <c r="P21" s="30"/>
      <c r="Q21" s="30"/>
    </row>
    <row r="22" spans="1:17" ht="13.8" x14ac:dyDescent="0.25">
      <c r="A22" s="50" t="s">
        <v>398</v>
      </c>
      <c r="B22" s="19" t="s">
        <v>28</v>
      </c>
      <c r="C22" s="20" t="s">
        <v>29</v>
      </c>
      <c r="D22" s="21">
        <v>37000</v>
      </c>
      <c r="E22" s="21">
        <v>10076.34</v>
      </c>
      <c r="F22" s="21">
        <v>37000</v>
      </c>
      <c r="G22" s="21">
        <v>12294.77</v>
      </c>
      <c r="H22" s="21">
        <v>37000</v>
      </c>
      <c r="I22" s="21">
        <v>75263.55</v>
      </c>
      <c r="J22" s="21">
        <v>37850</v>
      </c>
      <c r="K22" s="23"/>
      <c r="L22" s="21">
        <v>37850</v>
      </c>
      <c r="M22" s="21">
        <v>37850</v>
      </c>
      <c r="N22" s="21">
        <v>37850</v>
      </c>
      <c r="O22" s="21">
        <f>37000+3000-1150-1000</f>
        <v>37850</v>
      </c>
      <c r="P22" s="21">
        <f t="shared" ref="P22:P24" si="8">+N22-J22</f>
        <v>0</v>
      </c>
      <c r="Q22" s="21">
        <f>+N22-O22</f>
        <v>0</v>
      </c>
    </row>
    <row r="23" spans="1:17" ht="13.8" x14ac:dyDescent="0.25">
      <c r="A23" s="50" t="s">
        <v>398</v>
      </c>
      <c r="B23" s="19" t="s">
        <v>144</v>
      </c>
      <c r="C23" s="20" t="s">
        <v>145</v>
      </c>
      <c r="D23" s="21">
        <v>500</v>
      </c>
      <c r="E23" s="21">
        <v>564.73</v>
      </c>
      <c r="F23" s="21">
        <v>500</v>
      </c>
      <c r="G23" s="21">
        <v>466.66</v>
      </c>
      <c r="H23" s="21">
        <v>500</v>
      </c>
      <c r="I23" s="21">
        <v>301.91000000000003</v>
      </c>
      <c r="J23" s="21">
        <v>500</v>
      </c>
      <c r="K23" s="23"/>
      <c r="L23" s="21">
        <v>500</v>
      </c>
      <c r="M23" s="21">
        <v>500</v>
      </c>
      <c r="N23" s="21">
        <v>500</v>
      </c>
      <c r="O23" s="21">
        <v>500</v>
      </c>
      <c r="P23" s="21">
        <f t="shared" si="8"/>
        <v>0</v>
      </c>
      <c r="Q23" s="21">
        <f>+N23-O23</f>
        <v>0</v>
      </c>
    </row>
    <row r="24" spans="1:17" ht="13.8" x14ac:dyDescent="0.25">
      <c r="A24" s="50" t="s">
        <v>398</v>
      </c>
      <c r="B24" s="19" t="s">
        <v>399</v>
      </c>
      <c r="C24" s="20" t="s">
        <v>400</v>
      </c>
      <c r="D24" s="21">
        <v>10000</v>
      </c>
      <c r="E24" s="21">
        <v>4991.1899999999996</v>
      </c>
      <c r="F24" s="21">
        <v>10000</v>
      </c>
      <c r="G24" s="21">
        <v>8620</v>
      </c>
      <c r="H24" s="21">
        <v>10000</v>
      </c>
      <c r="I24" s="21">
        <v>11079.96</v>
      </c>
      <c r="J24" s="21">
        <v>10000</v>
      </c>
      <c r="K24" s="23"/>
      <c r="L24" s="21">
        <v>12500</v>
      </c>
      <c r="M24" s="21">
        <v>12500</v>
      </c>
      <c r="N24" s="21">
        <v>12500</v>
      </c>
      <c r="O24" s="21">
        <v>12500</v>
      </c>
      <c r="P24" s="21">
        <f t="shared" si="8"/>
        <v>2500</v>
      </c>
      <c r="Q24" s="21">
        <f>+N24-O24</f>
        <v>0</v>
      </c>
    </row>
    <row r="25" spans="1:17" ht="13.8" x14ac:dyDescent="0.25">
      <c r="A25" s="177" t="s">
        <v>76</v>
      </c>
      <c r="B25" s="177"/>
      <c r="C25" s="177"/>
      <c r="D25" s="24">
        <f t="shared" ref="D25:Q25" si="9">SUM(D22:D24)</f>
        <v>47500</v>
      </c>
      <c r="E25" s="24">
        <f t="shared" si="9"/>
        <v>15632.259999999998</v>
      </c>
      <c r="F25" s="24">
        <f t="shared" si="9"/>
        <v>47500</v>
      </c>
      <c r="G25" s="24">
        <f>SUM(G22:G24)</f>
        <v>21381.43</v>
      </c>
      <c r="H25" s="24">
        <f t="shared" ref="H25:J25" si="10">SUM(H22:H24)</f>
        <v>47500</v>
      </c>
      <c r="I25" s="24">
        <f t="shared" si="10"/>
        <v>86645.420000000013</v>
      </c>
      <c r="J25" s="24">
        <f t="shared" si="10"/>
        <v>48350</v>
      </c>
      <c r="K25" s="26"/>
      <c r="L25" s="24">
        <f t="shared" ref="L25:O25" si="11">SUM(L22:L24)</f>
        <v>50850</v>
      </c>
      <c r="M25" s="24">
        <f t="shared" si="11"/>
        <v>50850</v>
      </c>
      <c r="N25" s="24">
        <f t="shared" si="11"/>
        <v>50850</v>
      </c>
      <c r="O25" s="24">
        <f t="shared" si="11"/>
        <v>50850</v>
      </c>
      <c r="P25" s="24">
        <f t="shared" si="9"/>
        <v>2500</v>
      </c>
      <c r="Q25" s="24">
        <f t="shared" si="9"/>
        <v>0</v>
      </c>
    </row>
    <row r="26" spans="1:17" ht="13.8" x14ac:dyDescent="0.25">
      <c r="A26" s="175" t="s">
        <v>45</v>
      </c>
      <c r="B26" s="175"/>
      <c r="C26" s="175"/>
      <c r="D26" s="27"/>
      <c r="E26" s="30"/>
      <c r="F26" s="27"/>
      <c r="G26" s="27"/>
      <c r="H26" s="27"/>
      <c r="I26" s="27"/>
      <c r="J26" s="27"/>
      <c r="K26" s="29"/>
      <c r="L26" s="27"/>
      <c r="M26" s="27"/>
      <c r="N26" s="27"/>
      <c r="O26" s="27"/>
      <c r="P26" s="30"/>
      <c r="Q26" s="30"/>
    </row>
    <row r="27" spans="1:17" ht="13.8" x14ac:dyDescent="0.25">
      <c r="A27" s="50" t="s">
        <v>398</v>
      </c>
      <c r="B27" s="19" t="s">
        <v>22</v>
      </c>
      <c r="C27" s="20" t="s">
        <v>23</v>
      </c>
      <c r="D27" s="21">
        <v>4800</v>
      </c>
      <c r="E27" s="21">
        <v>3540.03</v>
      </c>
      <c r="F27" s="21">
        <v>4800</v>
      </c>
      <c r="G27" s="21">
        <v>1849.8</v>
      </c>
      <c r="H27" s="21">
        <v>4000</v>
      </c>
      <c r="I27" s="21">
        <v>4616.25</v>
      </c>
      <c r="J27" s="21">
        <v>4000</v>
      </c>
      <c r="K27" s="23"/>
      <c r="L27" s="21">
        <v>4500</v>
      </c>
      <c r="M27" s="21">
        <v>4500</v>
      </c>
      <c r="N27" s="21">
        <v>4500</v>
      </c>
      <c r="O27" s="21">
        <v>4000</v>
      </c>
      <c r="P27" s="21">
        <f t="shared" ref="P27:P30" si="12">+N27-J27</f>
        <v>500</v>
      </c>
      <c r="Q27" s="21">
        <f>+N27-O27</f>
        <v>500</v>
      </c>
    </row>
    <row r="28" spans="1:17" ht="13.8" x14ac:dyDescent="0.25">
      <c r="A28" s="50" t="s">
        <v>398</v>
      </c>
      <c r="B28" s="19" t="s">
        <v>46</v>
      </c>
      <c r="C28" s="20" t="s">
        <v>47</v>
      </c>
      <c r="D28" s="21">
        <v>1645</v>
      </c>
      <c r="E28" s="21">
        <v>1767</v>
      </c>
      <c r="F28" s="21">
        <v>1645</v>
      </c>
      <c r="G28" s="21">
        <v>227.63</v>
      </c>
      <c r="H28" s="21">
        <v>1645</v>
      </c>
      <c r="I28" s="21">
        <v>2305</v>
      </c>
      <c r="J28" s="21">
        <v>1195</v>
      </c>
      <c r="K28" s="23"/>
      <c r="L28" s="21">
        <f t="shared" ref="L28:M28" si="13">1600+18613</f>
        <v>20213</v>
      </c>
      <c r="M28" s="21">
        <f t="shared" si="13"/>
        <v>20213</v>
      </c>
      <c r="N28" s="21">
        <f>1600+18613</f>
        <v>20213</v>
      </c>
      <c r="O28" s="21">
        <f>1195+18613</f>
        <v>19808</v>
      </c>
      <c r="P28" s="21">
        <f t="shared" si="12"/>
        <v>19018</v>
      </c>
      <c r="Q28" s="21">
        <f>+N28-O28</f>
        <v>405</v>
      </c>
    </row>
    <row r="29" spans="1:17" ht="13.8" x14ac:dyDescent="0.25">
      <c r="A29" s="50" t="s">
        <v>398</v>
      </c>
      <c r="B29" s="19" t="s">
        <v>24</v>
      </c>
      <c r="C29" s="20" t="s">
        <v>25</v>
      </c>
      <c r="D29" s="21">
        <v>2215</v>
      </c>
      <c r="E29" s="21">
        <v>177.5</v>
      </c>
      <c r="F29" s="21">
        <v>2215</v>
      </c>
      <c r="G29" s="21">
        <v>462.7</v>
      </c>
      <c r="H29" s="21">
        <v>2215</v>
      </c>
      <c r="I29" s="21">
        <v>463.12</v>
      </c>
      <c r="J29" s="21">
        <v>2215</v>
      </c>
      <c r="K29" s="23"/>
      <c r="L29" s="21">
        <v>2600</v>
      </c>
      <c r="M29" s="21">
        <v>2600</v>
      </c>
      <c r="N29" s="21">
        <v>2600</v>
      </c>
      <c r="O29" s="21">
        <v>2215</v>
      </c>
      <c r="P29" s="21">
        <f t="shared" si="12"/>
        <v>385</v>
      </c>
      <c r="Q29" s="21">
        <f>+N29-O29</f>
        <v>385</v>
      </c>
    </row>
    <row r="30" spans="1:17" ht="13.8" x14ac:dyDescent="0.25">
      <c r="A30" s="50" t="s">
        <v>398</v>
      </c>
      <c r="B30" s="19" t="s">
        <v>26</v>
      </c>
      <c r="C30" s="20" t="s">
        <v>27</v>
      </c>
      <c r="D30" s="21">
        <v>2540</v>
      </c>
      <c r="E30" s="21">
        <v>0</v>
      </c>
      <c r="F30" s="21">
        <v>2540</v>
      </c>
      <c r="G30" s="21">
        <v>0</v>
      </c>
      <c r="H30" s="21">
        <v>2540</v>
      </c>
      <c r="I30" s="21">
        <v>85.12</v>
      </c>
      <c r="J30" s="21">
        <v>2540</v>
      </c>
      <c r="K30" s="23"/>
      <c r="L30" s="21">
        <v>3250</v>
      </c>
      <c r="M30" s="21">
        <v>3250</v>
      </c>
      <c r="N30" s="21">
        <v>3250</v>
      </c>
      <c r="O30" s="21">
        <v>2540</v>
      </c>
      <c r="P30" s="21">
        <f t="shared" si="12"/>
        <v>710</v>
      </c>
      <c r="Q30" s="21">
        <f>+N30-O30</f>
        <v>710</v>
      </c>
    </row>
    <row r="31" spans="1:17" ht="13.8" x14ac:dyDescent="0.25">
      <c r="A31" s="177" t="s">
        <v>85</v>
      </c>
      <c r="B31" s="177"/>
      <c r="C31" s="177"/>
      <c r="D31" s="24">
        <f t="shared" ref="D31:Q31" si="14">SUM(D27:D30)</f>
        <v>11200</v>
      </c>
      <c r="E31" s="24">
        <f t="shared" si="14"/>
        <v>5484.5300000000007</v>
      </c>
      <c r="F31" s="24">
        <f t="shared" si="14"/>
        <v>11200</v>
      </c>
      <c r="G31" s="24">
        <f>SUM(G27:G30)</f>
        <v>2540.1299999999997</v>
      </c>
      <c r="H31" s="24">
        <f t="shared" ref="H31:J31" si="15">SUM(H27:H30)</f>
        <v>10400</v>
      </c>
      <c r="I31" s="24">
        <f t="shared" si="15"/>
        <v>7469.49</v>
      </c>
      <c r="J31" s="24">
        <f t="shared" si="15"/>
        <v>9950</v>
      </c>
      <c r="K31" s="26"/>
      <c r="L31" s="24">
        <f t="shared" ref="L31:O31" si="16">SUM(L27:L30)</f>
        <v>30563</v>
      </c>
      <c r="M31" s="24">
        <f>SUM(M27:M30)</f>
        <v>30563</v>
      </c>
      <c r="N31" s="24">
        <f t="shared" si="16"/>
        <v>30563</v>
      </c>
      <c r="O31" s="24">
        <f t="shared" si="16"/>
        <v>28563</v>
      </c>
      <c r="P31" s="24">
        <f t="shared" si="14"/>
        <v>20613</v>
      </c>
      <c r="Q31" s="24">
        <f t="shared" si="14"/>
        <v>2000</v>
      </c>
    </row>
    <row r="32" spans="1:17" ht="13.8" x14ac:dyDescent="0.25">
      <c r="A32" s="175" t="s">
        <v>30</v>
      </c>
      <c r="B32" s="175"/>
      <c r="C32" s="175"/>
      <c r="D32" s="27"/>
      <c r="E32" s="30"/>
      <c r="F32" s="27"/>
      <c r="G32" s="27"/>
      <c r="H32" s="27"/>
      <c r="I32" s="27"/>
      <c r="J32" s="27"/>
      <c r="K32" s="29"/>
      <c r="L32" s="27"/>
      <c r="M32" s="27"/>
      <c r="N32" s="27"/>
      <c r="O32" s="27"/>
      <c r="P32" s="30"/>
      <c r="Q32" s="30"/>
    </row>
    <row r="33" spans="1:17" ht="13.8" x14ac:dyDescent="0.25">
      <c r="A33" s="50" t="s">
        <v>398</v>
      </c>
      <c r="B33" s="19" t="s">
        <v>51</v>
      </c>
      <c r="C33" s="20" t="s">
        <v>48</v>
      </c>
      <c r="D33" s="21">
        <v>750</v>
      </c>
      <c r="E33" s="21">
        <v>1029.3900000000001</v>
      </c>
      <c r="F33" s="21">
        <v>750</v>
      </c>
      <c r="G33" s="21">
        <v>1574.99</v>
      </c>
      <c r="H33" s="21">
        <v>750</v>
      </c>
      <c r="I33" s="21">
        <v>2811.61</v>
      </c>
      <c r="J33" s="21">
        <v>750</v>
      </c>
      <c r="K33" s="23"/>
      <c r="L33" s="21">
        <v>2500</v>
      </c>
      <c r="M33" s="21">
        <v>2500</v>
      </c>
      <c r="N33" s="21">
        <v>2500</v>
      </c>
      <c r="O33" s="21">
        <v>750</v>
      </c>
      <c r="P33" s="21">
        <f t="shared" ref="P33:P35" si="17">+N33-J33</f>
        <v>1750</v>
      </c>
      <c r="Q33" s="21">
        <f>+N33-O33</f>
        <v>1750</v>
      </c>
    </row>
    <row r="34" spans="1:17" ht="13.8" x14ac:dyDescent="0.25">
      <c r="A34" s="52" t="s">
        <v>398</v>
      </c>
      <c r="B34" s="19" t="s">
        <v>52</v>
      </c>
      <c r="C34" s="20" t="s">
        <v>49</v>
      </c>
      <c r="D34" s="21">
        <v>5700</v>
      </c>
      <c r="E34" s="21">
        <v>6786.47</v>
      </c>
      <c r="F34" s="21">
        <v>5700</v>
      </c>
      <c r="G34" s="21">
        <v>7151.9</v>
      </c>
      <c r="H34" s="21">
        <v>5700</v>
      </c>
      <c r="I34" s="21">
        <v>9419.6</v>
      </c>
      <c r="J34" s="21">
        <v>5700</v>
      </c>
      <c r="K34" s="23"/>
      <c r="L34" s="21">
        <v>10500</v>
      </c>
      <c r="M34" s="21">
        <v>10500</v>
      </c>
      <c r="N34" s="21">
        <v>10500</v>
      </c>
      <c r="O34" s="21">
        <v>5700</v>
      </c>
      <c r="P34" s="21">
        <f t="shared" si="17"/>
        <v>4800</v>
      </c>
      <c r="Q34" s="21">
        <f>+N34-O34</f>
        <v>4800</v>
      </c>
    </row>
    <row r="35" spans="1:17" ht="13.8" x14ac:dyDescent="0.25">
      <c r="A35" s="50" t="s">
        <v>398</v>
      </c>
      <c r="B35" s="19" t="s">
        <v>210</v>
      </c>
      <c r="C35" s="20" t="s">
        <v>211</v>
      </c>
      <c r="D35" s="21">
        <v>750</v>
      </c>
      <c r="E35" s="21">
        <v>470.5</v>
      </c>
      <c r="F35" s="21">
        <v>750</v>
      </c>
      <c r="G35" s="21">
        <v>16.920000000000002</v>
      </c>
      <c r="H35" s="21">
        <v>750</v>
      </c>
      <c r="I35" s="21">
        <v>0</v>
      </c>
      <c r="J35" s="21">
        <v>750</v>
      </c>
      <c r="K35" s="23"/>
      <c r="L35" s="21">
        <v>0</v>
      </c>
      <c r="M35" s="21">
        <v>0</v>
      </c>
      <c r="N35" s="21">
        <v>0</v>
      </c>
      <c r="O35" s="21">
        <v>750</v>
      </c>
      <c r="P35" s="21">
        <f t="shared" si="17"/>
        <v>-750</v>
      </c>
      <c r="Q35" s="21">
        <f>+N35-O35</f>
        <v>-750</v>
      </c>
    </row>
    <row r="36" spans="1:17" ht="13.8" x14ac:dyDescent="0.25">
      <c r="A36" s="177" t="s">
        <v>77</v>
      </c>
      <c r="B36" s="177"/>
      <c r="C36" s="177"/>
      <c r="D36" s="24">
        <f t="shared" ref="D36:J36" si="18">SUM(D33:D35)</f>
        <v>7200</v>
      </c>
      <c r="E36" s="24">
        <f t="shared" si="18"/>
        <v>8286.36</v>
      </c>
      <c r="F36" s="24">
        <f t="shared" si="18"/>
        <v>7200</v>
      </c>
      <c r="G36" s="24">
        <f t="shared" si="18"/>
        <v>8743.81</v>
      </c>
      <c r="H36" s="24">
        <f t="shared" si="18"/>
        <v>7200</v>
      </c>
      <c r="I36" s="24">
        <f t="shared" si="18"/>
        <v>12231.210000000001</v>
      </c>
      <c r="J36" s="24">
        <f t="shared" si="18"/>
        <v>7200</v>
      </c>
      <c r="K36" s="26"/>
      <c r="L36" s="24">
        <f t="shared" ref="L36:Q36" si="19">SUM(L33:L35)</f>
        <v>13000</v>
      </c>
      <c r="M36" s="24">
        <f>SUM(M33:M35)</f>
        <v>13000</v>
      </c>
      <c r="N36" s="24">
        <f t="shared" si="19"/>
        <v>13000</v>
      </c>
      <c r="O36" s="24">
        <f t="shared" si="19"/>
        <v>7200</v>
      </c>
      <c r="P36" s="24">
        <f t="shared" si="19"/>
        <v>5800</v>
      </c>
      <c r="Q36" s="24">
        <f t="shared" si="19"/>
        <v>5800</v>
      </c>
    </row>
    <row r="37" spans="1:17" ht="13.8" x14ac:dyDescent="0.25">
      <c r="A37" s="178" t="s">
        <v>78</v>
      </c>
      <c r="B37" s="178"/>
      <c r="C37" s="178"/>
      <c r="D37" s="40">
        <f t="shared" ref="D37:J37" si="20">D13+D20+D25+D31+D36</f>
        <v>460049</v>
      </c>
      <c r="E37" s="40">
        <f t="shared" si="20"/>
        <v>338660.52</v>
      </c>
      <c r="F37" s="40">
        <f t="shared" si="20"/>
        <v>375780</v>
      </c>
      <c r="G37" s="40">
        <f t="shared" si="20"/>
        <v>258692.59</v>
      </c>
      <c r="H37" s="40">
        <f t="shared" si="20"/>
        <v>358176</v>
      </c>
      <c r="I37" s="40">
        <f t="shared" si="20"/>
        <v>331472.19</v>
      </c>
      <c r="J37" s="40">
        <f t="shared" si="20"/>
        <v>391428</v>
      </c>
      <c r="K37" s="26"/>
      <c r="L37" s="40">
        <f t="shared" ref="L37:Q37" si="21">L13+L20+L25+L31+L36</f>
        <v>454890</v>
      </c>
      <c r="M37" s="40">
        <f t="shared" si="21"/>
        <v>454890</v>
      </c>
      <c r="N37" s="40">
        <f t="shared" si="21"/>
        <v>454890</v>
      </c>
      <c r="O37" s="40">
        <f t="shared" si="21"/>
        <v>445879</v>
      </c>
      <c r="P37" s="40">
        <f t="shared" si="21"/>
        <v>63462</v>
      </c>
      <c r="Q37" s="40">
        <f t="shared" si="21"/>
        <v>9011</v>
      </c>
    </row>
    <row r="38" spans="1:17" ht="13.8" x14ac:dyDescent="0.25">
      <c r="A38" s="178" t="s">
        <v>401</v>
      </c>
      <c r="B38" s="178"/>
      <c r="C38" s="178"/>
      <c r="D38" s="40">
        <f t="shared" ref="D38:Q39" si="22">D37</f>
        <v>460049</v>
      </c>
      <c r="E38" s="40">
        <f t="shared" si="22"/>
        <v>338660.52</v>
      </c>
      <c r="F38" s="40">
        <f t="shared" si="22"/>
        <v>375780</v>
      </c>
      <c r="G38" s="40">
        <f t="shared" si="22"/>
        <v>258692.59</v>
      </c>
      <c r="H38" s="40">
        <f t="shared" si="22"/>
        <v>358176</v>
      </c>
      <c r="I38" s="40">
        <f t="shared" si="22"/>
        <v>331472.19</v>
      </c>
      <c r="J38" s="40">
        <f t="shared" si="22"/>
        <v>391428</v>
      </c>
      <c r="K38" s="26"/>
      <c r="L38" s="40">
        <f t="shared" ref="L38:O39" si="23">L37</f>
        <v>454890</v>
      </c>
      <c r="M38" s="40">
        <f t="shared" si="23"/>
        <v>454890</v>
      </c>
      <c r="N38" s="40">
        <f t="shared" si="23"/>
        <v>454890</v>
      </c>
      <c r="O38" s="40">
        <f t="shared" si="23"/>
        <v>445879</v>
      </c>
      <c r="P38" s="40">
        <f t="shared" si="22"/>
        <v>63462</v>
      </c>
      <c r="Q38" s="40">
        <f t="shared" si="22"/>
        <v>9011</v>
      </c>
    </row>
    <row r="39" spans="1:17" ht="13.8" x14ac:dyDescent="0.25">
      <c r="A39" s="179" t="s">
        <v>80</v>
      </c>
      <c r="B39" s="179"/>
      <c r="C39" s="179"/>
      <c r="D39" s="41">
        <f t="shared" si="22"/>
        <v>460049</v>
      </c>
      <c r="E39" s="41">
        <f t="shared" si="22"/>
        <v>338660.52</v>
      </c>
      <c r="F39" s="41">
        <f t="shared" si="22"/>
        <v>375780</v>
      </c>
      <c r="G39" s="41">
        <f t="shared" si="22"/>
        <v>258692.59</v>
      </c>
      <c r="H39" s="41">
        <f t="shared" si="22"/>
        <v>358176</v>
      </c>
      <c r="I39" s="41">
        <f t="shared" si="22"/>
        <v>331472.19</v>
      </c>
      <c r="J39" s="41">
        <f t="shared" si="22"/>
        <v>391428</v>
      </c>
      <c r="K39" s="26"/>
      <c r="L39" s="41">
        <f t="shared" si="23"/>
        <v>454890</v>
      </c>
      <c r="M39" s="41">
        <f t="shared" si="23"/>
        <v>454890</v>
      </c>
      <c r="N39" s="41">
        <f t="shared" si="23"/>
        <v>454890</v>
      </c>
      <c r="O39" s="41">
        <f t="shared" si="23"/>
        <v>445879</v>
      </c>
      <c r="P39" s="41">
        <f t="shared" si="22"/>
        <v>63462</v>
      </c>
      <c r="Q39" s="41">
        <f t="shared" si="22"/>
        <v>9011</v>
      </c>
    </row>
    <row r="40" spans="1:17" x14ac:dyDescent="0.3">
      <c r="D40" s="27"/>
      <c r="E40" s="30"/>
      <c r="F40" s="27"/>
      <c r="G40" s="27"/>
      <c r="H40" s="27"/>
      <c r="I40" s="27"/>
      <c r="J40" s="27"/>
      <c r="K40" s="29"/>
      <c r="L40" s="27"/>
      <c r="M40" s="27"/>
      <c r="N40" s="27"/>
      <c r="O40" s="27"/>
    </row>
    <row r="41" spans="1:17" ht="13.8" x14ac:dyDescent="0.25">
      <c r="A41" s="179" t="s">
        <v>81</v>
      </c>
      <c r="B41" s="179"/>
      <c r="C41" s="179"/>
      <c r="D41" s="41">
        <f t="shared" ref="D41" si="24">D39</f>
        <v>460049</v>
      </c>
      <c r="E41" s="41">
        <f>E39</f>
        <v>338660.52</v>
      </c>
      <c r="F41" s="41">
        <f t="shared" ref="F41:Q41" si="25">F39</f>
        <v>375780</v>
      </c>
      <c r="G41" s="41">
        <f t="shared" si="25"/>
        <v>258692.59</v>
      </c>
      <c r="H41" s="41">
        <f t="shared" si="25"/>
        <v>358176</v>
      </c>
      <c r="I41" s="41">
        <f t="shared" si="25"/>
        <v>331472.19</v>
      </c>
      <c r="J41" s="41">
        <f t="shared" si="25"/>
        <v>391428</v>
      </c>
      <c r="K41" s="26"/>
      <c r="L41" s="41">
        <f t="shared" ref="L41:O41" si="26">L39</f>
        <v>454890</v>
      </c>
      <c r="M41" s="41">
        <f t="shared" si="26"/>
        <v>454890</v>
      </c>
      <c r="N41" s="41">
        <f t="shared" si="26"/>
        <v>454890</v>
      </c>
      <c r="O41" s="41">
        <f t="shared" si="26"/>
        <v>445879</v>
      </c>
      <c r="P41" s="41">
        <f t="shared" si="25"/>
        <v>63462</v>
      </c>
      <c r="Q41" s="41">
        <f t="shared" si="25"/>
        <v>9011</v>
      </c>
    </row>
    <row r="42" spans="1:17" x14ac:dyDescent="0.3">
      <c r="L42" s="30"/>
      <c r="M42" s="30"/>
      <c r="N42" s="30"/>
      <c r="O42" s="30"/>
    </row>
    <row r="43" spans="1:17" x14ac:dyDescent="0.3">
      <c r="M43" s="97"/>
      <c r="N43" s="97"/>
    </row>
    <row r="44" spans="1:17" x14ac:dyDescent="0.3">
      <c r="M44" s="97"/>
      <c r="N44" s="97"/>
      <c r="O44" s="97"/>
    </row>
    <row r="45" spans="1:17" ht="20.399999999999999" x14ac:dyDescent="0.3">
      <c r="M45" s="50" t="s">
        <v>398</v>
      </c>
      <c r="N45" s="19" t="s">
        <v>26</v>
      </c>
      <c r="O45" s="20" t="s">
        <v>27</v>
      </c>
    </row>
    <row r="46" spans="1:17" ht="20.399999999999999" x14ac:dyDescent="0.3">
      <c r="M46" s="50" t="s">
        <v>398</v>
      </c>
      <c r="N46" s="19" t="s">
        <v>51</v>
      </c>
      <c r="O46" s="20" t="s">
        <v>48</v>
      </c>
    </row>
  </sheetData>
  <mergeCells count="19">
    <mergeCell ref="A41:C41"/>
    <mergeCell ref="A31:C31"/>
    <mergeCell ref="A32:C32"/>
    <mergeCell ref="A36:C36"/>
    <mergeCell ref="A37:C37"/>
    <mergeCell ref="A38:C38"/>
    <mergeCell ref="A39:C39"/>
    <mergeCell ref="A26:C26"/>
    <mergeCell ref="A1:Q1"/>
    <mergeCell ref="A5:C5"/>
    <mergeCell ref="A6:C6"/>
    <mergeCell ref="A7:C7"/>
    <mergeCell ref="A8:C8"/>
    <mergeCell ref="A9:C9"/>
    <mergeCell ref="A13:C13"/>
    <mergeCell ref="A14:C14"/>
    <mergeCell ref="A20:C20"/>
    <mergeCell ref="A21:C21"/>
    <mergeCell ref="A25:C25"/>
  </mergeCells>
  <printOptions horizontalCentered="1" verticalCentered="1"/>
  <pageMargins left="0.7" right="0.7" top="0.75" bottom="0.75" header="0.3" footer="0.3"/>
  <pageSetup scale="31" fitToHeight="0" orientation="landscape" r:id="rId1"/>
  <headerFooter>
    <oddFooter>&amp;RBudget Kick Off - 11.01.25</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70A29-DFD8-4D47-8C34-EC1D93F31F15}">
  <sheetPr codeName="Sheet19"/>
  <dimension ref="A1:D12"/>
  <sheetViews>
    <sheetView workbookViewId="0">
      <selection activeCell="A3" sqref="A3"/>
    </sheetView>
  </sheetViews>
  <sheetFormatPr defaultRowHeight="14.4" x14ac:dyDescent="0.3"/>
  <cols>
    <col min="1" max="1" width="29.109375" customWidth="1"/>
    <col min="2" max="2" width="111.88671875" bestFit="1" customWidth="1"/>
  </cols>
  <sheetData>
    <row r="1" spans="1:4" x14ac:dyDescent="0.3">
      <c r="A1" s="141" t="s">
        <v>620</v>
      </c>
      <c r="B1" s="141" t="s">
        <v>623</v>
      </c>
    </row>
    <row r="2" spans="1:4" x14ac:dyDescent="0.3">
      <c r="A2" t="s">
        <v>413</v>
      </c>
      <c r="B2" t="s">
        <v>629</v>
      </c>
      <c r="D2" s="141" t="s">
        <v>637</v>
      </c>
    </row>
    <row r="3" spans="1:4" x14ac:dyDescent="0.3">
      <c r="A3" t="s">
        <v>413</v>
      </c>
      <c r="B3" t="s">
        <v>628</v>
      </c>
    </row>
    <row r="4" spans="1:4" x14ac:dyDescent="0.3">
      <c r="A4" t="s">
        <v>413</v>
      </c>
      <c r="B4" t="s">
        <v>624</v>
      </c>
    </row>
    <row r="5" spans="1:4" x14ac:dyDescent="0.3">
      <c r="A5" t="s">
        <v>413</v>
      </c>
      <c r="B5" t="s">
        <v>634</v>
      </c>
    </row>
    <row r="6" spans="1:4" ht="28.8" x14ac:dyDescent="0.3">
      <c r="A6" s="164" t="s">
        <v>632</v>
      </c>
      <c r="B6" t="s">
        <v>633</v>
      </c>
    </row>
    <row r="7" spans="1:4" x14ac:dyDescent="0.3">
      <c r="A7" t="s">
        <v>619</v>
      </c>
      <c r="B7" t="s">
        <v>622</v>
      </c>
    </row>
    <row r="8" spans="1:4" x14ac:dyDescent="0.3">
      <c r="A8" t="s">
        <v>621</v>
      </c>
      <c r="B8" t="s">
        <v>622</v>
      </c>
    </row>
    <row r="9" spans="1:4" x14ac:dyDescent="0.3">
      <c r="A9" t="s">
        <v>627</v>
      </c>
      <c r="B9" t="s">
        <v>625</v>
      </c>
    </row>
    <row r="10" spans="1:4" x14ac:dyDescent="0.3">
      <c r="A10" t="s">
        <v>638</v>
      </c>
      <c r="B10" t="s">
        <v>639</v>
      </c>
    </row>
    <row r="11" spans="1:4" x14ac:dyDescent="0.3">
      <c r="A11" t="s">
        <v>631</v>
      </c>
      <c r="B11" t="s">
        <v>630</v>
      </c>
    </row>
    <row r="12" spans="1:4" x14ac:dyDescent="0.3">
      <c r="A12" t="s">
        <v>635</v>
      </c>
      <c r="B12" t="s">
        <v>636</v>
      </c>
    </row>
  </sheetData>
  <sortState xmlns:xlrd2="http://schemas.microsoft.com/office/spreadsheetml/2017/richdata2" ref="A2:B12">
    <sortCondition ref="A2:A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47</vt:i4>
      </vt:variant>
    </vt:vector>
  </HeadingPairs>
  <TitlesOfParts>
    <vt:vector size="77" baseType="lpstr">
      <vt:lpstr>CPI</vt:lpstr>
      <vt:lpstr>Discretionaries</vt:lpstr>
      <vt:lpstr>Consolidated-Lines</vt:lpstr>
      <vt:lpstr>Pivot by Dept</vt:lpstr>
      <vt:lpstr>Pivot by Acct</vt:lpstr>
      <vt:lpstr>01 - Town Council - FY 2027</vt:lpstr>
      <vt:lpstr>02 - Town Manager - FY 2027</vt:lpstr>
      <vt:lpstr>03 - Human Resources - FY 2027</vt:lpstr>
      <vt:lpstr>04 - Budget Committee - FY 2027</vt:lpstr>
      <vt:lpstr>05 - Town Clerk - FY 2027</vt:lpstr>
      <vt:lpstr>08 - Finance - FY 2027</vt:lpstr>
      <vt:lpstr>09 - Assessing - FY 2027</vt:lpstr>
      <vt:lpstr>10 - IT - FY 2027</vt:lpstr>
      <vt:lpstr>12 - Legal - FY 2027</vt:lpstr>
      <vt:lpstr>15 - General Gov't - FY 2027</vt:lpstr>
      <vt:lpstr>16 - Cemetery - FY 2027</vt:lpstr>
      <vt:lpstr>17 - Insurance - FY 2027</vt:lpstr>
      <vt:lpstr>18 - Conservation - FY 2027</vt:lpstr>
      <vt:lpstr>20 - Police - FY 2027</vt:lpstr>
      <vt:lpstr>23 - Fire - FY 2027</vt:lpstr>
      <vt:lpstr>24 - Building - FY 2027</vt:lpstr>
      <vt:lpstr>26 - DPW - FY 2027</vt:lpstr>
      <vt:lpstr>27 - Solid Waste - FY 2027</vt:lpstr>
      <vt:lpstr>28 - General Assist - FY 2027</vt:lpstr>
      <vt:lpstr>29 - Cable - FY 2027</vt:lpstr>
      <vt:lpstr>30 - Recreation - FY 2027</vt:lpstr>
      <vt:lpstr>31 - Library - FY 2027</vt:lpstr>
      <vt:lpstr>32 - Senior Affairs - FY 2027</vt:lpstr>
      <vt:lpstr>33 - Planning - FY 2027</vt:lpstr>
      <vt:lpstr>Change Log</vt:lpstr>
      <vt:lpstr>'01 - Town Council - FY 2027'!Print_Area</vt:lpstr>
      <vt:lpstr>'02 - Town Manager - FY 2027'!Print_Area</vt:lpstr>
      <vt:lpstr>'03 - Human Resources - FY 2027'!Print_Area</vt:lpstr>
      <vt:lpstr>'04 - Budget Committee - FY 2027'!Print_Area</vt:lpstr>
      <vt:lpstr>'05 - Town Clerk - FY 2027'!Print_Area</vt:lpstr>
      <vt:lpstr>'08 - Finance - FY 2027'!Print_Area</vt:lpstr>
      <vt:lpstr>'09 - Assessing - FY 2027'!Print_Area</vt:lpstr>
      <vt:lpstr>'10 - IT - FY 2027'!Print_Area</vt:lpstr>
      <vt:lpstr>'12 - Legal - FY 2027'!Print_Area</vt:lpstr>
      <vt:lpstr>'15 - General Gov''t - FY 2027'!Print_Area</vt:lpstr>
      <vt:lpstr>'16 - Cemetery - FY 2027'!Print_Area</vt:lpstr>
      <vt:lpstr>'17 - Insurance - FY 2027'!Print_Area</vt:lpstr>
      <vt:lpstr>'18 - Conservation - FY 2027'!Print_Area</vt:lpstr>
      <vt:lpstr>'20 - Police - FY 2027'!Print_Area</vt:lpstr>
      <vt:lpstr>'23 - Fire - FY 2027'!Print_Area</vt:lpstr>
      <vt:lpstr>'24 - Building - FY 2027'!Print_Area</vt:lpstr>
      <vt:lpstr>'26 - DPW - FY 2027'!Print_Area</vt:lpstr>
      <vt:lpstr>'27 - Solid Waste - FY 2027'!Print_Area</vt:lpstr>
      <vt:lpstr>'28 - General Assist - FY 2027'!Print_Area</vt:lpstr>
      <vt:lpstr>'29 - Cable - FY 2027'!Print_Area</vt:lpstr>
      <vt:lpstr>'30 - Recreation - FY 2027'!Print_Area</vt:lpstr>
      <vt:lpstr>'31 - Library - FY 2027'!Print_Area</vt:lpstr>
      <vt:lpstr>'32 - Senior Affairs - FY 2027'!Print_Area</vt:lpstr>
      <vt:lpstr>'33 - Planning - FY 2027'!Print_Area</vt:lpstr>
      <vt:lpstr>'01 - Town Council - FY 2027'!Print_Titles</vt:lpstr>
      <vt:lpstr>'02 - Town Manager - FY 2027'!Print_Titles</vt:lpstr>
      <vt:lpstr>'04 - Budget Committee - FY 2027'!Print_Titles</vt:lpstr>
      <vt:lpstr>'05 - Town Clerk - FY 2027'!Print_Titles</vt:lpstr>
      <vt:lpstr>'08 - Finance - FY 2027'!Print_Titles</vt:lpstr>
      <vt:lpstr>'09 - Assessing - FY 2027'!Print_Titles</vt:lpstr>
      <vt:lpstr>'10 - IT - FY 2027'!Print_Titles</vt:lpstr>
      <vt:lpstr>'12 - Legal - FY 2027'!Print_Titles</vt:lpstr>
      <vt:lpstr>'15 - General Gov''t - FY 2027'!Print_Titles</vt:lpstr>
      <vt:lpstr>'16 - Cemetery - FY 2027'!Print_Titles</vt:lpstr>
      <vt:lpstr>'17 - Insurance - FY 2027'!Print_Titles</vt:lpstr>
      <vt:lpstr>'18 - Conservation - FY 2027'!Print_Titles</vt:lpstr>
      <vt:lpstr>'20 - Police - FY 2027'!Print_Titles</vt:lpstr>
      <vt:lpstr>'23 - Fire - FY 2027'!Print_Titles</vt:lpstr>
      <vt:lpstr>'24 - Building - FY 2027'!Print_Titles</vt:lpstr>
      <vt:lpstr>'26 - DPW - FY 2027'!Print_Titles</vt:lpstr>
      <vt:lpstr>'27 - Solid Waste - FY 2027'!Print_Titles</vt:lpstr>
      <vt:lpstr>'28 - General Assist - FY 2027'!Print_Titles</vt:lpstr>
      <vt:lpstr>'29 - Cable - FY 2027'!Print_Titles</vt:lpstr>
      <vt:lpstr>'30 - Recreation - FY 2027'!Print_Titles</vt:lpstr>
      <vt:lpstr>'31 - Library - FY 2027'!Print_Titles</vt:lpstr>
      <vt:lpstr>'32 - Senior Affairs - FY 2027'!Print_Titles</vt:lpstr>
      <vt:lpstr>'33 - Planning - FY 2027'!Print_Titles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Town of Londonderry FY27 budget analysis</dc:title>
  <dc:creator>Patrick El-Azem</dc:creator>
  <cp:lastModifiedBy>Patrick El-Azem</cp:lastModifiedBy>
  <dcterms:created xsi:type="dcterms:W3CDTF">2025-12-15T11:19:36Z</dcterms:created>
  <dcterms:modified xsi:type="dcterms:W3CDTF">2026-01-12T22:38:41Z</dcterms:modified>
</cp:coreProperties>
</file>